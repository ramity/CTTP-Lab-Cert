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7.xml" ContentType="application/vnd.openxmlformats-officedocument.spreadsheetml.work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8.xml" ContentType="application/vnd.openxmlformats-officedocument.spreadsheetml.worksheet+xml"/>
  <Override PartName="/xl/chartsheets/sheet10.xml" ContentType="application/vnd.openxmlformats-officedocument.spreadsheetml.chartsheet+xml"/>
  <Override PartName="/xl/chartsheets/sheet11.xml" ContentType="application/vnd.openxmlformats-officedocument.spreadsheetml.chartsheet+xml"/>
  <Override PartName="/xl/worksheets/sheet9.xml" ContentType="application/vnd.openxmlformats-officedocument.spreadsheetml.worksheet+xml"/>
  <Override PartName="/xl/chartsheets/sheet12.xml" ContentType="application/vnd.openxmlformats-officedocument.spreadsheetml.chartsheet+xml"/>
  <Override PartName="/xl/chartsheets/sheet13.xml" ContentType="application/vnd.openxmlformats-officedocument.spreadsheetml.chart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chartsheets/sheet18.xml" ContentType="application/vnd.openxmlformats-officedocument.spreadsheetml.chartsheet+xml"/>
  <Override PartName="/xl/chartsheets/sheet19.xml" ContentType="application/vnd.openxmlformats-officedocument.spreadsheetml.chartsheet+xml"/>
  <Override PartName="/xl/chartsheets/sheet20.xml" ContentType="application/vnd.openxmlformats-officedocument.spreadsheetml.chartsheet+xml"/>
  <Override PartName="/xl/chartsheets/sheet21.xml" ContentType="application/vnd.openxmlformats-officedocument.spreadsheetml.chartsheet+xml"/>
  <Override PartName="/xl/worksheets/sheet10.xml" ContentType="application/vnd.openxmlformats-officedocument.spreadsheetml.worksheet+xml"/>
  <Override PartName="/xl/chartsheets/sheet22.xml" ContentType="application/vnd.openxmlformats-officedocument.spreadsheetml.chartsheet+xml"/>
  <Override PartName="/xl/chartsheets/sheet23.xml" ContentType="application/vnd.openxmlformats-officedocument.spreadsheetml.chart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omments4.xml" ContentType="application/vnd.openxmlformats-officedocument.spreadsheetml.comments+xml"/>
  <Override PartName="/xl/drawings/drawing3.xml" ContentType="application/vnd.openxmlformats-officedocument.drawing+xml"/>
  <Override PartName="/xl/charts/chart11.xml" ContentType="application/vnd.openxmlformats-officedocument.drawingml.chart+xml"/>
  <Override PartName="/xl/drawings/drawing4.xml" ContentType="application/vnd.openxmlformats-officedocument.drawing+xml"/>
  <Override PartName="/xl/charts/chart12.xml" ContentType="application/vnd.openxmlformats-officedocument.drawingml.chart+xml"/>
  <Override PartName="/xl/drawings/drawing5.xml" ContentType="application/vnd.openxmlformats-officedocument.drawing+xml"/>
  <Override PartName="/xl/charts/chart13.xml" ContentType="application/vnd.openxmlformats-officedocument.drawingml.chart+xml"/>
  <Override PartName="/xl/drawings/drawing6.xml" ContentType="application/vnd.openxmlformats-officedocument.drawing+xml"/>
  <Override PartName="/xl/charts/chart14.xml" ContentType="application/vnd.openxmlformats-officedocument.drawingml.chart+xml"/>
  <Override PartName="/xl/drawings/drawing7.xml" ContentType="application/vnd.openxmlformats-officedocument.drawing+xml"/>
  <Override PartName="/xl/charts/chart15.xml" ContentType="application/vnd.openxmlformats-officedocument.drawingml.chart+xml"/>
  <Override PartName="/xl/comments5.xml" ContentType="application/vnd.openxmlformats-officedocument.spreadsheetml.comments+xml"/>
  <Override PartName="/xl/drawings/drawing8.xml" ContentType="application/vnd.openxmlformats-officedocument.drawing+xml"/>
  <Override PartName="/xl/charts/chart16.xml" ContentType="application/vnd.openxmlformats-officedocument.drawingml.chart+xml"/>
  <Override PartName="/xl/drawings/drawing9.xml" ContentType="application/vnd.openxmlformats-officedocument.drawing+xml"/>
  <Override PartName="/xl/charts/chart17.xml" ContentType="application/vnd.openxmlformats-officedocument.drawingml.chart+xml"/>
  <Override PartName="/xl/drawings/drawing10.xml" ContentType="application/vnd.openxmlformats-officedocument.drawing+xml"/>
  <Override PartName="/xl/charts/chart18.xml" ContentType="application/vnd.openxmlformats-officedocument.drawingml.chart+xml"/>
  <Override PartName="/xl/drawings/drawing11.xml" ContentType="application/vnd.openxmlformats-officedocument.drawing+xml"/>
  <Override PartName="/xl/charts/chart19.xml" ContentType="application/vnd.openxmlformats-officedocument.drawingml.chart+xml"/>
  <Override PartName="/xl/comments6.xml" ContentType="application/vnd.openxmlformats-officedocument.spreadsheetml.comments+xml"/>
  <Override PartName="/xl/drawings/drawing12.xml" ContentType="application/vnd.openxmlformats-officedocument.drawing+xml"/>
  <Override PartName="/xl/charts/chart20.xml" ContentType="application/vnd.openxmlformats-officedocument.drawingml.chart+xml"/>
  <Override PartName="/xl/drawings/drawing13.xml" ContentType="application/vnd.openxmlformats-officedocument.drawing+xml"/>
  <Override PartName="/xl/charts/chart21.xml" ContentType="application/vnd.openxmlformats-officedocument.drawingml.chart+xml"/>
  <Override PartName="/xl/comments7.xml" ContentType="application/vnd.openxmlformats-officedocument.spreadsheetml.comments+xml"/>
  <Override PartName="/xl/drawings/drawing14.xml" ContentType="application/vnd.openxmlformats-officedocument.drawing+xml"/>
  <Override PartName="/xl/charts/chart22.xml" ContentType="application/vnd.openxmlformats-officedocument.drawingml.chart+xml"/>
  <Override PartName="/xl/drawings/drawing15.xml" ContentType="application/vnd.openxmlformats-officedocument.drawing+xml"/>
  <Override PartName="/xl/charts/chart23.xml" ContentType="application/vnd.openxmlformats-officedocument.drawingml.chart+xml"/>
  <Override PartName="/xl/drawings/drawing16.xml" ContentType="application/vnd.openxmlformats-officedocument.drawing+xml"/>
  <Override PartName="/xl/charts/chart24.xml" ContentType="application/vnd.openxmlformats-officedocument.drawingml.chart+xml"/>
  <Override PartName="/xl/drawings/drawing17.xml" ContentType="application/vnd.openxmlformats-officedocument.drawing+xml"/>
  <Override PartName="/xl/charts/chart25.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6.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27.xml" ContentType="application/vnd.openxmlformats-officedocument.drawingml.chart+xml"/>
  <Override PartName="/xl/drawings/drawing22.xml" ContentType="application/vnd.openxmlformats-officedocument.drawingml.chartshapes+xml"/>
  <Override PartName="/xl/drawings/drawing23.xml" ContentType="application/vnd.openxmlformats-officedocument.drawing+xml"/>
  <Override PartName="/xl/charts/chart28.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9.xml" ContentType="application/vnd.openxmlformats-officedocument.drawingml.chart+xml"/>
  <Override PartName="/xl/drawings/drawing26.xml" ContentType="application/vnd.openxmlformats-officedocument.drawingml.chartshapes+xml"/>
  <Override PartName="/xl/drawings/drawing27.xml" ContentType="application/vnd.openxmlformats-officedocument.drawing+xml"/>
  <Override PartName="/xl/charts/chart30.xml" ContentType="application/vnd.openxmlformats-officedocument.drawingml.chart+xml"/>
  <Override PartName="/xl/drawings/drawing28.xml" ContentType="application/vnd.openxmlformats-officedocument.drawingml.chartshapes+xml"/>
  <Override PartName="/xl/drawings/drawing29.xml" ContentType="application/vnd.openxmlformats-officedocument.drawing+xml"/>
  <Override PartName="/xl/charts/chart31.xml" ContentType="application/vnd.openxmlformats-officedocument.drawingml.chart+xml"/>
  <Override PartName="/xl/comments8.xml" ContentType="application/vnd.openxmlformats-officedocument.spreadsheetml.comments+xml"/>
  <Override PartName="/xl/drawings/drawing30.xml" ContentType="application/vnd.openxmlformats-officedocument.drawing+xml"/>
  <Override PartName="/xl/charts/chart32.xml" ContentType="application/vnd.openxmlformats-officedocument.drawingml.chart+xml"/>
  <Override PartName="/xl/drawings/drawing31.xml" ContentType="application/vnd.openxmlformats-officedocument.drawing+xml"/>
  <Override PartName="/xl/charts/chart3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Pine2012"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autoCompressPictures="0" defaultThemeVersion="124226"/>
  <bookViews>
    <workbookView xWindow="-15" yWindow="-15" windowWidth="10650" windowHeight="10290" tabRatio="857"/>
  </bookViews>
  <sheets>
    <sheet name="Height" sheetId="5" r:id="rId1"/>
    <sheet name="Angle" sheetId="6" r:id="rId2"/>
    <sheet name="Pressure" sheetId="7" r:id="rId3"/>
    <sheet name="Moment (N-m)" sheetId="8" r:id="rId4"/>
    <sheet name="Summary" sheetId="44" r:id="rId5"/>
    <sheet name="%Gmm" sheetId="11" r:id="rId6"/>
    <sheet name="%Gmm Chart" sheetId="39" r:id="rId7"/>
    <sheet name="CDI Bar" sheetId="40" r:id="rId8"/>
    <sheet name="Locking Point" sheetId="37" r:id="rId9"/>
    <sheet name="WEI Bar" sheetId="46" r:id="rId10"/>
    <sheet name="CEI Bar" sheetId="48" r:id="rId11"/>
    <sheet name="Resistive Effort (w)" sheetId="10" r:id="rId12"/>
    <sheet name="w Chart" sheetId="12" r:id="rId13"/>
    <sheet name="w(N1-N2) Bar" sheetId="23" r:id="rId14"/>
    <sheet name="CFI Bar" sheetId="27" r:id="rId15"/>
    <sheet name="TFI Bar" sheetId="30" r:id="rId16"/>
    <sheet name="Sg(kPa)" sheetId="13" r:id="rId17"/>
    <sheet name="Sg Chart" sheetId="14" r:id="rId18"/>
    <sheet name="Sg Chart (%Gmm)" sheetId="31" r:id="rId19"/>
    <sheet name="Normalized Sg" sheetId="20" r:id="rId20"/>
    <sheet name="NSI Bar" sheetId="22" r:id="rId21"/>
    <sheet name="Norm Sg Chart" sheetId="21" r:id="rId22"/>
    <sheet name="Norm Sg Chart (%Gmm)" sheetId="49" r:id="rId23"/>
    <sheet name="Norm Sg Chart - Group 1" sheetId="33" r:id="rId24"/>
    <sheet name="Norm Sg Chart - Group 2" sheetId="34" r:id="rId25"/>
    <sheet name="Norm Sg Chart - Group 3" sheetId="35" r:id="rId26"/>
    <sheet name="Norm Sg Chart - Group 4" sheetId="41" r:id="rId27"/>
    <sheet name="Norm Sg Chart - Group 5" sheetId="42" r:id="rId28"/>
    <sheet name="Norm Sg Chart - Group 6" sheetId="45" r:id="rId29"/>
    <sheet name="N@ %Norm Sg Bar" sheetId="24" r:id="rId30"/>
    <sheet name="Sg(kPa) Fit" sheetId="18" r:id="rId31"/>
    <sheet name="N@ Sg(kPa) fit Bar" sheetId="36" r:id="rId32"/>
    <sheet name="Sg(kPa) Fit Chart" sheetId="19" r:id="rId33"/>
    <sheet name="Revisions" sheetId="15" r:id="rId34"/>
  </sheets>
  <definedNames>
    <definedName name="_protect">Revisions!$A$2</definedName>
    <definedName name="_xlnm.Print_Area" localSheetId="0">Height!$A$1:$Z$262</definedName>
    <definedName name="_xlnm.Print_Area" localSheetId="4">Summary!$A$1:$H$128</definedName>
    <definedName name="_xlnm.Print_Titles" localSheetId="4">Summary!$1:$8</definedName>
  </definedNames>
  <calcPr calcId="145621"/>
</workbook>
</file>

<file path=xl/calcChain.xml><?xml version="1.0" encoding="utf-8"?>
<calcChain xmlns="http://schemas.openxmlformats.org/spreadsheetml/2006/main">
  <c r="H120" i="44" l="1"/>
  <c r="H108" i="44"/>
  <c r="H84" i="44"/>
  <c r="G86" i="44" l="1"/>
  <c r="F86" i="44"/>
  <c r="D86" i="44"/>
  <c r="C86" i="44"/>
  <c r="H85" i="44"/>
  <c r="G85" i="44"/>
  <c r="F85" i="44"/>
  <c r="E85" i="44"/>
  <c r="D85" i="44"/>
  <c r="C85" i="44"/>
  <c r="G84" i="44"/>
  <c r="F84" i="44"/>
  <c r="E84" i="44"/>
  <c r="D84" i="44"/>
  <c r="C84" i="44"/>
  <c r="H83" i="44"/>
  <c r="G83" i="44"/>
  <c r="G88" i="44"/>
  <c r="F83" i="44"/>
  <c r="E83" i="44"/>
  <c r="F88" i="44"/>
  <c r="G87" i="44"/>
  <c r="F87" i="44"/>
  <c r="G74" i="44"/>
  <c r="D74" i="44"/>
  <c r="C74" i="44"/>
  <c r="H73" i="44"/>
  <c r="G73" i="44"/>
  <c r="F73" i="44"/>
  <c r="E73" i="44"/>
  <c r="D73" i="44"/>
  <c r="C73" i="44"/>
  <c r="H72" i="44"/>
  <c r="G72" i="44"/>
  <c r="F72" i="44"/>
  <c r="E72" i="44"/>
  <c r="D72" i="44"/>
  <c r="C72" i="44"/>
  <c r="H71" i="44"/>
  <c r="G71" i="44"/>
  <c r="F71" i="44"/>
  <c r="E71" i="44"/>
  <c r="G62" i="44"/>
  <c r="F62" i="44"/>
  <c r="D62" i="44"/>
  <c r="C62" i="44"/>
  <c r="H61" i="44"/>
  <c r="G61" i="44"/>
  <c r="F61" i="44"/>
  <c r="E61" i="44"/>
  <c r="D61" i="44"/>
  <c r="C61" i="44"/>
  <c r="H60" i="44"/>
  <c r="G60" i="44"/>
  <c r="F60" i="44"/>
  <c r="E60" i="44"/>
  <c r="D60" i="44"/>
  <c r="C60" i="44"/>
  <c r="H59" i="44"/>
  <c r="G59" i="44"/>
  <c r="F59" i="44"/>
  <c r="F64" i="44"/>
  <c r="E59" i="44"/>
  <c r="B57" i="44"/>
  <c r="G50" i="44"/>
  <c r="F50" i="44"/>
  <c r="D50" i="44"/>
  <c r="C50" i="44"/>
  <c r="H49" i="44"/>
  <c r="G49" i="44"/>
  <c r="F49" i="44"/>
  <c r="E49" i="44"/>
  <c r="D49" i="44"/>
  <c r="C49" i="44"/>
  <c r="H48" i="44"/>
  <c r="G48" i="44"/>
  <c r="F48" i="44"/>
  <c r="E48" i="44"/>
  <c r="D48" i="44"/>
  <c r="C48" i="44"/>
  <c r="H47" i="44"/>
  <c r="G47" i="44"/>
  <c r="G52" i="44"/>
  <c r="F47" i="44"/>
  <c r="F52" i="44"/>
  <c r="E47" i="44"/>
  <c r="G64" i="44"/>
  <c r="G76" i="44"/>
  <c r="C83" i="44"/>
  <c r="G75" i="44"/>
  <c r="G63" i="44"/>
  <c r="F63" i="44"/>
  <c r="G51" i="44"/>
  <c r="F51" i="44"/>
  <c r="G38" i="44"/>
  <c r="F38" i="44"/>
  <c r="D38" i="44"/>
  <c r="C38" i="44"/>
  <c r="H37" i="44"/>
  <c r="G37" i="44"/>
  <c r="F37" i="44"/>
  <c r="E37" i="44"/>
  <c r="D37" i="44"/>
  <c r="C37" i="44"/>
  <c r="H36" i="44"/>
  <c r="G36" i="44"/>
  <c r="F36" i="44"/>
  <c r="E36" i="44"/>
  <c r="D36" i="44"/>
  <c r="C36" i="44"/>
  <c r="H35" i="44"/>
  <c r="G35" i="44"/>
  <c r="F35" i="44"/>
  <c r="E35" i="44"/>
  <c r="H26" i="44"/>
  <c r="G26" i="44"/>
  <c r="F26" i="44"/>
  <c r="E26" i="44"/>
  <c r="D26" i="44"/>
  <c r="C26" i="44"/>
  <c r="H25" i="44"/>
  <c r="G25" i="44"/>
  <c r="F25" i="44"/>
  <c r="E25" i="44"/>
  <c r="D25" i="44"/>
  <c r="C25" i="44"/>
  <c r="H24" i="44"/>
  <c r="G24" i="44"/>
  <c r="F24" i="44"/>
  <c r="E24" i="44"/>
  <c r="D24" i="44"/>
  <c r="C24" i="44"/>
  <c r="H23" i="44"/>
  <c r="G23" i="44"/>
  <c r="G28" i="44"/>
  <c r="F23" i="44"/>
  <c r="F28" i="44"/>
  <c r="E23" i="44"/>
  <c r="D23" i="44"/>
  <c r="C23" i="44"/>
  <c r="C28" i="44"/>
  <c r="H14" i="44"/>
  <c r="G14" i="44"/>
  <c r="F14" i="44"/>
  <c r="E14" i="44"/>
  <c r="D14" i="44"/>
  <c r="C14" i="44"/>
  <c r="H13" i="44"/>
  <c r="G13" i="44"/>
  <c r="F13" i="44"/>
  <c r="E13" i="44"/>
  <c r="D13" i="44"/>
  <c r="C13" i="44"/>
  <c r="H12" i="44"/>
  <c r="G12" i="44"/>
  <c r="F12" i="44"/>
  <c r="E12" i="44"/>
  <c r="D12" i="44"/>
  <c r="C12" i="44"/>
  <c r="H11" i="44"/>
  <c r="G11" i="44"/>
  <c r="G16" i="44"/>
  <c r="F11" i="44"/>
  <c r="F16" i="44"/>
  <c r="E11" i="44"/>
  <c r="D11" i="44"/>
  <c r="C11" i="44"/>
  <c r="C16" i="44"/>
  <c r="H7" i="44"/>
  <c r="G7" i="44"/>
  <c r="F7" i="44"/>
  <c r="E7" i="44"/>
  <c r="D7" i="44"/>
  <c r="C7" i="44"/>
  <c r="H6" i="44"/>
  <c r="G6" i="44"/>
  <c r="F6" i="44"/>
  <c r="E6" i="44"/>
  <c r="D6" i="44"/>
  <c r="C6" i="44"/>
  <c r="H5" i="44"/>
  <c r="G5" i="44"/>
  <c r="F5" i="44"/>
  <c r="E5" i="44"/>
  <c r="D5" i="44"/>
  <c r="H4" i="44"/>
  <c r="G4" i="44"/>
  <c r="F4" i="44"/>
  <c r="E4" i="44"/>
  <c r="D4" i="44"/>
  <c r="H3" i="44"/>
  <c r="G3" i="44"/>
  <c r="F3" i="44"/>
  <c r="E3" i="44"/>
  <c r="D3" i="44"/>
  <c r="C3" i="44"/>
  <c r="H2" i="44"/>
  <c r="G2" i="44"/>
  <c r="F2" i="44"/>
  <c r="E2" i="44"/>
  <c r="D2" i="44"/>
  <c r="H1" i="44"/>
  <c r="G1" i="44"/>
  <c r="F1" i="44"/>
  <c r="E1" i="44"/>
  <c r="D1" i="44"/>
  <c r="C1" i="44"/>
  <c r="C4" i="44"/>
  <c r="C5" i="44"/>
  <c r="D16" i="44"/>
  <c r="H16" i="44"/>
  <c r="D28" i="44"/>
  <c r="H28" i="44"/>
  <c r="F40" i="44"/>
  <c r="E16" i="44"/>
  <c r="E28" i="44"/>
  <c r="G40" i="44"/>
  <c r="D59" i="44"/>
  <c r="D47" i="44"/>
  <c r="D83" i="44"/>
  <c r="D35" i="44"/>
  <c r="D40" i="44"/>
  <c r="C8" i="44"/>
  <c r="C47" i="44"/>
  <c r="C35" i="44"/>
  <c r="C40" i="44"/>
  <c r="C42" i="44"/>
  <c r="C59" i="44"/>
  <c r="C88" i="44"/>
  <c r="C87" i="44"/>
  <c r="D18" i="44"/>
  <c r="D15" i="44"/>
  <c r="F15" i="44"/>
  <c r="H18" i="44"/>
  <c r="H15" i="44"/>
  <c r="D29" i="44"/>
  <c r="D27" i="44"/>
  <c r="F27" i="44"/>
  <c r="H27" i="44"/>
  <c r="C15" i="44"/>
  <c r="E15" i="44"/>
  <c r="G18" i="44"/>
  <c r="F18" i="44"/>
  <c r="G15" i="44"/>
  <c r="C29" i="44"/>
  <c r="C27" i="44"/>
  <c r="E27" i="44"/>
  <c r="G27" i="44"/>
  <c r="G39" i="44"/>
  <c r="F39" i="44"/>
  <c r="C39" i="44"/>
  <c r="E8" i="44"/>
  <c r="D8" i="44"/>
  <c r="E18" i="44"/>
  <c r="H17" i="44"/>
  <c r="C30" i="44"/>
  <c r="H8" i="44"/>
  <c r="G8" i="44"/>
  <c r="F8" i="44"/>
  <c r="G108" i="44"/>
  <c r="H109" i="44"/>
  <c r="D39" i="44"/>
  <c r="D71" i="44"/>
  <c r="D52" i="44"/>
  <c r="D51" i="44"/>
  <c r="D64" i="44"/>
  <c r="D63" i="44"/>
  <c r="D88" i="44"/>
  <c r="D87" i="44"/>
  <c r="C107" i="44"/>
  <c r="C71" i="44"/>
  <c r="C52" i="44"/>
  <c r="C51" i="44"/>
  <c r="C64" i="44"/>
  <c r="C63" i="44"/>
  <c r="G17" i="44"/>
  <c r="F17" i="44"/>
  <c r="E17" i="44"/>
  <c r="G53" i="44"/>
  <c r="H30" i="44"/>
  <c r="G30" i="44"/>
  <c r="F30" i="44"/>
  <c r="E30" i="44"/>
  <c r="D30" i="44"/>
  <c r="H29" i="44"/>
  <c r="G29" i="44"/>
  <c r="F29" i="44"/>
  <c r="E29" i="44"/>
  <c r="C18" i="44"/>
  <c r="C17" i="44"/>
  <c r="D17" i="44"/>
  <c r="G121" i="44"/>
  <c r="G119" i="44"/>
  <c r="F122" i="44"/>
  <c r="F120" i="44"/>
  <c r="E121" i="44"/>
  <c r="E119" i="44"/>
  <c r="D122" i="44"/>
  <c r="D120" i="44"/>
  <c r="C121" i="44"/>
  <c r="H121" i="44"/>
  <c r="H119" i="44"/>
  <c r="G122" i="44"/>
  <c r="G120" i="44"/>
  <c r="F121" i="44"/>
  <c r="F119" i="44"/>
  <c r="E120" i="44"/>
  <c r="D121" i="44"/>
  <c r="C122" i="44"/>
  <c r="C120" i="44"/>
  <c r="F53" i="44"/>
  <c r="G54" i="44"/>
  <c r="G78" i="44"/>
  <c r="G77" i="44"/>
  <c r="G107" i="44"/>
  <c r="E107" i="44"/>
  <c r="H107" i="44"/>
  <c r="F107" i="44"/>
  <c r="D107" i="44"/>
  <c r="G109" i="44"/>
  <c r="F109" i="44"/>
  <c r="E109" i="44"/>
  <c r="D109" i="44"/>
  <c r="C109" i="44"/>
  <c r="F108" i="44"/>
  <c r="E108" i="44"/>
  <c r="D108" i="44"/>
  <c r="C108" i="44"/>
  <c r="F124" i="44"/>
  <c r="G124" i="44"/>
  <c r="D119" i="44"/>
  <c r="D124" i="44"/>
  <c r="D76" i="44"/>
  <c r="D75" i="44"/>
  <c r="C119" i="44"/>
  <c r="C124" i="44"/>
  <c r="C76" i="44"/>
  <c r="C77" i="44"/>
  <c r="C75" i="44"/>
  <c r="C53" i="44"/>
  <c r="C54" i="44"/>
  <c r="F123" i="44"/>
  <c r="G123" i="44"/>
  <c r="C123" i="44"/>
  <c r="F54" i="44"/>
  <c r="D123" i="44"/>
  <c r="G126" i="44"/>
  <c r="G125" i="44"/>
  <c r="C126" i="44"/>
  <c r="C125" i="44"/>
  <c r="F126" i="44"/>
  <c r="F125" i="44"/>
  <c r="D126" i="44"/>
  <c r="D125" i="44"/>
  <c r="D54" i="44"/>
  <c r="D53" i="44"/>
  <c r="C2" i="44"/>
  <c r="H98" i="44"/>
  <c r="H97" i="44"/>
  <c r="H96" i="44"/>
  <c r="G98" i="44"/>
  <c r="G97" i="44"/>
  <c r="G96" i="44"/>
  <c r="F98" i="44"/>
  <c r="F97" i="44"/>
  <c r="C95" i="44"/>
  <c r="F96" i="44"/>
  <c r="E98" i="44"/>
  <c r="F95" i="44"/>
  <c r="F100" i="44"/>
  <c r="F99" i="44"/>
  <c r="E97" i="44"/>
  <c r="E96" i="44"/>
  <c r="D96" i="44"/>
  <c r="F102" i="44"/>
  <c r="F101" i="44"/>
  <c r="C96" i="44"/>
  <c r="H95" i="44"/>
  <c r="H100" i="44"/>
  <c r="E95" i="44"/>
  <c r="E100" i="44"/>
  <c r="H99" i="44"/>
  <c r="E99" i="44"/>
  <c r="D98" i="44"/>
  <c r="C98" i="44"/>
  <c r="G95" i="44"/>
  <c r="G100" i="44"/>
  <c r="G99" i="44"/>
  <c r="D97" i="44"/>
  <c r="E102" i="44"/>
  <c r="E101" i="44"/>
  <c r="H102" i="44"/>
  <c r="H101" i="44"/>
  <c r="G102" i="44"/>
  <c r="G101" i="44"/>
  <c r="C97" i="44"/>
  <c r="C100" i="44"/>
  <c r="C99" i="44"/>
  <c r="C102" i="44"/>
  <c r="C101" i="44"/>
  <c r="G110" i="44"/>
  <c r="G112" i="44"/>
  <c r="F110" i="44"/>
  <c r="F112" i="44"/>
  <c r="C110" i="44"/>
  <c r="C112" i="44"/>
  <c r="D110" i="44"/>
  <c r="D112" i="44"/>
  <c r="D42" i="44"/>
  <c r="F42" i="44"/>
  <c r="D65" i="44"/>
  <c r="C65" i="44"/>
  <c r="G65" i="44"/>
  <c r="F65" i="44"/>
  <c r="C41" i="44"/>
  <c r="G41" i="44"/>
  <c r="F41" i="44"/>
  <c r="G42" i="44"/>
  <c r="C90" i="44"/>
  <c r="G89" i="44"/>
  <c r="F89" i="44"/>
  <c r="D89" i="44"/>
  <c r="C89" i="44"/>
  <c r="F90" i="44"/>
  <c r="F111" i="44"/>
  <c r="G111" i="44"/>
  <c r="G113" i="44"/>
  <c r="D111" i="44"/>
  <c r="D113" i="44"/>
  <c r="C111" i="44"/>
  <c r="G90" i="44"/>
  <c r="D41" i="44"/>
  <c r="D90" i="44"/>
  <c r="D66" i="44"/>
  <c r="F66" i="44"/>
  <c r="C113" i="44"/>
  <c r="D114" i="44"/>
  <c r="G66" i="44"/>
  <c r="G114" i="44"/>
  <c r="C114" i="44"/>
  <c r="C66" i="44"/>
  <c r="D77" i="44"/>
  <c r="D78" i="44"/>
  <c r="C78" i="44"/>
  <c r="H122" i="44"/>
  <c r="H124" i="44"/>
  <c r="H126" i="44" s="1"/>
  <c r="H110" i="44"/>
  <c r="H112" i="44"/>
  <c r="H38" i="44"/>
  <c r="H40" i="44"/>
  <c r="H50" i="44"/>
  <c r="H52" i="44"/>
  <c r="H86" i="44"/>
  <c r="H88" i="44"/>
  <c r="H62" i="44"/>
  <c r="H64" i="44"/>
  <c r="E122" i="44"/>
  <c r="E124" i="44"/>
  <c r="E110" i="44"/>
  <c r="E112" i="44"/>
  <c r="E50" i="44"/>
  <c r="E52" i="44"/>
  <c r="E62" i="44"/>
  <c r="E64" i="44"/>
  <c r="E38" i="44"/>
  <c r="E40" i="44"/>
  <c r="E86" i="44"/>
  <c r="E88" i="44"/>
  <c r="F113" i="44"/>
  <c r="F114" i="44"/>
  <c r="F74" i="44"/>
  <c r="F76" i="44"/>
  <c r="H74" i="44"/>
  <c r="H76" i="44"/>
  <c r="H87" i="44"/>
  <c r="H39" i="44"/>
  <c r="H63" i="44"/>
  <c r="H51" i="44"/>
  <c r="H123" i="44"/>
  <c r="H111" i="44"/>
  <c r="E74" i="44"/>
  <c r="E87" i="44"/>
  <c r="E51" i="44"/>
  <c r="E123" i="44"/>
  <c r="E39" i="44"/>
  <c r="E63" i="44"/>
  <c r="E114" i="44"/>
  <c r="E111" i="44"/>
  <c r="F75" i="44"/>
  <c r="E75" i="44"/>
  <c r="E76" i="44"/>
  <c r="H114" i="44"/>
  <c r="H113" i="44"/>
  <c r="H125" i="44"/>
  <c r="H54" i="44"/>
  <c r="H53" i="44"/>
  <c r="H66" i="44"/>
  <c r="H65" i="44"/>
  <c r="H41" i="44"/>
  <c r="H42" i="44"/>
  <c r="H75" i="44"/>
  <c r="H89" i="44"/>
  <c r="H90" i="44"/>
  <c r="E78" i="44"/>
  <c r="E65" i="44"/>
  <c r="E66" i="44"/>
  <c r="E41" i="44"/>
  <c r="E42" i="44"/>
  <c r="E53" i="44"/>
  <c r="E54" i="44"/>
  <c r="E113" i="44"/>
  <c r="E125" i="44"/>
  <c r="E126" i="44"/>
  <c r="E89" i="44"/>
  <c r="E90" i="44"/>
  <c r="F78" i="44"/>
  <c r="F77" i="44"/>
  <c r="E77" i="44"/>
  <c r="H78" i="44"/>
  <c r="H77" i="44"/>
  <c r="D95" i="44"/>
  <c r="D100" i="44"/>
  <c r="D99" i="44"/>
  <c r="D102" i="44"/>
  <c r="D101" i="44"/>
</calcChain>
</file>

<file path=xl/comments1.xml><?xml version="1.0" encoding="utf-8"?>
<comments xmlns="http://schemas.openxmlformats.org/spreadsheetml/2006/main">
  <authors>
    <author>KALTENBAUGH</author>
    <author>Roger Pyle</author>
    <author>Richard Steger</author>
  </authors>
  <commentList>
    <comment ref="A1" authorId="0">
      <text>
        <r>
          <rPr>
            <b/>
            <sz val="12"/>
            <color indexed="81"/>
            <rFont val="Tahoma"/>
            <family val="2"/>
          </rPr>
          <t xml:space="preserve">Click for Quick-Start Instructions.
</t>
        </r>
      </text>
    </comment>
    <comment ref="B1" authorId="0">
      <text>
        <r>
          <rPr>
            <sz val="10"/>
            <color indexed="81"/>
            <rFont val="Tahoma"/>
            <family val="2"/>
          </rPr>
          <t>Enter Material ID here.  This text will appear on all the other worksheets and charts.</t>
        </r>
      </text>
    </comment>
    <comment ref="G1" authorId="1">
      <text>
        <r>
          <rPr>
            <sz val="10"/>
            <color indexed="81"/>
            <rFont val="Tahoma"/>
            <family val="2"/>
          </rPr>
          <t>Enter Material ID here.  This text will appear on all the other worksheets and charts.</t>
        </r>
      </text>
    </comment>
    <comment ref="L1" authorId="0">
      <text>
        <r>
          <rPr>
            <sz val="10"/>
            <color indexed="81"/>
            <rFont val="Tahoma"/>
            <family val="2"/>
          </rPr>
          <t>Enter Material ID here.  This text will appear on all the other worksheets and charts.</t>
        </r>
      </text>
    </comment>
    <comment ref="Q1" authorId="0">
      <text>
        <r>
          <rPr>
            <sz val="10"/>
            <color indexed="81"/>
            <rFont val="Tahoma"/>
            <family val="2"/>
          </rPr>
          <t>Enter Material ID here.  This text will appear on all the other worksheets and charts.</t>
        </r>
      </text>
    </comment>
    <comment ref="V1" authorId="0">
      <text>
        <r>
          <rPr>
            <sz val="10"/>
            <color indexed="81"/>
            <rFont val="Tahoma"/>
            <family val="2"/>
          </rPr>
          <t>Enter Material ID here.  This text will appear on all the other worksheets and charts.</t>
        </r>
      </text>
    </comment>
    <comment ref="AA1" authorId="0">
      <text>
        <r>
          <rPr>
            <sz val="10"/>
            <color indexed="81"/>
            <rFont val="Tahoma"/>
            <family val="2"/>
          </rPr>
          <t>Enter Material ID here.  This text will appear on all the other worksheets and charts.</t>
        </r>
      </text>
    </comment>
    <comment ref="A2" authorId="1">
      <text>
        <r>
          <rPr>
            <b/>
            <sz val="9"/>
            <color indexed="81"/>
            <rFont val="Tahoma"/>
            <family val="2"/>
          </rPr>
          <t>Specimen ID is entered into row 2 of height worksheet.  Data file can be renamed to Specimen ID prior to loading workbook and will be reflected here.</t>
        </r>
      </text>
    </comment>
    <comment ref="A3" authorId="1">
      <text>
        <r>
          <rPr>
            <b/>
            <sz val="9"/>
            <color indexed="81"/>
            <rFont val="Tahoma"/>
            <family val="2"/>
          </rPr>
          <t>SGC Data Source Name, *.dat</t>
        </r>
      </text>
    </comment>
    <comment ref="A4" authorId="1">
      <text>
        <r>
          <rPr>
            <b/>
            <sz val="9"/>
            <color indexed="81"/>
            <rFont val="Tahoma"/>
            <family val="2"/>
          </rPr>
          <t>Specimen Diameter</t>
        </r>
      </text>
    </comment>
    <comment ref="A5" authorId="1">
      <text>
        <r>
          <rPr>
            <b/>
            <sz val="9"/>
            <color indexed="81"/>
            <rFont val="Tahoma"/>
            <family val="2"/>
          </rPr>
          <t>Specimen Compaction Temperature (°C)</t>
        </r>
      </text>
    </comment>
    <comment ref="A6" authorId="2">
      <text>
        <r>
          <rPr>
            <b/>
            <sz val="9"/>
            <color indexed="81"/>
            <rFont val="Tahoma"/>
            <family val="2"/>
          </rPr>
          <t xml:space="preserve">Locking point is defined by simple height-based pattern.  The method used in the workbook is the 2-2 method, where the second instance of two consecutive gyrations resulting in the same sample height.  
Mechanistic Characterization of Aggregate Packing to Assess Gyration Levels During HMA Mix Design, Li and Gibson, AAPT, Volume 80, 2011, PP 33-64 </t>
        </r>
      </text>
    </comment>
    <comment ref="A7" authorId="1">
      <text>
        <r>
          <rPr>
            <b/>
            <sz val="9"/>
            <color indexed="81"/>
            <rFont val="Tahoma"/>
            <family val="2"/>
          </rPr>
          <t xml:space="preserve">ASTM D3387 Gyratory Compactibility Index (GCI): the ratio of the height at 60 gyrations to the height at 30 gyrations. </t>
        </r>
      </text>
    </comment>
    <comment ref="A9" authorId="1">
      <text>
        <r>
          <rPr>
            <b/>
            <sz val="9"/>
            <color indexed="81"/>
            <rFont val="Tahoma"/>
            <family val="2"/>
          </rPr>
          <t>Specimen Final Height</t>
        </r>
        <r>
          <rPr>
            <sz val="9"/>
            <color indexed="81"/>
            <rFont val="Tahoma"/>
            <family val="2"/>
          </rPr>
          <t xml:space="preserve">
</t>
        </r>
      </text>
    </comment>
  </commentList>
</comments>
</file>

<file path=xl/comments2.xml><?xml version="1.0" encoding="utf-8"?>
<comments xmlns="http://schemas.openxmlformats.org/spreadsheetml/2006/main">
  <authors>
    <author>Roger Pyle</author>
  </authors>
  <commentList>
    <comment ref="A5" authorId="0">
      <text>
        <r>
          <rPr>
            <b/>
            <sz val="9"/>
            <color indexed="81"/>
            <rFont val="Tahoma"/>
            <family val="2"/>
          </rPr>
          <t>Specimen Height (mm) at 92% Gmm</t>
        </r>
      </text>
    </comment>
    <comment ref="A6" authorId="0">
      <text>
        <r>
          <rPr>
            <b/>
            <sz val="9"/>
            <color indexed="81"/>
            <rFont val="Tahoma"/>
            <family val="2"/>
          </rPr>
          <t>Specimen Height (mm) at 96% Gmm</t>
        </r>
        <r>
          <rPr>
            <sz val="9"/>
            <color indexed="81"/>
            <rFont val="Tahoma"/>
            <family val="2"/>
          </rPr>
          <t xml:space="preserve">
</t>
        </r>
      </text>
    </comment>
    <comment ref="A7" authorId="0">
      <text>
        <r>
          <rPr>
            <b/>
            <sz val="9"/>
            <color indexed="81"/>
            <rFont val="Tahoma"/>
            <family val="2"/>
          </rPr>
          <t>WEI=  ((πd^2)/4*P*(h0-h(92%) ))/(N0-N(92%) )  (N∙m)
Dessouky, et. al. JOURNAL OF MATERIALS IN CIVIL ENGINEERING © ASCE / JUNE 2013</t>
        </r>
      </text>
    </comment>
    <comment ref="A8" authorId="0">
      <text>
        <r>
          <rPr>
            <b/>
            <sz val="9"/>
            <color indexed="81"/>
            <rFont val="Tahoma"/>
            <family val="2"/>
          </rPr>
          <t>CEI=  ((πd^2)/4*P*(h(92%)-h(96%) ))/(N(96%)-N(92%) )  (N∙m)
Dessouky, et. al. JOURNAL OF MATERIALS IN CIVIL ENGINEERING © ASCE / JUNE 2013</t>
        </r>
        <r>
          <rPr>
            <sz val="9"/>
            <color indexed="81"/>
            <rFont val="Tahoma"/>
            <family val="2"/>
          </rPr>
          <t xml:space="preserve">
</t>
        </r>
      </text>
    </comment>
  </commentList>
</comments>
</file>

<file path=xl/comments3.xml><?xml version="1.0" encoding="utf-8"?>
<comments xmlns="http://schemas.openxmlformats.org/spreadsheetml/2006/main">
  <authors>
    <author>Roger Pyle</author>
    <author>KALTENBAUGH</author>
  </authors>
  <commentList>
    <comment ref="A1" authorId="0">
      <text>
        <r>
          <rPr>
            <b/>
            <sz val="9"/>
            <color indexed="81"/>
            <rFont val="Tahoma"/>
            <family val="2"/>
          </rPr>
          <t xml:space="preserve">This report can be copied to a Summary Report with values only for exporting the data using the Summary Report tool in the Pine Shear+ ribbon.
</t>
        </r>
      </text>
    </comment>
    <comment ref="A11" authorId="0">
      <text>
        <r>
          <rPr>
            <b/>
            <sz val="9"/>
            <color indexed="81"/>
            <rFont val="Tahoma"/>
            <family val="2"/>
          </rPr>
          <t>Gmb = Specimen Bulk Specific Gravity</t>
        </r>
      </text>
    </comment>
    <comment ref="A23" authorId="0">
      <text>
        <r>
          <rPr>
            <b/>
            <sz val="9"/>
            <color indexed="81"/>
            <rFont val="Tahoma"/>
            <family val="2"/>
          </rPr>
          <t>Percent of Maximum Specific Gravity of compacted specimen.</t>
        </r>
        <r>
          <rPr>
            <sz val="9"/>
            <color indexed="81"/>
            <rFont val="Tahoma"/>
            <family val="2"/>
          </rPr>
          <t xml:space="preserve">
</t>
        </r>
      </text>
    </comment>
    <comment ref="A35" authorId="0">
      <text>
        <r>
          <rPr>
            <b/>
            <sz val="9"/>
            <color indexed="81"/>
            <rFont val="Tahoma"/>
            <family val="2"/>
          </rPr>
          <t>Number of gyrations to 8% Air Voids (92%Gmm)</t>
        </r>
        <r>
          <rPr>
            <sz val="9"/>
            <color indexed="81"/>
            <rFont val="Tahoma"/>
            <family val="2"/>
          </rPr>
          <t xml:space="preserve">
</t>
        </r>
      </text>
    </comment>
    <comment ref="A47" authorId="0">
      <text>
        <r>
          <rPr>
            <b/>
            <sz val="9"/>
            <color indexed="81"/>
            <rFont val="Tahoma"/>
            <family val="2"/>
          </rPr>
          <t xml:space="preserve">CFI = ∑w(N=2 to 92%Gmm)
Compaction Force Index (CFI) – Measure of the workability of a bituminous mixture characterized as the area under the Resistive Effort vs. Gyrations curve from the second gyration to 92% maximum theoretical specific gravity (Gmm). 
"Using Gyratory Compactor to Measure Mechanical Stability of Asphalt Mixtures", H.U. Bahiar and B. C. Paye, Wisconsin Highway Research Program 0092-01-02, WHRP 05-02, October 2004
</t>
        </r>
        <r>
          <rPr>
            <sz val="9"/>
            <color indexed="81"/>
            <rFont val="Tahoma"/>
            <family val="2"/>
          </rPr>
          <t xml:space="preserve">
</t>
        </r>
      </text>
    </comment>
    <comment ref="A59" authorId="0">
      <text>
        <r>
          <rPr>
            <b/>
            <sz val="9"/>
            <color indexed="81"/>
            <rFont val="Tahoma"/>
            <family val="2"/>
          </rPr>
          <t xml:space="preserve">TFI =  ∑w(92%Gmm to 98%Gmm)
Traffic Force Index (TFI) – Estimate of the stability of a bituminous mixture over its service life.  Characterized by the area under the Resistive Effort vs. Gyrations curve from 92% Gmm to 98% Gmm. 
"Using Gyratory Compactor to Measure Mechanical Stability of Asphalt Mixtures", H.U. Bahiar and B. C. Paye, Wisconsin Highway Research Program 0092-01-02, WHRP 05-02, October 2004
</t>
        </r>
        <r>
          <rPr>
            <sz val="9"/>
            <color indexed="81"/>
            <rFont val="Tahoma"/>
            <family val="2"/>
          </rPr>
          <t xml:space="preserve">
</t>
        </r>
      </text>
    </comment>
    <comment ref="A71" authorId="0">
      <text>
        <r>
          <rPr>
            <b/>
            <sz val="9"/>
            <color indexed="81"/>
            <rFont val="Tahoma"/>
            <family val="2"/>
          </rPr>
          <t xml:space="preserve">Sg-norm = Sg/Sgmax  
NSI= ∑Sg-norm(N=2-N92)
 </t>
        </r>
        <r>
          <rPr>
            <sz val="9"/>
            <color indexed="81"/>
            <rFont val="Tahoma"/>
            <family val="2"/>
          </rPr>
          <t xml:space="preserve">
</t>
        </r>
      </text>
    </comment>
    <comment ref="A83" authorId="0">
      <text>
        <r>
          <rPr>
            <b/>
            <sz val="9"/>
            <color indexed="81"/>
            <rFont val="Tahoma"/>
            <family val="2"/>
          </rPr>
          <t xml:space="preserve">The Construction Densification Index (CDI), which is the value of the area under the densification curve from density at 8 gyrations to density of 92% Gmm, represents the work done during the construction period to achieve 8% air voids.
Using Gyratory Compactor to Measure Mechanical Stability of Asphalt Mixtures, H.U. Bahiar and B. C. Paye, Wisconsin Highway Research Program 0092-01-02, WHRP 05-02, October 2004
</t>
        </r>
      </text>
    </comment>
    <comment ref="A95" authorId="0">
      <text>
        <r>
          <rPr>
            <b/>
            <sz val="9"/>
            <color indexed="81"/>
            <rFont val="Tahoma"/>
            <family val="2"/>
          </rPr>
          <t xml:space="preserve">Locking point is defined by simple height-based pattern.  The method used in the workbook is the 2-2 method, where the second instance of two consecutive gyrations resulting in the same sample height.  
Mechanistic Characterization of Aggregate Packing to Assess Gyration Levels During HMA Mix Design, Li and Gibson, AAPT, Volume 80, 2011, PP 33-64 </t>
        </r>
        <r>
          <rPr>
            <sz val="9"/>
            <color indexed="81"/>
            <rFont val="Tahoma"/>
            <family val="2"/>
          </rPr>
          <t xml:space="preserve">
</t>
        </r>
      </text>
    </comment>
    <comment ref="A107" authorId="1">
      <text>
        <r>
          <rPr>
            <b/>
            <sz val="9"/>
            <color indexed="81"/>
            <rFont val="Tahoma"/>
            <family val="2"/>
          </rPr>
          <t>WEI=  ((πd^2)/4*P*(h0-h(92%) ))/(N0-N(92%) )  (N∙m)
Dessouky, et. al. JOURNAL OF MATERIALS IN CIVIL ENGINEERING © ASCE / JUNE 2013</t>
        </r>
        <r>
          <rPr>
            <sz val="8"/>
            <color indexed="81"/>
            <rFont val="Tahoma"/>
            <family val="2"/>
          </rPr>
          <t xml:space="preserve">
</t>
        </r>
      </text>
    </comment>
    <comment ref="A119" authorId="1">
      <text>
        <r>
          <rPr>
            <b/>
            <sz val="9"/>
            <color indexed="81"/>
            <rFont val="Tahoma"/>
            <family val="2"/>
          </rPr>
          <t>CEI=  ((πd^2)/4*P*(h(92%)-h(96%) ))/(N(96%)-N(92%) )  (N∙m)
Dessouky, et. al. JOURNAL OF MATERIALS IN CIVIL ENGINEERING © ASCE / JUNE 2013</t>
        </r>
        <r>
          <rPr>
            <sz val="8"/>
            <color indexed="81"/>
            <rFont val="Tahoma"/>
            <family val="2"/>
          </rPr>
          <t xml:space="preserve">
</t>
        </r>
      </text>
    </comment>
  </commentList>
</comments>
</file>

<file path=xl/comments4.xml><?xml version="1.0" encoding="utf-8"?>
<comments xmlns="http://schemas.openxmlformats.org/spreadsheetml/2006/main">
  <authors>
    <author>Richard Steger</author>
    <author>Roger Pyle</author>
  </authors>
  <commentList>
    <comment ref="A4" authorId="0">
      <text>
        <r>
          <rPr>
            <b/>
            <sz val="9"/>
            <color indexed="81"/>
            <rFont val="Tahoma"/>
            <family val="2"/>
          </rPr>
          <t xml:space="preserve">The Construction Densification Index (CDI), which is the value of the area under the densification curve from density at 8 gyrations to density of 92% Gmm, represents the work done during the construction period to achieve 8% air voids.
</t>
        </r>
        <r>
          <rPr>
            <b/>
            <i/>
            <sz val="9"/>
            <color indexed="81"/>
            <rFont val="Tahoma"/>
            <family val="2"/>
          </rPr>
          <t>Using Gyratory Compactor to Measure Mechanical Stability of Asphalt Mixtures</t>
        </r>
        <r>
          <rPr>
            <b/>
            <sz val="9"/>
            <color indexed="81"/>
            <rFont val="Tahoma"/>
            <family val="2"/>
          </rPr>
          <t>, H.U. Bahiar and B. C. Paye, Wisconsin Highway Research Program 0092-01-02, WHRP 05-02, October 2004</t>
        </r>
      </text>
    </comment>
    <comment ref="A6" authorId="1">
      <text>
        <r>
          <rPr>
            <b/>
            <sz val="9"/>
            <color indexed="81"/>
            <rFont val="Tahoma"/>
            <family val="2"/>
          </rPr>
          <t>Number of gyrations to 8% Air Voids (92% Gmm)</t>
        </r>
      </text>
    </comment>
    <comment ref="A7" authorId="1">
      <text>
        <r>
          <rPr>
            <b/>
            <sz val="9"/>
            <color indexed="81"/>
            <rFont val="Tahoma"/>
            <family val="2"/>
          </rPr>
          <t>Enter Mix Maximum Specific Gravity (Gmm) in these cells.</t>
        </r>
      </text>
    </comment>
    <comment ref="A8" authorId="1">
      <text>
        <r>
          <rPr>
            <b/>
            <sz val="10"/>
            <color indexed="81"/>
            <rFont val="Tahoma"/>
            <family val="2"/>
          </rPr>
          <t>Enter each Specimen Bulk Specific Gravity (Gmb) in these cells.</t>
        </r>
      </text>
    </comment>
    <comment ref="A9" authorId="1">
      <text>
        <r>
          <rPr>
            <b/>
            <sz val="9"/>
            <color indexed="81"/>
            <rFont val="Tahoma"/>
            <family val="2"/>
          </rPr>
          <t>Specimen Compacted Density as a percentage of Maximum Specific Gravity</t>
        </r>
        <r>
          <rPr>
            <sz val="9"/>
            <color indexed="81"/>
            <rFont val="Tahoma"/>
            <family val="2"/>
          </rPr>
          <t xml:space="preserve">
</t>
        </r>
      </text>
    </comment>
  </commentList>
</comments>
</file>

<file path=xl/comments5.xml><?xml version="1.0" encoding="utf-8"?>
<comments xmlns="http://schemas.openxmlformats.org/spreadsheetml/2006/main">
  <authors>
    <author>Roger Pyle</author>
  </authors>
  <commentList>
    <comment ref="A5" authorId="0">
      <text>
        <r>
          <rPr>
            <b/>
            <sz val="9"/>
            <color indexed="81"/>
            <rFont val="Tahoma"/>
            <family val="2"/>
          </rPr>
          <t>Select N1: ∑w(N1-N2)</t>
        </r>
      </text>
    </comment>
    <comment ref="A6" authorId="0">
      <text>
        <r>
          <rPr>
            <b/>
            <sz val="9"/>
            <color indexed="81"/>
            <rFont val="Tahoma"/>
            <family val="2"/>
          </rPr>
          <t>Select N2: ∑w(N1-N2)</t>
        </r>
      </text>
    </comment>
    <comment ref="A7" authorId="0">
      <text>
        <r>
          <rPr>
            <b/>
            <sz val="9"/>
            <color indexed="81"/>
            <rFont val="Calibri"/>
            <family val="2"/>
          </rPr>
          <t>∑</t>
        </r>
        <r>
          <rPr>
            <b/>
            <sz val="9"/>
            <color indexed="81"/>
            <rFont val="Tahoma"/>
            <family val="2"/>
          </rPr>
          <t>w(N1-N2) is the area under the Resistive Effort (w) curve from selected gyrations N1 to N2.
"Using Gyratory Compactor to Measure Mechanical Stability of Asphalt Mixtures", H.U. Bahiar and B. C. Paye, Wisconsin Highway Research Program 0092-01-02, WHRP 05-02, October 2004</t>
        </r>
      </text>
    </comment>
    <comment ref="A8" authorId="0">
      <text>
        <r>
          <rPr>
            <b/>
            <sz val="9"/>
            <color indexed="81"/>
            <rFont val="Tahoma"/>
            <family val="2"/>
          </rPr>
          <t>CFI = ∑w(N=2 to 92%Gmm)
Compaction Force Index (CFI) – Measure of the workability of a bituminous mixture characterized as the area under the Resistive Effort vs. Gyrations curve from the second gyration to 92% maximum theoretical specific gravity (Gmm). 
"Using Gyratory Compactor to Measure Mechanical Stability of Asphalt Mixtures", H.U. Bahiar and B. C. Paye, Wisconsin Highway Research Program 0092-01-02, WHRP 05-02, October 2004</t>
        </r>
      </text>
    </comment>
    <comment ref="A9" authorId="0">
      <text>
        <r>
          <rPr>
            <b/>
            <sz val="9"/>
            <color indexed="81"/>
            <rFont val="Tahoma"/>
            <family val="2"/>
          </rPr>
          <t>TFI =  ∑w(92%Gmm to 98%Gmm)
Traffic Force Index (TFI) – Estimate of the stability of a bituminous mixture over its service life.  Characterized by the area under the Resistive Effort vs. Gyrations curve from 92% Gmm to 98% Gmm. 
"Using Gyratory Compactor to Measure Mechanical Stability of Asphalt Mixtures", H.U. Bahiar and B. C. Paye, Wisconsin Highway Research Program 0092-01-02, WHRP 05-02, October 2004</t>
        </r>
      </text>
    </comment>
  </commentList>
</comments>
</file>

<file path=xl/comments6.xml><?xml version="1.0" encoding="utf-8"?>
<comments xmlns="http://schemas.openxmlformats.org/spreadsheetml/2006/main">
  <authors>
    <author>Roger Pyle</author>
  </authors>
  <commentList>
    <comment ref="A8" authorId="0">
      <text>
        <r>
          <rPr>
            <b/>
            <sz val="9"/>
            <color indexed="81"/>
            <rFont val="Tahoma"/>
            <family val="2"/>
          </rPr>
          <t>Number of Gyrations to the Maximum Shear Value.</t>
        </r>
      </text>
    </comment>
    <comment ref="A9" authorId="0">
      <text>
        <r>
          <rPr>
            <b/>
            <sz val="9"/>
            <color indexed="81"/>
            <rFont val="Tahoma"/>
            <family val="2"/>
          </rPr>
          <t xml:space="preserve">Maximum Shear Value (Sg) </t>
        </r>
        <r>
          <rPr>
            <sz val="9"/>
            <color indexed="81"/>
            <rFont val="Tahoma"/>
            <family val="2"/>
          </rPr>
          <t xml:space="preserve">
</t>
        </r>
      </text>
    </comment>
    <comment ref="B10" authorId="0">
      <text>
        <r>
          <rPr>
            <b/>
            <sz val="9"/>
            <color indexed="81"/>
            <rFont val="Tahoma"/>
            <family val="2"/>
          </rPr>
          <t xml:space="preserve">Gyratory Shear - Sg (kPa) ASTM D3387 
Equation A1.1 Sg=(2(P*L+F*a)+N*b)/(A*h)
    2*P*L = the tilting moment.
    2*F*a = the mold wall friction. 
    N*b = the additive moment from the tilted specimen (normal force shifted by angle over the height of the specimen.
    A*h = specimen volume
The G2 has no wall friction measurement instrumentation. The simulated loading calibration includes the wall friction of the simulated loading device. This wall friction is included in the G2 Moment output.     </t>
        </r>
      </text>
    </comment>
  </commentList>
</comments>
</file>

<file path=xl/comments7.xml><?xml version="1.0" encoding="utf-8"?>
<comments xmlns="http://schemas.openxmlformats.org/spreadsheetml/2006/main">
  <authors>
    <author>Roger Pyle</author>
  </authors>
  <commentList>
    <comment ref="A5" authorId="0">
      <text>
        <r>
          <rPr>
            <b/>
            <sz val="9"/>
            <color indexed="81"/>
            <rFont val="Tahoma"/>
            <family val="2"/>
          </rPr>
          <t>Gyration (N) = 2</t>
        </r>
      </text>
    </comment>
    <comment ref="A6" authorId="0">
      <text>
        <r>
          <rPr>
            <b/>
            <sz val="9"/>
            <color indexed="81"/>
            <rFont val="Tahoma"/>
            <family val="2"/>
          </rPr>
          <t>Gyration (N) @92%Gmm</t>
        </r>
        <r>
          <rPr>
            <sz val="9"/>
            <color indexed="81"/>
            <rFont val="Tahoma"/>
            <family val="2"/>
          </rPr>
          <t xml:space="preserve">
</t>
        </r>
      </text>
    </comment>
    <comment ref="A7" authorId="0">
      <text>
        <r>
          <rPr>
            <b/>
            <sz val="9"/>
            <color indexed="81"/>
            <rFont val="Tahoma"/>
            <family val="2"/>
          </rPr>
          <t>Normalized Shear Index (NSI)=
∑Sg-norm(N=2 to N@92%Gmm)
Sg-norm = Sg/Sgmax</t>
        </r>
      </text>
    </comment>
    <comment ref="A8" authorId="0">
      <text>
        <r>
          <rPr>
            <b/>
            <sz val="9"/>
            <color indexed="81"/>
            <rFont val="Tahoma"/>
            <family val="2"/>
          </rPr>
          <t>Select Target Sg-norm Value (i.e.: 95%)
This value is used to determine gyration number at which the target percentage of maximum shear is reached.</t>
        </r>
      </text>
    </comment>
    <comment ref="A9" authorId="0">
      <text>
        <r>
          <rPr>
            <b/>
            <sz val="9"/>
            <color indexed="81"/>
            <rFont val="Tahoma"/>
            <family val="2"/>
          </rPr>
          <t>Gyration (N) where Shear (Sg) = Target Percent of Maximum Shear (i.e.: 95%)</t>
        </r>
      </text>
    </comment>
  </commentList>
</comments>
</file>

<file path=xl/comments8.xml><?xml version="1.0" encoding="utf-8"?>
<comments xmlns="http://schemas.openxmlformats.org/spreadsheetml/2006/main">
  <authors>
    <author>Roger Pyle</author>
  </authors>
  <commentList>
    <comment ref="A8" authorId="0">
      <text>
        <r>
          <rPr>
            <b/>
            <sz val="10"/>
            <color indexed="81"/>
            <rFont val="Tahoma"/>
            <family val="2"/>
          </rPr>
          <t>Gyration Number at Maximum Shear Value of the Shear Curve Fit Function (2nd-Order Polynomial)</t>
        </r>
      </text>
    </comment>
    <comment ref="A9" authorId="0">
      <text>
        <r>
          <rPr>
            <b/>
            <sz val="9"/>
            <color indexed="81"/>
            <rFont val="Tahoma"/>
            <family val="2"/>
          </rPr>
          <t>Maximum Shear Value of the Shear Curve Fit Function (2nd-Order Polynomial)</t>
        </r>
        <r>
          <rPr>
            <sz val="9"/>
            <color indexed="81"/>
            <rFont val="Tahoma"/>
            <family val="2"/>
          </rPr>
          <t xml:space="preserve">
</t>
        </r>
      </text>
    </comment>
    <comment ref="A11" authorId="0">
      <text>
        <r>
          <rPr>
            <b/>
            <sz val="9"/>
            <color indexed="81"/>
            <rFont val="Tahoma"/>
            <family val="2"/>
          </rPr>
          <t xml:space="preserve">Equation Coefficients for 2nd-Order Polynomial Fit Function
</t>
        </r>
      </text>
    </comment>
  </commentList>
</comments>
</file>

<file path=xl/sharedStrings.xml><?xml version="1.0" encoding="utf-8"?>
<sst xmlns="http://schemas.openxmlformats.org/spreadsheetml/2006/main" count="292" uniqueCount="149">
  <si>
    <t>Gyration (#)</t>
  </si>
  <si>
    <t>Diameter(mm):</t>
  </si>
  <si>
    <t>Average:</t>
  </si>
  <si>
    <t>Specimen I.D.:</t>
  </si>
  <si>
    <t>Gmm:</t>
  </si>
  <si>
    <t>Gmb:</t>
  </si>
  <si>
    <t>Final %Gmm</t>
  </si>
  <si>
    <t>Maximum:</t>
  </si>
  <si>
    <t>Final Ht(mm):</t>
  </si>
  <si>
    <t>CFI</t>
  </si>
  <si>
    <t>TFI</t>
  </si>
  <si>
    <t>Gyro File Name:</t>
  </si>
  <si>
    <t>2.  Eliminated the named range "First_Data_Point" so that formulas may be copied without introducing errors.</t>
  </si>
  <si>
    <t>1.  Changed relative references in formulas to Relative Column, Absolute Row so formulas can be copied without introducing errors.</t>
  </si>
  <si>
    <t>Version 12.1, 28-Dec-2010</t>
  </si>
  <si>
    <t>3.  Corrected the formulas for CFI.  It was summing from gyration 1.  Now sums from Gyration 2.</t>
  </si>
  <si>
    <t>Version 12.2, 29-Dec-2010</t>
  </si>
  <si>
    <t>1.  Changed "MATCH" formula in CFI, TFI calculation from 92 to 91.999, 98 to 97.999 to handle exact match.</t>
  </si>
  <si>
    <r>
      <t>N-Sg</t>
    </r>
    <r>
      <rPr>
        <vertAlign val="subscript"/>
        <sz val="11"/>
        <color indexed="8"/>
        <rFont val="Times New Roman"/>
        <family val="1"/>
      </rPr>
      <t>max</t>
    </r>
  </si>
  <si>
    <r>
      <t>r</t>
    </r>
    <r>
      <rPr>
        <vertAlign val="superscript"/>
        <sz val="11"/>
        <color indexed="8"/>
        <rFont val="Times New Roman"/>
        <family val="2"/>
      </rPr>
      <t>2</t>
    </r>
  </si>
  <si>
    <t>Coefficients</t>
  </si>
  <si>
    <t>Version 12.3, 12-Aug-2011</t>
  </si>
  <si>
    <t>1.  Added formulas to calculate Gyration No. at which maximum Shear force occurs.</t>
  </si>
  <si>
    <t>2.  Added "Shear(kPa) Fit" worksheet and chart to perform polynomial curve-fitting on shear data and find max (and corresponding gyration) on resulting curve.</t>
  </si>
  <si>
    <t>Not Used</t>
  </si>
  <si>
    <r>
      <t>c</t>
    </r>
    <r>
      <rPr>
        <vertAlign val="subscript"/>
        <sz val="11"/>
        <color indexed="8"/>
        <rFont val="Times New Roman"/>
        <family val="1"/>
      </rPr>
      <t>1</t>
    </r>
  </si>
  <si>
    <r>
      <t>c</t>
    </r>
    <r>
      <rPr>
        <vertAlign val="subscript"/>
        <sz val="11"/>
        <color indexed="8"/>
        <rFont val="Times New Roman"/>
        <family val="1"/>
      </rPr>
      <t>2</t>
    </r>
  </si>
  <si>
    <r>
      <t>c</t>
    </r>
    <r>
      <rPr>
        <vertAlign val="subscript"/>
        <sz val="11"/>
        <color indexed="8"/>
        <rFont val="Times New Roman"/>
        <family val="1"/>
      </rPr>
      <t>0</t>
    </r>
  </si>
  <si>
    <t>1.  Corrected minor error in the "Shear Chart (Fit)" graph.  Y-data in some series was coming from the wrong worksheet.</t>
  </si>
  <si>
    <t>Maximum Shear (kPa)</t>
  </si>
  <si>
    <t>2.  Changed data on all charts to X-Y Scatter type.  Reformatted chart legends and series markers.</t>
  </si>
  <si>
    <t>Version 12.5, 1-Sep-2011</t>
  </si>
  <si>
    <t>Version 12.4, 17-Aug-2011</t>
  </si>
  <si>
    <r>
      <t xml:space="preserve">3.  Fixed some conditional formatting errors on </t>
    </r>
    <r>
      <rPr>
        <i/>
        <sz val="11"/>
        <color indexed="12"/>
        <rFont val="Times New Roman"/>
        <family val="1"/>
      </rPr>
      <t>Shear(kPa)</t>
    </r>
    <r>
      <rPr>
        <sz val="11"/>
        <color indexed="12"/>
        <rFont val="Times New Roman"/>
        <family val="2"/>
      </rPr>
      <t xml:space="preserve"> Fit worksheet.</t>
    </r>
  </si>
  <si>
    <r>
      <t xml:space="preserve">1.  Added N-Sgmax series to </t>
    </r>
    <r>
      <rPr>
        <i/>
        <sz val="11"/>
        <color indexed="12"/>
        <rFont val="Times New Roman"/>
        <family val="1"/>
      </rPr>
      <t>Max Shear Chart (Fit)</t>
    </r>
    <r>
      <rPr>
        <sz val="11"/>
        <color indexed="12"/>
        <rFont val="Times New Roman"/>
        <family val="2"/>
      </rPr>
      <t xml:space="preserve"> chart and changed name of chart worksheet.</t>
    </r>
  </si>
  <si>
    <t>Version 13.0, 11-Oct-2011</t>
  </si>
  <si>
    <t>1.  Split samples into groups of four.  Workbook now handles 5 groups of four specimens.  Averages are plotted on charts rather than individual specimens.</t>
  </si>
  <si>
    <t>2.  Added Normalized Sg(kPa) worksheet and chart</t>
  </si>
  <si>
    <r>
      <t>N@Sg</t>
    </r>
    <r>
      <rPr>
        <vertAlign val="subscript"/>
        <sz val="10"/>
        <color indexed="8"/>
        <rFont val="Times New Roman"/>
        <family val="2"/>
      </rPr>
      <t>Norm</t>
    </r>
    <r>
      <rPr>
        <sz val="10"/>
        <color indexed="8"/>
        <rFont val="Times New Roman"/>
        <family val="2"/>
      </rPr>
      <t xml:space="preserve"> Target</t>
    </r>
  </si>
  <si>
    <r>
      <t>Sg</t>
    </r>
    <r>
      <rPr>
        <vertAlign val="subscript"/>
        <sz val="10"/>
        <color indexed="8"/>
        <rFont val="Times New Roman"/>
        <family val="2"/>
      </rPr>
      <t>Norm</t>
    </r>
    <r>
      <rPr>
        <sz val="10"/>
        <color indexed="8"/>
        <rFont val="Times New Roman"/>
        <family val="2"/>
      </rPr>
      <t xml:space="preserve"> Target</t>
    </r>
  </si>
  <si>
    <t>Area N1</t>
  </si>
  <si>
    <t>Area N2</t>
  </si>
  <si>
    <t>3.  Added formulas to allow user to calculate area under the Normalized Shear curve and to determine gyration at which a specific Shear value was attained.</t>
  </si>
  <si>
    <r>
      <t>N</t>
    </r>
    <r>
      <rPr>
        <vertAlign val="subscript"/>
        <sz val="11"/>
        <color indexed="8"/>
        <rFont val="Times New Roman"/>
        <family val="1"/>
      </rPr>
      <t>92% Gmm</t>
    </r>
  </si>
  <si>
    <t>2.  Added bar charts for Area Under Sg Norm, N @ Sg Norm, and Resistive Effort W(n1-n2)</t>
  </si>
  <si>
    <t>1.  Added inputs for calculating Resistive Effort between two user-specified gyrations</t>
  </si>
  <si>
    <t>3.  Added Temperature input for each group of specimens</t>
  </si>
  <si>
    <t>4.  The user is now permitted to move worksheets to any position in the workbook.  Sheets may NOT be renamed by the end-user.  New sheets may be added if desired.</t>
  </si>
  <si>
    <t>5.  Worksheet tabs are now color-coded to match chart worksheets to their associated worksheets.</t>
  </si>
  <si>
    <t>6.  Added formulas and chart for Compation Ratio.</t>
  </si>
  <si>
    <r>
      <rPr>
        <sz val="12"/>
        <color indexed="8"/>
        <rFont val="Times New Roman"/>
        <family val="2"/>
      </rPr>
      <t>Σ</t>
    </r>
    <r>
      <rPr>
        <sz val="10"/>
        <color indexed="8"/>
        <rFont val="Times New Roman"/>
        <family val="2"/>
      </rPr>
      <t xml:space="preserve"> w</t>
    </r>
    <r>
      <rPr>
        <vertAlign val="subscript"/>
        <sz val="10"/>
        <color indexed="8"/>
        <rFont val="Times New Roman"/>
        <family val="2"/>
      </rPr>
      <t>(N1-N2)</t>
    </r>
  </si>
  <si>
    <t>Version 14.4, 27-Oct-2011</t>
  </si>
  <si>
    <t>7.  Added bar charts for CFI and TFI</t>
  </si>
  <si>
    <t>Version 14.5, 28-Nov-2011</t>
  </si>
  <si>
    <t>1.  Added chart for Sg vs % Gmm</t>
  </si>
  <si>
    <t>Locking Point:</t>
  </si>
  <si>
    <t>CDI:</t>
  </si>
  <si>
    <t>Std. Dev.</t>
  </si>
  <si>
    <t>COV</t>
  </si>
  <si>
    <t>95% CI</t>
  </si>
  <si>
    <t>Average</t>
  </si>
  <si>
    <t>Version 14.6, 05-Apr-2012</t>
  </si>
  <si>
    <t>3.  Added Statistics worksheet and supporting code.</t>
  </si>
  <si>
    <t>1.  Added code to generate formulas for Locking Point to row 6 of Height worksheet.</t>
  </si>
  <si>
    <t>2.  Added code to generate formulas for CDI to row 4 of %Gmm worksheet.</t>
  </si>
  <si>
    <t>Specimen 1</t>
  </si>
  <si>
    <t>Specimen 2</t>
  </si>
  <si>
    <t>Specimen 3</t>
  </si>
  <si>
    <t>Specimen 4</t>
  </si>
  <si>
    <r>
      <t>Locking Point (LP</t>
    </r>
    <r>
      <rPr>
        <vertAlign val="subscript"/>
        <sz val="11"/>
        <color indexed="8"/>
        <rFont val="Tahoma"/>
        <family val="2"/>
      </rPr>
      <t>2-2</t>
    </r>
    <r>
      <rPr>
        <sz val="11"/>
        <color indexed="8"/>
        <rFont val="Tahoma"/>
        <family val="2"/>
      </rPr>
      <t>)</t>
    </r>
  </si>
  <si>
    <r>
      <t>G</t>
    </r>
    <r>
      <rPr>
        <vertAlign val="subscript"/>
        <sz val="11"/>
        <color indexed="8"/>
        <rFont val="Tahoma"/>
        <family val="2"/>
      </rPr>
      <t>mb</t>
    </r>
  </si>
  <si>
    <t>Version 14.7, 14-May-2012</t>
  </si>
  <si>
    <t>1.  Fixed formula for finding N@Sgnorm on Normalized Sg sheet.  Now finds N for shear curves that peak, then drop off.</t>
  </si>
  <si>
    <t>2.  Added label formulas that were missing in Column A of the Statistics worksheet.</t>
  </si>
  <si>
    <t>3.  Changed conditional formatting and wording on Statistics worksheet.  Red = Different, Green = Not Different.</t>
  </si>
  <si>
    <t>4.  Fixed Normalized Sg Chart - Series 5 had formula for Sg, not Normalized Sg</t>
  </si>
  <si>
    <t>TFI +</t>
  </si>
  <si>
    <t>TFI -</t>
  </si>
  <si>
    <t>1.  Added charts for each GROUP of Sg specimens.  Variations within groups show up better on separate charts.</t>
  </si>
  <si>
    <t>2.  Added button to allow user to select end points used in TFI calculations (default range is 92-98)</t>
  </si>
  <si>
    <t>3.  Changed buttons so they won't resize with cells and fail to work when workbook is saved.</t>
  </si>
  <si>
    <t>4.  Added the following charts: %Gmm vs. Gyration, CDI Bar, Locking Point (bar), N @ %Norm Sg Bar, N @ Sg(kPa) Fit Bar.</t>
  </si>
  <si>
    <t>Version 14.8, 09-Aug-2012 - Note: The charts in this version only show 4 groups.  A fifth group of data can be added to the charts if desired.</t>
  </si>
  <si>
    <t>Version 14.9, 27-Aug-2012 - Note: The charts in this version only show 4 groups.  A fifth group of data can be added to the charts if desired.</t>
  </si>
  <si>
    <t>1.  Removed buttons from worksheets.  Custom VBA procedures (macros) are now run from the "Pine SGC Shear" tab in the Ribbon.</t>
  </si>
  <si>
    <t>GCI:</t>
  </si>
  <si>
    <t>1.  Added formula for GCI in Row 7 of "Height" worksheet.  Gmm and Gmb are now entered on "%Gmm" worksheet.</t>
  </si>
  <si>
    <t>2.  Charts now show all five data groups.  Corrected some color issues.</t>
  </si>
  <si>
    <t>Version 15.0, 01-Nov-2012</t>
  </si>
  <si>
    <t>Version 15.1, 22-Jan-2013</t>
  </si>
  <si>
    <t>1.  Corrected formula for Series 4 on CDI Bar chart.</t>
  </si>
  <si>
    <t>Version 15.2, 4-Feb-2013</t>
  </si>
  <si>
    <t>1.  Added comment fields.</t>
  </si>
  <si>
    <t>Temp. (°C):</t>
  </si>
  <si>
    <t>Quick Start</t>
  </si>
  <si>
    <t>1.  Added Std. Dev. to some values and error bars to some bar charts.</t>
  </si>
  <si>
    <t>2.  Added Quick-Start help window.</t>
  </si>
  <si>
    <t>Version 15.3, 14-Feb-2013</t>
  </si>
  <si>
    <t>1. Set Sg-norm N2 = N@.95Sg-norm</t>
  </si>
  <si>
    <t>Version 15.4, 08-Apr-2013</t>
  </si>
  <si>
    <t>1. Modified VBA code to make workbook compatible with 64-bit versions of Windows and Excel.</t>
  </si>
  <si>
    <t>%Gmm</t>
  </si>
  <si>
    <t>h92</t>
  </si>
  <si>
    <t>h96</t>
  </si>
  <si>
    <t>N=2</t>
  </si>
  <si>
    <t>NSI</t>
  </si>
  <si>
    <r>
      <t>CDI (Construction Densification Index)
 N=8 to N</t>
    </r>
    <r>
      <rPr>
        <vertAlign val="subscript"/>
        <sz val="11"/>
        <color indexed="8"/>
        <rFont val="Tahoma"/>
        <family val="2"/>
      </rPr>
      <t>92</t>
    </r>
  </si>
  <si>
    <r>
      <t>G</t>
    </r>
    <r>
      <rPr>
        <vertAlign val="subscript"/>
        <sz val="11"/>
        <color theme="1"/>
        <rFont val="Tahoma"/>
        <family val="2"/>
      </rPr>
      <t>mm</t>
    </r>
  </si>
  <si>
    <r>
      <t>G</t>
    </r>
    <r>
      <rPr>
        <vertAlign val="subscript"/>
        <sz val="11"/>
        <color theme="1"/>
        <rFont val="Tahoma"/>
        <family val="2"/>
      </rPr>
      <t>mb</t>
    </r>
  </si>
  <si>
    <r>
      <t>CFI 
(Construction Force Index)
 N=2 to N</t>
    </r>
    <r>
      <rPr>
        <vertAlign val="subscript"/>
        <sz val="11"/>
        <color indexed="8"/>
        <rFont val="Tahoma"/>
        <family val="2"/>
      </rPr>
      <t>92</t>
    </r>
  </si>
  <si>
    <r>
      <t>TFI (Traffic Force Index)
N</t>
    </r>
    <r>
      <rPr>
        <vertAlign val="subscript"/>
        <sz val="11"/>
        <color theme="1"/>
        <rFont val="Tahoma"/>
        <family val="2"/>
      </rPr>
      <t xml:space="preserve">92 </t>
    </r>
    <r>
      <rPr>
        <sz val="11"/>
        <color theme="1"/>
        <rFont val="Tahoma"/>
        <family val="2"/>
      </rPr>
      <t>to N</t>
    </r>
    <r>
      <rPr>
        <vertAlign val="subscript"/>
        <sz val="11"/>
        <color theme="1"/>
        <rFont val="Tahoma"/>
        <family val="2"/>
      </rPr>
      <t>98</t>
    </r>
  </si>
  <si>
    <r>
      <t>N</t>
    </r>
    <r>
      <rPr>
        <vertAlign val="subscript"/>
        <sz val="10"/>
        <color theme="1"/>
        <rFont val="Times New Roman"/>
        <family val="1"/>
      </rPr>
      <t>92</t>
    </r>
  </si>
  <si>
    <t>N92 
(Gyration@%Gmm = 92)</t>
  </si>
  <si>
    <r>
      <t>NSI
(Normalized Shear Index)
N=2 to N</t>
    </r>
    <r>
      <rPr>
        <vertAlign val="subscript"/>
        <sz val="11"/>
        <color indexed="8"/>
        <rFont val="Tahoma"/>
        <family val="2"/>
      </rPr>
      <t>92</t>
    </r>
  </si>
  <si>
    <t>Group
Averages</t>
  </si>
  <si>
    <t>Diameter (mm)</t>
  </si>
  <si>
    <t>Temperature(°C)</t>
  </si>
  <si>
    <t>Pressure (kPa)</t>
  </si>
  <si>
    <t>Angle (°)</t>
  </si>
  <si>
    <t>Air Voids</t>
  </si>
  <si>
    <t>Summary
Report</t>
  </si>
  <si>
    <r>
      <t xml:space="preserve">Gyration (#)       </t>
    </r>
    <r>
      <rPr>
        <sz val="8"/>
        <color indexed="8"/>
        <rFont val="Times New Roman"/>
        <family val="1"/>
      </rPr>
      <t>(below coefficients)</t>
    </r>
  </si>
  <si>
    <t xml:space="preserve"> </t>
  </si>
  <si>
    <t>Version 15.5, 01-Aug-2013</t>
  </si>
  <si>
    <t>2. Added Normalized Shear Index (NSI).</t>
  </si>
  <si>
    <t>3. Removed Gyration Ratio from %Gmm worksheet.  Removed Gyration Ratio chart.</t>
  </si>
  <si>
    <t>4. Added WEI and CEI formulas to Pressure worksheet.  Added WEI and CEI charts.</t>
  </si>
  <si>
    <t>1. Added 6th group to all data worksheets.</t>
  </si>
  <si>
    <t>5. Added Summary worksheet.  Deleted Statistics worksheet.</t>
  </si>
  <si>
    <t>7. Corrected formatting and error checking throughout workbook.</t>
  </si>
  <si>
    <t>8. Changed workbook name from "Pine SGC Shear" to "Pine Shear+".</t>
  </si>
  <si>
    <t>6. Added more information to "Quick Start" screens, including advisory about Auto-Calculation.</t>
  </si>
  <si>
    <t>9. Added protection to all input worksheets so that formulas cannot be altered (disable by setting "_protect" = FALSE).</t>
  </si>
  <si>
    <r>
      <t>WEI (Workability Energy Index)
N=0 to N</t>
    </r>
    <r>
      <rPr>
        <vertAlign val="subscript"/>
        <sz val="11"/>
        <color theme="1"/>
        <rFont val="Tahoma"/>
        <family val="2"/>
      </rPr>
      <t>92</t>
    </r>
  </si>
  <si>
    <r>
      <t>CEI (Compactability Energy Index)
N</t>
    </r>
    <r>
      <rPr>
        <vertAlign val="subscript"/>
        <sz val="11"/>
        <color theme="1"/>
        <rFont val="Tahoma"/>
        <family val="2"/>
      </rPr>
      <t>92</t>
    </r>
    <r>
      <rPr>
        <sz val="11"/>
        <color theme="1"/>
        <rFont val="Tahoma"/>
        <family val="2"/>
      </rPr>
      <t xml:space="preserve"> to N</t>
    </r>
    <r>
      <rPr>
        <vertAlign val="subscript"/>
        <sz val="11"/>
        <color theme="1"/>
        <rFont val="Tahoma"/>
        <family val="2"/>
      </rPr>
      <t>96</t>
    </r>
  </si>
  <si>
    <r>
      <t>WEI(0-N</t>
    </r>
    <r>
      <rPr>
        <vertAlign val="subscript"/>
        <sz val="11"/>
        <color theme="1"/>
        <rFont val="Times New Roman"/>
        <family val="1"/>
      </rPr>
      <t>92</t>
    </r>
    <r>
      <rPr>
        <sz val="11"/>
        <color theme="1"/>
        <rFont val="Times New Roman"/>
        <family val="2"/>
      </rPr>
      <t>)</t>
    </r>
  </si>
  <si>
    <r>
      <t>CEI(N</t>
    </r>
    <r>
      <rPr>
        <vertAlign val="subscript"/>
        <sz val="11"/>
        <color theme="1"/>
        <rFont val="Times New Roman"/>
        <family val="1"/>
      </rPr>
      <t>92</t>
    </r>
    <r>
      <rPr>
        <sz val="11"/>
        <color theme="1"/>
        <rFont val="Times New Roman"/>
        <family val="2"/>
      </rPr>
      <t>-N</t>
    </r>
    <r>
      <rPr>
        <vertAlign val="subscript"/>
        <sz val="11"/>
        <color theme="1"/>
        <rFont val="Times New Roman"/>
        <family val="1"/>
      </rPr>
      <t>96</t>
    </r>
    <r>
      <rPr>
        <sz val="11"/>
        <color theme="1"/>
        <rFont val="Times New Roman"/>
        <family val="2"/>
      </rPr>
      <t>)</t>
    </r>
  </si>
  <si>
    <t>Group 1</t>
  </si>
  <si>
    <t>Group 2</t>
  </si>
  <si>
    <t>Group 3</t>
  </si>
  <si>
    <t>Group 4</t>
  </si>
  <si>
    <t>Group 5</t>
  </si>
  <si>
    <t>Group 6</t>
  </si>
  <si>
    <t>1. AddedNorm Sg vs. %Gmm Chart</t>
  </si>
  <si>
    <t>V15.6</t>
  </si>
  <si>
    <t>Version 15.6, 19-Nov-2013</t>
  </si>
  <si>
    <t>2. Summary sheet corrections on Group 6 formulas</t>
  </si>
  <si>
    <t>© 2010-2013 Pine Instrument Company</t>
  </si>
  <si>
    <t xml:space="preserve">Workbook Revision History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</si>
</sst>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
    <numFmt numFmtId="165" formatCode="0.000"/>
    <numFmt numFmtId="166" formatCode="0.00000"/>
    <numFmt numFmtId="167" formatCode="\σ\ 0.00"/>
    <numFmt numFmtId="168" formatCode="\x\̅\ 0.00"/>
    <numFmt numFmtId="169" formatCode="\x\̅\ 0.0"/>
    <numFmt numFmtId="170" formatCode="\σ\ 0.0"/>
    <numFmt numFmtId="171" formatCode=";;;"/>
    <numFmt numFmtId="172" formatCode="&quot;WEI &quot;\x\̅\ 0.00"/>
    <numFmt numFmtId="173" formatCode="&quot;WEI &quot;\σ\ 0.00"/>
    <numFmt numFmtId="174" formatCode="&quot;CEI &quot;\x\̅\ 0.00"/>
    <numFmt numFmtId="175" formatCode="&quot;CEI &quot;\σ\ 0.00"/>
    <numFmt numFmtId="176" formatCode="0.0%"/>
  </numFmts>
  <fonts count="55" x14ac:knownFonts="1">
    <font>
      <sz val="11"/>
      <color theme="1"/>
      <name val="Times New Roman"/>
      <family val="2"/>
    </font>
    <font>
      <vertAlign val="subscript"/>
      <sz val="11"/>
      <color indexed="8"/>
      <name val="Times New Roman"/>
      <family val="1"/>
    </font>
    <font>
      <vertAlign val="superscript"/>
      <sz val="11"/>
      <color indexed="8"/>
      <name val="Times New Roman"/>
      <family val="2"/>
    </font>
    <font>
      <sz val="8"/>
      <color indexed="8"/>
      <name val="Times New Roman"/>
      <family val="1"/>
    </font>
    <font>
      <sz val="11"/>
      <color indexed="12"/>
      <name val="Times New Roman"/>
      <family val="2"/>
    </font>
    <font>
      <i/>
      <sz val="11"/>
      <color indexed="12"/>
      <name val="Times New Roman"/>
      <family val="1"/>
    </font>
    <font>
      <sz val="10"/>
      <color indexed="81"/>
      <name val="Tahoma"/>
      <family val="2"/>
    </font>
    <font>
      <sz val="10"/>
      <color indexed="8"/>
      <name val="Times New Roman"/>
      <family val="2"/>
    </font>
    <font>
      <vertAlign val="subscript"/>
      <sz val="10"/>
      <color indexed="8"/>
      <name val="Times New Roman"/>
      <family val="2"/>
    </font>
    <font>
      <sz val="12"/>
      <color indexed="8"/>
      <name val="Times New Roman"/>
      <family val="2"/>
    </font>
    <font>
      <sz val="11"/>
      <color indexed="8"/>
      <name val="Tahoma"/>
      <family val="2"/>
    </font>
    <font>
      <vertAlign val="subscript"/>
      <sz val="11"/>
      <color indexed="8"/>
      <name val="Tahoma"/>
      <family val="2"/>
    </font>
    <font>
      <b/>
      <sz val="14"/>
      <color theme="0"/>
      <name val="Arial"/>
      <family val="2"/>
    </font>
    <font>
      <b/>
      <sz val="16"/>
      <color theme="1"/>
      <name val="Times New Roman"/>
      <family val="1"/>
    </font>
    <font>
      <b/>
      <sz val="11"/>
      <color theme="1"/>
      <name val="Times New Roman"/>
      <family val="1"/>
    </font>
    <font>
      <sz val="11"/>
      <color rgb="FF0000FF"/>
      <name val="Times New Roman"/>
      <family val="2"/>
    </font>
    <font>
      <b/>
      <sz val="11"/>
      <color rgb="FF0000CC"/>
      <name val="Times New Roman"/>
      <family val="1"/>
    </font>
    <font>
      <b/>
      <sz val="11"/>
      <color rgb="FFC00000"/>
      <name val="Times New Roman"/>
      <family val="1"/>
    </font>
    <font>
      <sz val="11"/>
      <color theme="1"/>
      <name val="Times New Roman"/>
      <family val="1"/>
    </font>
    <font>
      <sz val="14"/>
      <color theme="1"/>
      <name val="Times New Roman"/>
      <family val="2"/>
    </font>
    <font>
      <sz val="11"/>
      <color theme="0"/>
      <name val="Times New Roman"/>
      <family val="2"/>
    </font>
    <font>
      <b/>
      <sz val="11"/>
      <color rgb="FF0000FF"/>
      <name val="Times New Roman"/>
      <family val="1"/>
    </font>
    <font>
      <sz val="10"/>
      <color theme="1"/>
      <name val="Times New Roman"/>
      <family val="2"/>
    </font>
    <font>
      <sz val="12"/>
      <color theme="1"/>
      <name val="Times New Roman"/>
      <family val="2"/>
    </font>
    <font>
      <sz val="8"/>
      <color theme="1"/>
      <name val="Times New Roman"/>
      <family val="2"/>
    </font>
    <font>
      <sz val="11"/>
      <color theme="0" tint="-4.9989318521683403E-2"/>
      <name val="Times New Roman"/>
      <family val="2"/>
    </font>
    <font>
      <sz val="10"/>
      <color theme="1"/>
      <name val="Times New Roman"/>
      <family val="1"/>
    </font>
    <font>
      <i/>
      <sz val="11"/>
      <color theme="1"/>
      <name val="Times New Roman"/>
      <family val="1"/>
    </font>
    <font>
      <sz val="11"/>
      <color theme="4" tint="0.59999389629810485"/>
      <name val="Times New Roman"/>
      <family val="1"/>
    </font>
    <font>
      <sz val="11"/>
      <color theme="6" tint="0.59999389629810485"/>
      <name val="Times New Roman"/>
      <family val="1"/>
    </font>
    <font>
      <sz val="11"/>
      <color theme="5" tint="0.59999389629810485"/>
      <name val="Times New Roman"/>
      <family val="1"/>
    </font>
    <font>
      <sz val="11"/>
      <color theme="8" tint="0.59999389629810485"/>
      <name val="Times New Roman"/>
      <family val="1"/>
    </font>
    <font>
      <sz val="11"/>
      <color theme="9" tint="0.59999389629810485"/>
      <name val="Times New Roman"/>
      <family val="1"/>
    </font>
    <font>
      <sz val="10"/>
      <color theme="1"/>
      <name val="Tahoma"/>
      <family val="2"/>
    </font>
    <font>
      <sz val="11"/>
      <color theme="1"/>
      <name val="Tahoma"/>
      <family val="2"/>
    </font>
    <font>
      <sz val="12"/>
      <color theme="1"/>
      <name val="Times New Roman"/>
      <family val="1"/>
    </font>
    <font>
      <sz val="9"/>
      <color indexed="81"/>
      <name val="Tahoma"/>
      <family val="2"/>
    </font>
    <font>
      <b/>
      <sz val="10"/>
      <color theme="1"/>
      <name val="Times New Roman"/>
      <family val="1"/>
    </font>
    <font>
      <sz val="14"/>
      <color theme="1"/>
      <name val="Times New Roman"/>
      <family val="1"/>
    </font>
    <font>
      <b/>
      <sz val="14"/>
      <color rgb="FF0000FF"/>
      <name val="Times New Roman"/>
      <family val="2"/>
    </font>
    <font>
      <sz val="11"/>
      <color theme="1"/>
      <name val="Times New Roman"/>
      <family val="2"/>
    </font>
    <font>
      <sz val="8"/>
      <color indexed="81"/>
      <name val="Tahoma"/>
      <family val="2"/>
    </font>
    <font>
      <b/>
      <sz val="9"/>
      <color indexed="81"/>
      <name val="Tahoma"/>
      <family val="2"/>
    </font>
    <font>
      <sz val="11"/>
      <name val="Times New Roman"/>
      <family val="1"/>
    </font>
    <font>
      <vertAlign val="subscript"/>
      <sz val="11"/>
      <color theme="1"/>
      <name val="Tahoma"/>
      <family val="2"/>
    </font>
    <font>
      <vertAlign val="subscript"/>
      <sz val="10"/>
      <color theme="1"/>
      <name val="Times New Roman"/>
      <family val="1"/>
    </font>
    <font>
      <sz val="11"/>
      <color theme="7" tint="0.59999389629810485"/>
      <name val="Times New Roman"/>
      <family val="1"/>
    </font>
    <font>
      <sz val="11"/>
      <color rgb="FF003300"/>
      <name val="Times New Roman"/>
      <family val="1"/>
    </font>
    <font>
      <b/>
      <i/>
      <sz val="11"/>
      <color theme="1"/>
      <name val="Times New Roman"/>
      <family val="1"/>
    </font>
    <font>
      <vertAlign val="subscript"/>
      <sz val="11"/>
      <color theme="1"/>
      <name val="Times New Roman"/>
      <family val="1"/>
    </font>
    <font>
      <b/>
      <sz val="9"/>
      <color theme="1"/>
      <name val="Times New Roman"/>
      <family val="1"/>
    </font>
    <font>
      <b/>
      <i/>
      <sz val="9"/>
      <color indexed="81"/>
      <name val="Tahoma"/>
      <family val="2"/>
    </font>
    <font>
      <b/>
      <sz val="10"/>
      <color indexed="81"/>
      <name val="Tahoma"/>
      <family val="2"/>
    </font>
    <font>
      <b/>
      <sz val="9"/>
      <color indexed="81"/>
      <name val="Calibri"/>
      <family val="2"/>
    </font>
    <font>
      <b/>
      <sz val="12"/>
      <color indexed="81"/>
      <name val="Tahoma"/>
      <family val="2"/>
    </font>
  </fonts>
  <fills count="21">
    <fill>
      <patternFill patternType="none"/>
    </fill>
    <fill>
      <patternFill patternType="gray125"/>
    </fill>
    <fill>
      <patternFill patternType="solid">
        <fgColor rgb="FF0070C0"/>
        <bgColor indexed="64"/>
      </patternFill>
    </fill>
    <fill>
      <patternFill patternType="solid">
        <fgColor rgb="FFFFFFCC"/>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FFFF00"/>
        <bgColor indexed="64"/>
      </patternFill>
    </fill>
    <fill>
      <patternFill patternType="solid">
        <fgColor rgb="FFB6DDE8"/>
        <bgColor indexed="64"/>
      </patternFill>
    </fill>
    <fill>
      <patternFill patternType="solid">
        <fgColor theme="7" tint="0.59999389629810485"/>
        <bgColor indexed="64"/>
      </patternFill>
    </fill>
    <fill>
      <patternFill patternType="solid">
        <fgColor theme="7" tint="0.79998168889431442"/>
        <bgColor indexed="64"/>
      </patternFill>
    </fill>
  </fills>
  <borders count="7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thin">
        <color auto="1"/>
      </bottom>
      <diagonal/>
    </border>
    <border>
      <left style="thin">
        <color auto="1"/>
      </left>
      <right/>
      <top style="medium">
        <color auto="1"/>
      </top>
      <bottom style="thin">
        <color auto="1"/>
      </bottom>
      <diagonal/>
    </border>
    <border>
      <left style="thin">
        <color auto="1"/>
      </left>
      <right style="medium">
        <color auto="1"/>
      </right>
      <top/>
      <bottom/>
      <diagonal/>
    </border>
    <border>
      <left/>
      <right/>
      <top style="medium">
        <color auto="1"/>
      </top>
      <bottom style="thin">
        <color auto="1"/>
      </bottom>
      <diagonal/>
    </border>
    <border>
      <left/>
      <right/>
      <top style="thin">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thin">
        <color auto="1"/>
      </left>
      <right/>
      <top style="thin">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style="medium">
        <color auto="1"/>
      </top>
      <bottom/>
      <diagonal/>
    </border>
    <border>
      <left style="medium">
        <color auto="1"/>
      </left>
      <right style="medium">
        <color auto="1"/>
      </right>
      <top style="thin">
        <color auto="1"/>
      </top>
      <bottom/>
      <diagonal/>
    </border>
    <border>
      <left/>
      <right/>
      <top/>
      <bottom style="medium">
        <color auto="1"/>
      </bottom>
      <diagonal/>
    </border>
    <border>
      <left/>
      <right/>
      <top/>
      <bottom style="thin">
        <color auto="1"/>
      </bottom>
      <diagonal/>
    </border>
    <border>
      <left/>
      <right style="thin">
        <color auto="1"/>
      </right>
      <top/>
      <bottom style="thin">
        <color auto="1"/>
      </bottom>
      <diagonal/>
    </border>
    <border>
      <left/>
      <right style="thin">
        <color auto="1"/>
      </right>
      <top style="medium">
        <color auto="1"/>
      </top>
      <bottom style="thin">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bottom style="medium">
        <color auto="1"/>
      </bottom>
      <diagonal/>
    </border>
    <border>
      <left style="medium">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thin">
        <color auto="1"/>
      </left>
      <right/>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medium">
        <color auto="1"/>
      </left>
      <right/>
      <top style="medium">
        <color auto="1"/>
      </top>
      <bottom/>
      <diagonal/>
    </border>
    <border>
      <left style="medium">
        <color auto="1"/>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style="thin">
        <color indexed="64"/>
      </bottom>
      <diagonal/>
    </border>
    <border>
      <left style="medium">
        <color auto="1"/>
      </left>
      <right/>
      <top/>
      <bottom style="thin">
        <color auto="1"/>
      </bottom>
      <diagonal/>
    </border>
    <border>
      <left style="medium">
        <color auto="1"/>
      </left>
      <right/>
      <top style="thin">
        <color auto="1"/>
      </top>
      <bottom style="medium">
        <color indexed="64"/>
      </bottom>
      <diagonal/>
    </border>
    <border>
      <left/>
      <right style="medium">
        <color auto="1"/>
      </right>
      <top style="thin">
        <color auto="1"/>
      </top>
      <bottom style="medium">
        <color indexed="64"/>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s>
  <cellStyleXfs count="2">
    <xf numFmtId="0" fontId="0" fillId="0" borderId="0"/>
    <xf numFmtId="9" fontId="40" fillId="0" borderId="0" applyFont="0" applyFill="0" applyBorder="0" applyAlignment="0" applyProtection="0"/>
  </cellStyleXfs>
  <cellXfs count="1518">
    <xf numFmtId="0" fontId="0" fillId="0" borderId="0" xfId="0"/>
    <xf numFmtId="164" fontId="0" fillId="0" borderId="0" xfId="0" applyNumberFormat="1"/>
    <xf numFmtId="0" fontId="0" fillId="0" borderId="0" xfId="0" applyAlignment="1">
      <alignment horizontal="right"/>
    </xf>
    <xf numFmtId="1" fontId="0" fillId="0" borderId="0" xfId="0" applyNumberFormat="1" applyAlignment="1">
      <alignment horizontal="right"/>
    </xf>
    <xf numFmtId="0" fontId="12" fillId="2" borderId="1" xfId="0" applyFont="1" applyFill="1" applyBorder="1" applyAlignment="1" applyProtection="1">
      <alignment horizontal="center" vertical="center"/>
    </xf>
    <xf numFmtId="0" fontId="0" fillId="3" borderId="2" xfId="0" applyFill="1" applyBorder="1" applyAlignment="1" applyProtection="1">
      <alignment horizontal="left" indent="2"/>
    </xf>
    <xf numFmtId="0" fontId="0" fillId="3" borderId="3" xfId="0" applyFill="1" applyBorder="1" applyProtection="1"/>
    <xf numFmtId="0" fontId="0" fillId="0" borderId="0" xfId="0" applyProtection="1"/>
    <xf numFmtId="0" fontId="0" fillId="3" borderId="1" xfId="0" applyFill="1" applyBorder="1" applyProtection="1"/>
    <xf numFmtId="0" fontId="13" fillId="3" borderId="2" xfId="0" applyFont="1" applyFill="1" applyBorder="1" applyAlignment="1" applyProtection="1">
      <alignment horizontal="left" indent="2"/>
    </xf>
    <xf numFmtId="0" fontId="14" fillId="3" borderId="2" xfId="0" applyFont="1" applyFill="1" applyBorder="1" applyAlignment="1" applyProtection="1">
      <alignment horizontal="left" indent="2"/>
    </xf>
    <xf numFmtId="0" fontId="15" fillId="3" borderId="2" xfId="0" applyFont="1" applyFill="1" applyBorder="1" applyAlignment="1" applyProtection="1">
      <alignment horizontal="left" indent="3"/>
    </xf>
    <xf numFmtId="0" fontId="16" fillId="5" borderId="4" xfId="0" applyFont="1" applyFill="1" applyBorder="1" applyAlignment="1">
      <alignment horizontal="center" textRotation="90"/>
    </xf>
    <xf numFmtId="0" fontId="16" fillId="5" borderId="5" xfId="0" applyFont="1" applyFill="1" applyBorder="1" applyAlignment="1">
      <alignment horizontal="center" textRotation="90"/>
    </xf>
    <xf numFmtId="0" fontId="16" fillId="5" borderId="6" xfId="0" applyFont="1" applyFill="1" applyBorder="1" applyAlignment="1">
      <alignment horizontal="center" textRotation="90"/>
    </xf>
    <xf numFmtId="0" fontId="16" fillId="6" borderId="5" xfId="0" applyFont="1" applyFill="1" applyBorder="1" applyAlignment="1">
      <alignment horizontal="center" textRotation="90"/>
    </xf>
    <xf numFmtId="0" fontId="16" fillId="7" borderId="5" xfId="0" applyFont="1" applyFill="1" applyBorder="1" applyAlignment="1">
      <alignment horizontal="center" textRotation="90"/>
    </xf>
    <xf numFmtId="0" fontId="16" fillId="8" borderId="5" xfId="0" applyFont="1" applyFill="1" applyBorder="1" applyAlignment="1">
      <alignment horizontal="center" textRotation="90"/>
    </xf>
    <xf numFmtId="164" fontId="0" fillId="5" borderId="7" xfId="0" applyNumberFormat="1" applyFill="1" applyBorder="1"/>
    <xf numFmtId="164" fontId="0" fillId="5" borderId="8" xfId="0" applyNumberFormat="1" applyFill="1" applyBorder="1"/>
    <xf numFmtId="164" fontId="0" fillId="8" borderId="7" xfId="0" applyNumberFormat="1" applyFill="1" applyBorder="1"/>
    <xf numFmtId="164" fontId="0" fillId="8" borderId="8" xfId="0" applyNumberFormat="1" applyFill="1" applyBorder="1"/>
    <xf numFmtId="0" fontId="16" fillId="9" borderId="4" xfId="0" applyFont="1" applyFill="1" applyBorder="1" applyAlignment="1">
      <alignment horizontal="center" textRotation="90"/>
    </xf>
    <xf numFmtId="0" fontId="16" fillId="9" borderId="5" xfId="0" applyFont="1" applyFill="1" applyBorder="1" applyAlignment="1">
      <alignment horizontal="center" textRotation="90"/>
    </xf>
    <xf numFmtId="0" fontId="16" fillId="7" borderId="14" xfId="0" applyFont="1" applyFill="1" applyBorder="1" applyAlignment="1">
      <alignment horizontal="center" textRotation="90"/>
    </xf>
    <xf numFmtId="164" fontId="0" fillId="5" borderId="9" xfId="0" applyNumberFormat="1" applyFill="1" applyBorder="1"/>
    <xf numFmtId="164" fontId="0" fillId="9" borderId="9" xfId="0" applyNumberFormat="1" applyFill="1" applyBorder="1"/>
    <xf numFmtId="164" fontId="0" fillId="6" borderId="9" xfId="0" applyNumberFormat="1" applyFill="1" applyBorder="1"/>
    <xf numFmtId="164" fontId="0" fillId="9" borderId="7" xfId="0" applyNumberFormat="1" applyFill="1" applyBorder="1"/>
    <xf numFmtId="164" fontId="0" fillId="9" borderId="8" xfId="0" applyNumberFormat="1" applyFill="1" applyBorder="1"/>
    <xf numFmtId="164" fontId="0" fillId="6" borderId="7" xfId="0" applyNumberFormat="1" applyFill="1" applyBorder="1"/>
    <xf numFmtId="164" fontId="0" fillId="6" borderId="8" xfId="0" applyNumberFormat="1" applyFill="1" applyBorder="1"/>
    <xf numFmtId="164" fontId="0" fillId="8" borderId="9" xfId="0" applyNumberFormat="1" applyFill="1" applyBorder="1"/>
    <xf numFmtId="164" fontId="0" fillId="7" borderId="7" xfId="0" applyNumberFormat="1" applyFill="1" applyBorder="1"/>
    <xf numFmtId="164" fontId="0" fillId="7" borderId="8" xfId="0" applyNumberFormat="1" applyFill="1" applyBorder="1"/>
    <xf numFmtId="164" fontId="0" fillId="7" borderId="13" xfId="0" applyNumberFormat="1" applyFill="1" applyBorder="1"/>
    <xf numFmtId="0" fontId="0" fillId="15" borderId="26" xfId="0" applyFill="1" applyBorder="1" applyAlignment="1">
      <alignment horizontal="right"/>
    </xf>
    <xf numFmtId="0" fontId="0" fillId="15" borderId="27" xfId="0" applyFill="1" applyBorder="1" applyAlignment="1">
      <alignment textRotation="90"/>
    </xf>
    <xf numFmtId="0" fontId="14" fillId="15" borderId="18" xfId="0" applyFont="1" applyFill="1" applyBorder="1" applyAlignment="1">
      <alignment horizontal="right" textRotation="90"/>
    </xf>
    <xf numFmtId="164" fontId="0" fillId="10" borderId="26" xfId="0" applyNumberFormat="1" applyFill="1" applyBorder="1"/>
    <xf numFmtId="0" fontId="0" fillId="10" borderId="30" xfId="0" applyFill="1" applyBorder="1" applyAlignment="1">
      <alignment horizontal="right"/>
    </xf>
    <xf numFmtId="164" fontId="0" fillId="10" borderId="30" xfId="0" applyNumberFormat="1" applyFill="1" applyBorder="1"/>
    <xf numFmtId="0" fontId="0" fillId="11" borderId="30" xfId="0" applyFill="1" applyBorder="1" applyAlignment="1">
      <alignment horizontal="right"/>
    </xf>
    <xf numFmtId="164" fontId="0" fillId="11" borderId="26" xfId="0" applyNumberFormat="1" applyFill="1" applyBorder="1"/>
    <xf numFmtId="164" fontId="0" fillId="11" borderId="30" xfId="0" applyNumberFormat="1" applyFill="1" applyBorder="1"/>
    <xf numFmtId="0" fontId="0" fillId="12" borderId="30" xfId="0" applyFill="1" applyBorder="1" applyAlignment="1">
      <alignment horizontal="right"/>
    </xf>
    <xf numFmtId="164" fontId="0" fillId="12" borderId="26" xfId="0" applyNumberFormat="1" applyFill="1" applyBorder="1"/>
    <xf numFmtId="164" fontId="0" fillId="12" borderId="30" xfId="0" applyNumberFormat="1" applyFill="1" applyBorder="1"/>
    <xf numFmtId="0" fontId="0" fillId="13" borderId="30" xfId="0" applyFill="1" applyBorder="1" applyAlignment="1">
      <alignment horizontal="right"/>
    </xf>
    <xf numFmtId="164" fontId="0" fillId="13" borderId="26" xfId="0" applyNumberFormat="1" applyFill="1" applyBorder="1"/>
    <xf numFmtId="164" fontId="0" fillId="13" borderId="30" xfId="0" applyNumberFormat="1" applyFill="1" applyBorder="1"/>
    <xf numFmtId="0" fontId="0" fillId="14" borderId="30" xfId="0" applyFill="1" applyBorder="1" applyAlignment="1">
      <alignment horizontal="right"/>
    </xf>
    <xf numFmtId="164" fontId="0" fillId="14" borderId="26" xfId="0" applyNumberFormat="1" applyFill="1" applyBorder="1"/>
    <xf numFmtId="164" fontId="0" fillId="14" borderId="30" xfId="0" applyNumberFormat="1" applyFill="1" applyBorder="1"/>
    <xf numFmtId="0" fontId="0" fillId="5" borderId="10" xfId="0" applyFill="1" applyBorder="1" applyAlignment="1">
      <alignment horizontal="center" textRotation="90"/>
    </xf>
    <xf numFmtId="0" fontId="0" fillId="5" borderId="11" xfId="0" applyFill="1" applyBorder="1" applyAlignment="1">
      <alignment horizontal="center" textRotation="90"/>
    </xf>
    <xf numFmtId="0" fontId="0" fillId="5" borderId="12" xfId="0" applyFill="1" applyBorder="1" applyAlignment="1">
      <alignment horizontal="center" textRotation="90"/>
    </xf>
    <xf numFmtId="0" fontId="0" fillId="9" borderId="10" xfId="0" applyFill="1" applyBorder="1" applyAlignment="1">
      <alignment horizontal="center" textRotation="90"/>
    </xf>
    <xf numFmtId="0" fontId="0" fillId="9" borderId="11" xfId="0" applyFill="1" applyBorder="1" applyAlignment="1">
      <alignment horizontal="center" textRotation="90"/>
    </xf>
    <xf numFmtId="0" fontId="0" fillId="9" borderId="12" xfId="0" applyFill="1" applyBorder="1" applyAlignment="1">
      <alignment horizontal="center" textRotation="90"/>
    </xf>
    <xf numFmtId="0" fontId="0" fillId="6" borderId="10" xfId="0" applyFill="1" applyBorder="1" applyAlignment="1">
      <alignment horizontal="center" textRotation="90"/>
    </xf>
    <xf numFmtId="0" fontId="0" fillId="6" borderId="11" xfId="0" applyFill="1" applyBorder="1" applyAlignment="1">
      <alignment horizontal="center" textRotation="90"/>
    </xf>
    <xf numFmtId="0" fontId="0" fillId="6" borderId="12" xfId="0" applyFill="1" applyBorder="1" applyAlignment="1">
      <alignment horizontal="center" textRotation="90"/>
    </xf>
    <xf numFmtId="0" fontId="0" fillId="8" borderId="10" xfId="0" applyFill="1" applyBorder="1" applyAlignment="1">
      <alignment horizontal="center" textRotation="90"/>
    </xf>
    <xf numFmtId="0" fontId="0" fillId="8" borderId="11" xfId="0" applyFill="1" applyBorder="1" applyAlignment="1">
      <alignment horizontal="center" textRotation="90"/>
    </xf>
    <xf numFmtId="0" fontId="0" fillId="8" borderId="12" xfId="0" applyFill="1" applyBorder="1" applyAlignment="1">
      <alignment horizontal="center" textRotation="90"/>
    </xf>
    <xf numFmtId="0" fontId="0" fillId="7" borderId="10" xfId="0" applyFill="1" applyBorder="1" applyAlignment="1">
      <alignment horizontal="center" textRotation="90"/>
    </xf>
    <xf numFmtId="0" fontId="0" fillId="7" borderId="11" xfId="0" applyFill="1" applyBorder="1" applyAlignment="1">
      <alignment horizontal="center" textRotation="90"/>
    </xf>
    <xf numFmtId="0" fontId="0" fillId="7" borderId="20" xfId="0" applyFill="1" applyBorder="1" applyAlignment="1">
      <alignment horizontal="center" textRotation="90"/>
    </xf>
    <xf numFmtId="0" fontId="0" fillId="5" borderId="37" xfId="0" applyFill="1" applyBorder="1" applyAlignment="1">
      <alignment horizontal="center" textRotation="90" wrapText="1"/>
    </xf>
    <xf numFmtId="0" fontId="0" fillId="5" borderId="38" xfId="0" applyFill="1" applyBorder="1" applyAlignment="1">
      <alignment horizontal="center" textRotation="90" wrapText="1"/>
    </xf>
    <xf numFmtId="0" fontId="0" fillId="14" borderId="26" xfId="0" applyFill="1" applyBorder="1"/>
    <xf numFmtId="0" fontId="0" fillId="5" borderId="41" xfId="0" applyFill="1" applyBorder="1"/>
    <xf numFmtId="0" fontId="0" fillId="5" borderId="1" xfId="0" applyFill="1" applyBorder="1"/>
    <xf numFmtId="0" fontId="0" fillId="5" borderId="42" xfId="0" applyFill="1" applyBorder="1"/>
    <xf numFmtId="0" fontId="0" fillId="9" borderId="41" xfId="0" applyFill="1" applyBorder="1"/>
    <xf numFmtId="0" fontId="0" fillId="9" borderId="1" xfId="0" applyFill="1" applyBorder="1"/>
    <xf numFmtId="0" fontId="0" fillId="6" borderId="1" xfId="0" applyFill="1" applyBorder="1"/>
    <xf numFmtId="0" fontId="0" fillId="8" borderId="1" xfId="0" applyFill="1" applyBorder="1"/>
    <xf numFmtId="0" fontId="0" fillId="7" borderId="1" xfId="0" applyFill="1" applyBorder="1"/>
    <xf numFmtId="0" fontId="16" fillId="9" borderId="14" xfId="0" applyFont="1" applyFill="1" applyBorder="1" applyAlignment="1">
      <alignment horizontal="center" textRotation="90"/>
    </xf>
    <xf numFmtId="0" fontId="16" fillId="6" borderId="14" xfId="0" applyFont="1" applyFill="1" applyBorder="1" applyAlignment="1">
      <alignment horizontal="center" textRotation="90"/>
    </xf>
    <xf numFmtId="0" fontId="16" fillId="8" borderId="14" xfId="0" applyFont="1" applyFill="1" applyBorder="1" applyAlignment="1">
      <alignment horizontal="center" textRotation="90"/>
    </xf>
    <xf numFmtId="0" fontId="16" fillId="6" borderId="35" xfId="0" applyFont="1" applyFill="1" applyBorder="1" applyAlignment="1">
      <alignment horizontal="center" textRotation="90"/>
    </xf>
    <xf numFmtId="0" fontId="16" fillId="8" borderId="35" xfId="0" applyFont="1" applyFill="1" applyBorder="1" applyAlignment="1">
      <alignment horizontal="center" textRotation="90"/>
    </xf>
    <xf numFmtId="0" fontId="16" fillId="7" borderId="35" xfId="0" applyFont="1" applyFill="1" applyBorder="1" applyAlignment="1">
      <alignment horizontal="center" textRotation="90"/>
    </xf>
    <xf numFmtId="0" fontId="0" fillId="9" borderId="2" xfId="0" applyFill="1" applyBorder="1"/>
    <xf numFmtId="0" fontId="0" fillId="6" borderId="3" xfId="0" applyFill="1" applyBorder="1"/>
    <xf numFmtId="0" fontId="0" fillId="6" borderId="2" xfId="0" applyFill="1" applyBorder="1"/>
    <xf numFmtId="0" fontId="0" fillId="8" borderId="3" xfId="0" applyFill="1" applyBorder="1"/>
    <xf numFmtId="0" fontId="0" fillId="8" borderId="2" xfId="0" applyFill="1" applyBorder="1"/>
    <xf numFmtId="0" fontId="0" fillId="7" borderId="3" xfId="0" applyFill="1" applyBorder="1"/>
    <xf numFmtId="0" fontId="0" fillId="7" borderId="2" xfId="0" applyFill="1" applyBorder="1"/>
    <xf numFmtId="0" fontId="14" fillId="10" borderId="32" xfId="0" applyFont="1" applyFill="1" applyBorder="1" applyAlignment="1">
      <alignment horizontal="center" textRotation="90" wrapText="1"/>
    </xf>
    <xf numFmtId="0" fontId="14" fillId="11" borderId="32" xfId="0" applyFont="1" applyFill="1" applyBorder="1" applyAlignment="1">
      <alignment horizontal="center" textRotation="90" wrapText="1"/>
    </xf>
    <xf numFmtId="0" fontId="14" fillId="12" borderId="32" xfId="0" applyFont="1" applyFill="1" applyBorder="1" applyAlignment="1">
      <alignment horizontal="center" textRotation="90" wrapText="1"/>
    </xf>
    <xf numFmtId="0" fontId="14" fillId="13" borderId="32" xfId="0" applyFont="1" applyFill="1" applyBorder="1" applyAlignment="1">
      <alignment horizontal="center" textRotation="90" wrapText="1"/>
    </xf>
    <xf numFmtId="0" fontId="14" fillId="14" borderId="27" xfId="0" applyFont="1" applyFill="1" applyBorder="1" applyAlignment="1">
      <alignment horizontal="center" textRotation="90" wrapText="1"/>
    </xf>
    <xf numFmtId="0" fontId="14" fillId="10" borderId="26" xfId="0" applyNumberFormat="1" applyFont="1" applyFill="1" applyBorder="1" applyAlignment="1">
      <alignment horizontal="center" vertical="center" textRotation="90" wrapText="1"/>
    </xf>
    <xf numFmtId="0" fontId="14" fillId="13" borderId="26" xfId="0" applyNumberFormat="1" applyFont="1" applyFill="1" applyBorder="1" applyAlignment="1">
      <alignment horizontal="center" textRotation="90" wrapText="1"/>
    </xf>
    <xf numFmtId="0" fontId="14" fillId="12" borderId="26" xfId="0" applyNumberFormat="1" applyFont="1" applyFill="1" applyBorder="1" applyAlignment="1">
      <alignment horizontal="center" textRotation="90" wrapText="1"/>
    </xf>
    <xf numFmtId="0" fontId="14" fillId="11" borderId="26" xfId="0" applyNumberFormat="1" applyFont="1" applyFill="1" applyBorder="1" applyAlignment="1">
      <alignment horizontal="center" textRotation="90" wrapText="1"/>
    </xf>
    <xf numFmtId="0" fontId="14" fillId="14" borderId="26" xfId="0" applyNumberFormat="1" applyFont="1" applyFill="1" applyBorder="1" applyAlignment="1">
      <alignment horizontal="center" textRotation="90" wrapText="1"/>
    </xf>
    <xf numFmtId="0" fontId="14" fillId="11" borderId="43" xfId="0" applyNumberFormat="1" applyFont="1" applyFill="1" applyBorder="1" applyAlignment="1">
      <alignment horizontal="center" textRotation="90" wrapText="1"/>
    </xf>
    <xf numFmtId="0" fontId="14" fillId="12" borderId="43" xfId="0" applyNumberFormat="1" applyFont="1" applyFill="1" applyBorder="1" applyAlignment="1">
      <alignment horizontal="center" textRotation="90" wrapText="1"/>
    </xf>
    <xf numFmtId="0" fontId="14" fillId="13" borderId="43" xfId="0" applyNumberFormat="1" applyFont="1" applyFill="1" applyBorder="1" applyAlignment="1">
      <alignment horizontal="center" textRotation="90" wrapText="1"/>
    </xf>
    <xf numFmtId="0" fontId="14" fillId="14" borderId="43" xfId="0" applyNumberFormat="1" applyFont="1" applyFill="1" applyBorder="1" applyAlignment="1">
      <alignment horizontal="center" textRotation="90" wrapText="1"/>
    </xf>
    <xf numFmtId="0" fontId="23" fillId="15" borderId="44" xfId="0" applyFont="1" applyFill="1" applyBorder="1"/>
    <xf numFmtId="0" fontId="0" fillId="15" borderId="0" xfId="0" applyFill="1"/>
    <xf numFmtId="0" fontId="0" fillId="15" borderId="32" xfId="0" applyFill="1" applyBorder="1"/>
    <xf numFmtId="0" fontId="0" fillId="0" borderId="32" xfId="0" applyBorder="1"/>
    <xf numFmtId="0" fontId="22" fillId="15" borderId="44" xfId="0" applyFont="1" applyFill="1" applyBorder="1" applyAlignment="1">
      <alignment horizontal="right" vertical="center"/>
    </xf>
    <xf numFmtId="0" fontId="22" fillId="15" borderId="26" xfId="0" applyFont="1" applyFill="1" applyBorder="1" applyAlignment="1">
      <alignment horizontal="right" vertical="center"/>
    </xf>
    <xf numFmtId="0" fontId="26" fillId="15" borderId="26" xfId="0" applyFont="1" applyFill="1" applyBorder="1" applyAlignment="1">
      <alignment horizontal="right" vertical="center"/>
    </xf>
    <xf numFmtId="0" fontId="27" fillId="10" borderId="30" xfId="0" applyFont="1" applyFill="1" applyBorder="1" applyAlignment="1">
      <alignment horizontal="right"/>
    </xf>
    <xf numFmtId="0" fontId="27" fillId="11" borderId="30" xfId="0" applyFont="1" applyFill="1" applyBorder="1" applyAlignment="1">
      <alignment horizontal="right"/>
    </xf>
    <xf numFmtId="0" fontId="27" fillId="12" borderId="30" xfId="0" applyFont="1" applyFill="1" applyBorder="1" applyAlignment="1">
      <alignment horizontal="right"/>
    </xf>
    <xf numFmtId="0" fontId="27" fillId="13" borderId="30" xfId="0" applyFont="1" applyFill="1" applyBorder="1" applyAlignment="1">
      <alignment horizontal="right"/>
    </xf>
    <xf numFmtId="0" fontId="27" fillId="14" borderId="30" xfId="0" applyFont="1" applyFill="1" applyBorder="1" applyAlignment="1">
      <alignment horizontal="right"/>
    </xf>
    <xf numFmtId="0" fontId="0" fillId="5" borderId="39" xfId="0" applyFill="1" applyBorder="1" applyAlignment="1">
      <alignment horizontal="center" textRotation="90" wrapText="1"/>
    </xf>
    <xf numFmtId="0" fontId="0" fillId="9" borderId="39" xfId="0" applyFill="1" applyBorder="1" applyAlignment="1">
      <alignment horizontal="center" textRotation="90" wrapText="1"/>
    </xf>
    <xf numFmtId="0" fontId="0" fillId="9" borderId="37" xfId="0" applyFill="1" applyBorder="1" applyAlignment="1">
      <alignment horizontal="center" textRotation="90" wrapText="1"/>
    </xf>
    <xf numFmtId="0" fontId="0" fillId="9" borderId="38" xfId="0" applyFill="1" applyBorder="1" applyAlignment="1">
      <alignment horizontal="center" textRotation="90" wrapText="1"/>
    </xf>
    <xf numFmtId="0" fontId="0" fillId="6" borderId="39" xfId="0" applyFill="1" applyBorder="1" applyAlignment="1">
      <alignment horizontal="center" textRotation="90" wrapText="1"/>
    </xf>
    <xf numFmtId="0" fontId="0" fillId="6" borderId="37" xfId="0" applyFill="1" applyBorder="1" applyAlignment="1">
      <alignment horizontal="center" textRotation="90" wrapText="1"/>
    </xf>
    <xf numFmtId="0" fontId="0" fillId="6" borderId="38" xfId="0" applyFill="1" applyBorder="1" applyAlignment="1">
      <alignment horizontal="center" textRotation="90" wrapText="1"/>
    </xf>
    <xf numFmtId="0" fontId="0" fillId="8" borderId="39" xfId="0" applyFill="1" applyBorder="1" applyAlignment="1">
      <alignment horizontal="center" textRotation="90" wrapText="1"/>
    </xf>
    <xf numFmtId="0" fontId="0" fillId="8" borderId="37" xfId="0" applyFill="1" applyBorder="1" applyAlignment="1">
      <alignment horizontal="center" textRotation="90" wrapText="1"/>
    </xf>
    <xf numFmtId="0" fontId="0" fillId="8" borderId="38" xfId="0" applyFill="1" applyBorder="1" applyAlignment="1">
      <alignment horizontal="center" textRotation="90" wrapText="1"/>
    </xf>
    <xf numFmtId="0" fontId="0" fillId="7" borderId="39" xfId="0" applyFill="1" applyBorder="1" applyAlignment="1">
      <alignment horizontal="center" textRotation="90" wrapText="1"/>
    </xf>
    <xf numFmtId="0" fontId="0" fillId="7" borderId="37" xfId="0" applyFill="1" applyBorder="1" applyAlignment="1">
      <alignment horizontal="center" textRotation="90" wrapText="1"/>
    </xf>
    <xf numFmtId="0" fontId="0" fillId="7" borderId="47" xfId="0" applyFill="1" applyBorder="1" applyAlignment="1">
      <alignment horizontal="center" textRotation="90" wrapText="1"/>
    </xf>
    <xf numFmtId="164" fontId="18" fillId="5" borderId="40" xfId="0" applyNumberFormat="1" applyFont="1" applyFill="1" applyBorder="1"/>
    <xf numFmtId="164" fontId="18" fillId="5" borderId="29" xfId="0" applyNumberFormat="1" applyFont="1" applyFill="1" applyBorder="1"/>
    <xf numFmtId="164" fontId="18" fillId="5" borderId="15" xfId="0" applyNumberFormat="1" applyFont="1" applyFill="1" applyBorder="1"/>
    <xf numFmtId="164" fontId="18" fillId="9" borderId="40" xfId="0" applyNumberFormat="1" applyFont="1" applyFill="1" applyBorder="1"/>
    <xf numFmtId="164" fontId="18" fillId="9" borderId="29" xfId="0" applyNumberFormat="1" applyFont="1" applyFill="1" applyBorder="1"/>
    <xf numFmtId="164" fontId="18" fillId="9" borderId="15" xfId="0" applyNumberFormat="1" applyFont="1" applyFill="1" applyBorder="1"/>
    <xf numFmtId="164" fontId="18" fillId="6" borderId="40" xfId="0" applyNumberFormat="1" applyFont="1" applyFill="1" applyBorder="1"/>
    <xf numFmtId="164" fontId="18" fillId="6" borderId="29" xfId="0" applyNumberFormat="1" applyFont="1" applyFill="1" applyBorder="1"/>
    <xf numFmtId="164" fontId="18" fillId="6" borderId="15" xfId="0" applyNumberFormat="1" applyFont="1" applyFill="1" applyBorder="1"/>
    <xf numFmtId="164" fontId="18" fillId="8" borderId="40" xfId="0" applyNumberFormat="1" applyFont="1" applyFill="1" applyBorder="1"/>
    <xf numFmtId="164" fontId="18" fillId="8" borderId="29" xfId="0" applyNumberFormat="1" applyFont="1" applyFill="1" applyBorder="1"/>
    <xf numFmtId="164" fontId="18" fillId="8" borderId="15" xfId="0" applyNumberFormat="1" applyFont="1" applyFill="1" applyBorder="1"/>
    <xf numFmtId="164" fontId="18" fillId="7" borderId="40" xfId="0" applyNumberFormat="1" applyFont="1" applyFill="1" applyBorder="1"/>
    <xf numFmtId="164" fontId="18" fillId="7" borderId="29" xfId="0" applyNumberFormat="1" applyFont="1" applyFill="1" applyBorder="1"/>
    <xf numFmtId="164" fontId="18" fillId="7" borderId="24" xfId="0" applyNumberFormat="1" applyFont="1" applyFill="1" applyBorder="1"/>
    <xf numFmtId="164" fontId="0" fillId="5" borderId="10" xfId="0" applyNumberFormat="1" applyFill="1" applyBorder="1"/>
    <xf numFmtId="164" fontId="0" fillId="5" borderId="11" xfId="0" applyNumberFormat="1" applyFill="1" applyBorder="1"/>
    <xf numFmtId="0" fontId="0" fillId="5" borderId="12" xfId="0" applyFill="1" applyBorder="1"/>
    <xf numFmtId="0" fontId="0" fillId="9" borderId="10" xfId="0" applyFill="1" applyBorder="1"/>
    <xf numFmtId="0" fontId="0" fillId="9" borderId="11" xfId="0" applyFill="1" applyBorder="1"/>
    <xf numFmtId="0" fontId="0" fillId="9" borderId="12" xfId="0" applyFill="1" applyBorder="1"/>
    <xf numFmtId="0" fontId="0" fillId="6" borderId="10" xfId="0" applyFill="1" applyBorder="1"/>
    <xf numFmtId="0" fontId="0" fillId="6" borderId="11" xfId="0" applyFill="1" applyBorder="1"/>
    <xf numFmtId="0" fontId="0" fillId="6" borderId="12" xfId="0" applyFill="1" applyBorder="1"/>
    <xf numFmtId="0" fontId="0" fillId="8" borderId="10" xfId="0" applyFill="1" applyBorder="1"/>
    <xf numFmtId="0" fontId="0" fillId="8" borderId="11" xfId="0" applyFill="1" applyBorder="1"/>
    <xf numFmtId="0" fontId="0" fillId="8" borderId="12" xfId="0" applyFill="1" applyBorder="1"/>
    <xf numFmtId="0" fontId="0" fillId="7" borderId="10" xfId="0" applyFill="1" applyBorder="1"/>
    <xf numFmtId="0" fontId="0" fillId="7" borderId="11" xfId="0" applyFill="1" applyBorder="1"/>
    <xf numFmtId="0" fontId="0" fillId="5" borderId="10" xfId="0" applyFill="1" applyBorder="1"/>
    <xf numFmtId="0" fontId="0" fillId="5" borderId="11" xfId="0" applyFill="1" applyBorder="1"/>
    <xf numFmtId="0" fontId="0" fillId="7" borderId="12" xfId="0" applyFill="1" applyBorder="1"/>
    <xf numFmtId="0" fontId="24" fillId="5" borderId="41" xfId="0" applyFont="1" applyFill="1" applyBorder="1" applyAlignment="1">
      <alignment horizontal="left" shrinkToFit="1"/>
    </xf>
    <xf numFmtId="0" fontId="24" fillId="5" borderId="1" xfId="0" applyFont="1" applyFill="1" applyBorder="1" applyAlignment="1">
      <alignment horizontal="left" shrinkToFit="1"/>
    </xf>
    <xf numFmtId="0" fontId="24" fillId="5" borderId="42" xfId="0" applyFont="1" applyFill="1" applyBorder="1" applyAlignment="1">
      <alignment horizontal="left" shrinkToFit="1"/>
    </xf>
    <xf numFmtId="0" fontId="24" fillId="9" borderId="41" xfId="0" applyFont="1" applyFill="1" applyBorder="1" applyAlignment="1">
      <alignment horizontal="left" shrinkToFit="1"/>
    </xf>
    <xf numFmtId="0" fontId="24" fillId="9" borderId="1" xfId="0" applyFont="1" applyFill="1" applyBorder="1" applyAlignment="1">
      <alignment horizontal="left" shrinkToFit="1"/>
    </xf>
    <xf numFmtId="0" fontId="24" fillId="6" borderId="1" xfId="0" applyFont="1" applyFill="1" applyBorder="1" applyAlignment="1">
      <alignment horizontal="left" shrinkToFit="1"/>
    </xf>
    <xf numFmtId="0" fontId="24" fillId="8" borderId="1" xfId="0" applyFont="1" applyFill="1" applyBorder="1" applyAlignment="1">
      <alignment horizontal="left" shrinkToFit="1"/>
    </xf>
    <xf numFmtId="0" fontId="24" fillId="7" borderId="1" xfId="0" applyFont="1" applyFill="1" applyBorder="1" applyAlignment="1">
      <alignment horizontal="left" shrinkToFit="1"/>
    </xf>
    <xf numFmtId="0" fontId="24" fillId="7" borderId="2" xfId="0" applyFont="1" applyFill="1" applyBorder="1" applyAlignment="1">
      <alignment horizontal="left" shrinkToFit="1"/>
    </xf>
    <xf numFmtId="0" fontId="24" fillId="9" borderId="2" xfId="0" applyFont="1" applyFill="1" applyBorder="1" applyAlignment="1">
      <alignment horizontal="left" shrinkToFit="1"/>
    </xf>
    <xf numFmtId="0" fontId="24" fillId="6" borderId="3" xfId="0" applyFont="1" applyFill="1" applyBorder="1" applyAlignment="1">
      <alignment horizontal="left" shrinkToFit="1"/>
    </xf>
    <xf numFmtId="0" fontId="24" fillId="6" borderId="2" xfId="0" applyFont="1" applyFill="1" applyBorder="1" applyAlignment="1">
      <alignment horizontal="left" shrinkToFit="1"/>
    </xf>
    <xf numFmtId="0" fontId="24" fillId="8" borderId="3" xfId="0" applyFont="1" applyFill="1" applyBorder="1" applyAlignment="1">
      <alignment horizontal="left" shrinkToFit="1"/>
    </xf>
    <xf numFmtId="0" fontId="24" fillId="8" borderId="2" xfId="0" applyFont="1" applyFill="1" applyBorder="1" applyAlignment="1">
      <alignment horizontal="left" shrinkToFit="1"/>
    </xf>
    <xf numFmtId="0" fontId="24" fillId="7" borderId="3" xfId="0" applyFont="1" applyFill="1" applyBorder="1" applyAlignment="1">
      <alignment horizontal="left" shrinkToFit="1"/>
    </xf>
    <xf numFmtId="164" fontId="0" fillId="7" borderId="10" xfId="0" applyNumberFormat="1" applyFill="1" applyBorder="1"/>
    <xf numFmtId="164" fontId="0" fillId="7" borderId="11" xfId="0" applyNumberFormat="1" applyFill="1" applyBorder="1"/>
    <xf numFmtId="164" fontId="0" fillId="7" borderId="20" xfId="0" applyNumberFormat="1" applyFill="1" applyBorder="1"/>
    <xf numFmtId="164" fontId="0" fillId="5" borderId="12" xfId="0" applyNumberFormat="1" applyFill="1" applyBorder="1"/>
    <xf numFmtId="164" fontId="0" fillId="9" borderId="10" xfId="0" applyNumberFormat="1" applyFill="1" applyBorder="1"/>
    <xf numFmtId="164" fontId="0" fillId="9" borderId="11" xfId="0" applyNumberFormat="1" applyFill="1" applyBorder="1"/>
    <xf numFmtId="164" fontId="0" fillId="9" borderId="12" xfId="0" applyNumberFormat="1" applyFill="1" applyBorder="1"/>
    <xf numFmtId="164" fontId="0" fillId="6" borderId="10" xfId="0" applyNumberFormat="1" applyFill="1" applyBorder="1"/>
    <xf numFmtId="164" fontId="0" fillId="6" borderId="11" xfId="0" applyNumberFormat="1" applyFill="1" applyBorder="1"/>
    <xf numFmtId="164" fontId="0" fillId="6" borderId="12" xfId="0" applyNumberFormat="1" applyFill="1" applyBorder="1"/>
    <xf numFmtId="164" fontId="0" fillId="8" borderId="10" xfId="0" applyNumberFormat="1" applyFill="1" applyBorder="1"/>
    <xf numFmtId="164" fontId="0" fillId="8" borderId="11" xfId="0" applyNumberFormat="1" applyFill="1" applyBorder="1"/>
    <xf numFmtId="164" fontId="0" fillId="8" borderId="12" xfId="0" applyNumberFormat="1" applyFill="1" applyBorder="1"/>
    <xf numFmtId="164" fontId="28" fillId="10" borderId="26" xfId="0" applyNumberFormat="1" applyFont="1" applyFill="1" applyBorder="1" applyAlignment="1">
      <alignment horizontal="right" wrapText="1"/>
    </xf>
    <xf numFmtId="164" fontId="29" fillId="11" borderId="26" xfId="0" applyNumberFormat="1" applyFont="1" applyFill="1" applyBorder="1" applyAlignment="1">
      <alignment horizontal="right" wrapText="1"/>
    </xf>
    <xf numFmtId="164" fontId="30" fillId="12" borderId="26" xfId="0" applyNumberFormat="1" applyFont="1" applyFill="1" applyBorder="1" applyAlignment="1">
      <alignment horizontal="right" wrapText="1"/>
    </xf>
    <xf numFmtId="164" fontId="31" fillId="13" borderId="26" xfId="0" applyNumberFormat="1" applyFont="1" applyFill="1" applyBorder="1" applyAlignment="1">
      <alignment horizontal="right" wrapText="1"/>
    </xf>
    <xf numFmtId="164" fontId="32" fillId="14" borderId="26" xfId="0" applyNumberFormat="1" applyFont="1" applyFill="1" applyBorder="1" applyAlignment="1">
      <alignment horizontal="right" wrapText="1"/>
    </xf>
    <xf numFmtId="0" fontId="23" fillId="15" borderId="0" xfId="0" applyFont="1" applyFill="1"/>
    <xf numFmtId="0" fontId="23" fillId="0" borderId="0" xfId="0" applyFont="1"/>
    <xf numFmtId="0" fontId="35" fillId="15" borderId="26" xfId="0" applyFont="1" applyFill="1" applyBorder="1" applyAlignment="1">
      <alignment horizontal="right" vertical="center"/>
    </xf>
    <xf numFmtId="0" fontId="35" fillId="15" borderId="44" xfId="0" applyFont="1" applyFill="1" applyBorder="1"/>
    <xf numFmtId="0" fontId="35" fillId="0" borderId="0" xfId="0" applyFont="1"/>
    <xf numFmtId="0" fontId="37" fillId="10" borderId="43" xfId="0" applyNumberFormat="1" applyFont="1" applyFill="1" applyBorder="1" applyAlignment="1">
      <alignment horizontal="center" textRotation="90" wrapText="1"/>
    </xf>
    <xf numFmtId="0" fontId="37" fillId="11" borderId="43" xfId="0" applyNumberFormat="1" applyFont="1" applyFill="1" applyBorder="1" applyAlignment="1">
      <alignment horizontal="center" textRotation="90" wrapText="1"/>
    </xf>
    <xf numFmtId="0" fontId="37" fillId="12" borderId="43" xfId="0" applyNumberFormat="1" applyFont="1" applyFill="1" applyBorder="1" applyAlignment="1">
      <alignment horizontal="center" textRotation="90" wrapText="1"/>
    </xf>
    <xf numFmtId="0" fontId="22" fillId="15" borderId="0" xfId="0" applyFont="1" applyFill="1" applyBorder="1"/>
    <xf numFmtId="0" fontId="35" fillId="0" borderId="1" xfId="0" applyFont="1" applyBorder="1" applyAlignment="1">
      <alignment horizontal="center"/>
    </xf>
    <xf numFmtId="0" fontId="35" fillId="0" borderId="0" xfId="0" applyFont="1" applyBorder="1" applyAlignment="1">
      <alignment horizontal="center"/>
    </xf>
    <xf numFmtId="0" fontId="0" fillId="0" borderId="0" xfId="0" applyBorder="1"/>
    <xf numFmtId="0" fontId="14" fillId="19" borderId="43" xfId="0" applyNumberFormat="1" applyFont="1" applyFill="1" applyBorder="1" applyAlignment="1">
      <alignment horizontal="center" textRotation="90" wrapText="1"/>
    </xf>
    <xf numFmtId="0" fontId="14" fillId="19" borderId="26" xfId="0" applyNumberFormat="1" applyFont="1" applyFill="1" applyBorder="1" applyAlignment="1">
      <alignment horizontal="center" textRotation="90" wrapText="1"/>
    </xf>
    <xf numFmtId="0" fontId="24" fillId="20" borderId="3" xfId="0" applyFont="1" applyFill="1" applyBorder="1" applyAlignment="1">
      <alignment horizontal="left" shrinkToFit="1"/>
    </xf>
    <xf numFmtId="0" fontId="24" fillId="20" borderId="1" xfId="0" applyFont="1" applyFill="1" applyBorder="1" applyAlignment="1">
      <alignment horizontal="left" shrinkToFit="1"/>
    </xf>
    <xf numFmtId="0" fontId="24" fillId="20" borderId="2" xfId="0" applyFont="1" applyFill="1" applyBorder="1" applyAlignment="1">
      <alignment horizontal="left" shrinkToFit="1"/>
    </xf>
    <xf numFmtId="0" fontId="0" fillId="20" borderId="3" xfId="0" applyFill="1" applyBorder="1"/>
    <xf numFmtId="0" fontId="0" fillId="20" borderId="1" xfId="0" applyFill="1" applyBorder="1"/>
    <xf numFmtId="0" fontId="0" fillId="20" borderId="2" xfId="0" applyFill="1" applyBorder="1"/>
    <xf numFmtId="0" fontId="0" fillId="20" borderId="10" xfId="0" applyFill="1" applyBorder="1" applyAlignment="1">
      <alignment horizontal="center" textRotation="90"/>
    </xf>
    <xf numFmtId="0" fontId="0" fillId="20" borderId="11" xfId="0" applyFill="1" applyBorder="1" applyAlignment="1">
      <alignment horizontal="center" textRotation="90"/>
    </xf>
    <xf numFmtId="0" fontId="0" fillId="20" borderId="20" xfId="0" applyFill="1" applyBorder="1" applyAlignment="1">
      <alignment horizontal="center" textRotation="90"/>
    </xf>
    <xf numFmtId="0" fontId="14" fillId="10" borderId="43" xfId="0" applyNumberFormat="1" applyFont="1" applyFill="1" applyBorder="1" applyAlignment="1">
      <alignment horizontal="center" textRotation="90" wrapText="1"/>
    </xf>
    <xf numFmtId="164" fontId="0" fillId="19" borderId="26" xfId="0" applyNumberFormat="1" applyFill="1" applyBorder="1"/>
    <xf numFmtId="0" fontId="0" fillId="20" borderId="10" xfId="0" applyFill="1" applyBorder="1"/>
    <xf numFmtId="0" fontId="0" fillId="20" borderId="11" xfId="0" applyFill="1" applyBorder="1"/>
    <xf numFmtId="0" fontId="0" fillId="20" borderId="12" xfId="0" applyFill="1" applyBorder="1"/>
    <xf numFmtId="0" fontId="0" fillId="19" borderId="26" xfId="0" applyFill="1" applyBorder="1"/>
    <xf numFmtId="0" fontId="16" fillId="20" borderId="35" xfId="0" applyFont="1" applyFill="1" applyBorder="1" applyAlignment="1">
      <alignment horizontal="center" textRotation="90"/>
    </xf>
    <xf numFmtId="0" fontId="16" fillId="20" borderId="5" xfId="0" applyFont="1" applyFill="1" applyBorder="1" applyAlignment="1">
      <alignment horizontal="center" textRotation="90"/>
    </xf>
    <xf numFmtId="0" fontId="16" fillId="20" borderId="14" xfId="0" applyFont="1" applyFill="1" applyBorder="1" applyAlignment="1">
      <alignment horizontal="center" textRotation="90"/>
    </xf>
    <xf numFmtId="164" fontId="0" fillId="20" borderId="7" xfId="0" applyNumberFormat="1" applyFill="1" applyBorder="1"/>
    <xf numFmtId="164" fontId="0" fillId="20" borderId="8" xfId="0" applyNumberFormat="1" applyFill="1" applyBorder="1"/>
    <xf numFmtId="164" fontId="0" fillId="20" borderId="13" xfId="0" applyNumberFormat="1" applyFill="1" applyBorder="1"/>
    <xf numFmtId="0" fontId="14" fillId="19" borderId="27" xfId="0" applyFont="1" applyFill="1" applyBorder="1" applyAlignment="1">
      <alignment horizontal="center" textRotation="90" wrapText="1"/>
    </xf>
    <xf numFmtId="164" fontId="18" fillId="20" borderId="40" xfId="0" applyNumberFormat="1" applyFont="1" applyFill="1" applyBorder="1"/>
    <xf numFmtId="164" fontId="18" fillId="20" borderId="29" xfId="0" applyNumberFormat="1" applyFont="1" applyFill="1" applyBorder="1"/>
    <xf numFmtId="164" fontId="18" fillId="20" borderId="24" xfId="0" applyNumberFormat="1" applyFont="1" applyFill="1" applyBorder="1"/>
    <xf numFmtId="164" fontId="0" fillId="20" borderId="10" xfId="0" applyNumberFormat="1" applyFill="1" applyBorder="1"/>
    <xf numFmtId="164" fontId="0" fillId="20" borderId="11" xfId="0" applyNumberFormat="1" applyFill="1" applyBorder="1"/>
    <xf numFmtId="164" fontId="0" fillId="20" borderId="20" xfId="0" applyNumberFormat="1" applyFill="1" applyBorder="1"/>
    <xf numFmtId="0" fontId="0" fillId="20" borderId="39" xfId="0" applyFill="1" applyBorder="1" applyAlignment="1">
      <alignment horizontal="center" textRotation="90" wrapText="1"/>
    </xf>
    <xf numFmtId="0" fontId="0" fillId="20" borderId="37" xfId="0" applyFill="1" applyBorder="1" applyAlignment="1">
      <alignment horizontal="center" textRotation="90" wrapText="1"/>
    </xf>
    <xf numFmtId="0" fontId="0" fillId="20" borderId="47" xfId="0" applyFill="1" applyBorder="1" applyAlignment="1">
      <alignment horizontal="center" textRotation="90" wrapText="1"/>
    </xf>
    <xf numFmtId="0" fontId="27" fillId="19" borderId="30" xfId="0" applyFont="1" applyFill="1" applyBorder="1" applyAlignment="1">
      <alignment horizontal="right"/>
    </xf>
    <xf numFmtId="164" fontId="46" fillId="19" borderId="26" xfId="0" applyNumberFormat="1" applyFont="1" applyFill="1" applyBorder="1" applyAlignment="1">
      <alignment horizontal="right" wrapText="1"/>
    </xf>
    <xf numFmtId="0" fontId="0" fillId="0" borderId="32" xfId="0" applyFill="1" applyBorder="1"/>
    <xf numFmtId="0" fontId="37" fillId="13" borderId="43" xfId="0" applyNumberFormat="1" applyFont="1" applyFill="1" applyBorder="1" applyAlignment="1">
      <alignment horizontal="center" textRotation="90" wrapText="1"/>
    </xf>
    <xf numFmtId="0" fontId="37" fillId="14" borderId="43" xfId="0" applyNumberFormat="1" applyFont="1" applyFill="1" applyBorder="1" applyAlignment="1">
      <alignment horizontal="center" textRotation="90" wrapText="1"/>
    </xf>
    <xf numFmtId="0" fontId="37" fillId="19" borderId="43" xfId="0" applyNumberFormat="1" applyFont="1" applyFill="1" applyBorder="1" applyAlignment="1">
      <alignment horizontal="center" textRotation="90" wrapText="1"/>
    </xf>
    <xf numFmtId="164" fontId="21" fillId="4" borderId="48" xfId="0" applyNumberFormat="1" applyFont="1" applyFill="1" applyBorder="1" applyProtection="1">
      <protection locked="0"/>
    </xf>
    <xf numFmtId="164" fontId="21" fillId="4" borderId="49" xfId="0" applyNumberFormat="1" applyFont="1" applyFill="1" applyBorder="1" applyProtection="1">
      <protection locked="0"/>
    </xf>
    <xf numFmtId="164" fontId="21" fillId="4" borderId="50" xfId="0" applyNumberFormat="1" applyFont="1" applyFill="1" applyBorder="1" applyProtection="1">
      <protection locked="0"/>
    </xf>
    <xf numFmtId="0" fontId="0" fillId="17" borderId="43" xfId="0" applyFill="1" applyBorder="1" applyAlignment="1" applyProtection="1">
      <alignment horizontal="center" vertical="center"/>
    </xf>
    <xf numFmtId="0" fontId="22" fillId="15" borderId="26" xfId="0" applyFont="1" applyFill="1" applyBorder="1" applyProtection="1"/>
    <xf numFmtId="0" fontId="22" fillId="15" borderId="30" xfId="0" applyFont="1" applyFill="1" applyBorder="1" applyProtection="1"/>
    <xf numFmtId="0" fontId="22" fillId="15" borderId="0" xfId="0" applyFont="1" applyFill="1" applyBorder="1" applyProtection="1"/>
    <xf numFmtId="0" fontId="0" fillId="0" borderId="0" xfId="0" applyFill="1" applyProtection="1"/>
    <xf numFmtId="0" fontId="22" fillId="0" borderId="0" xfId="0" applyFont="1" applyProtection="1"/>
    <xf numFmtId="0" fontId="14" fillId="15" borderId="62" xfId="0" applyFont="1" applyFill="1" applyBorder="1" applyAlignment="1" applyProtection="1">
      <alignment horizontal="right" textRotation="90"/>
    </xf>
    <xf numFmtId="0" fontId="16" fillId="5" borderId="4" xfId="0" applyFont="1" applyFill="1" applyBorder="1" applyAlignment="1" applyProtection="1">
      <alignment horizontal="center" textRotation="90"/>
    </xf>
    <xf numFmtId="0" fontId="16" fillId="5" borderId="5" xfId="0" applyFont="1" applyFill="1" applyBorder="1" applyAlignment="1" applyProtection="1">
      <alignment horizontal="center" textRotation="90"/>
    </xf>
    <xf numFmtId="0" fontId="37" fillId="10" borderId="43" xfId="0" applyNumberFormat="1" applyFont="1" applyFill="1" applyBorder="1" applyAlignment="1" applyProtection="1">
      <alignment horizontal="center" textRotation="90" wrapText="1"/>
    </xf>
    <xf numFmtId="0" fontId="16" fillId="9" borderId="5" xfId="0" applyFont="1" applyFill="1" applyBorder="1" applyAlignment="1" applyProtection="1">
      <alignment horizontal="center" textRotation="90"/>
    </xf>
    <xf numFmtId="0" fontId="16" fillId="9" borderId="14" xfId="0" applyFont="1" applyFill="1" applyBorder="1" applyAlignment="1" applyProtection="1">
      <alignment horizontal="center" textRotation="90"/>
    </xf>
    <xf numFmtId="0" fontId="37" fillId="11" borderId="43" xfId="0" applyNumberFormat="1" applyFont="1" applyFill="1" applyBorder="1" applyAlignment="1" applyProtection="1">
      <alignment horizontal="center" textRotation="90" wrapText="1"/>
    </xf>
    <xf numFmtId="0" fontId="16" fillId="6" borderId="35" xfId="0" applyFont="1" applyFill="1" applyBorder="1" applyAlignment="1" applyProtection="1">
      <alignment horizontal="center" textRotation="90"/>
    </xf>
    <xf numFmtId="0" fontId="16" fillId="6" borderId="5" xfId="0" applyFont="1" applyFill="1" applyBorder="1" applyAlignment="1" applyProtection="1">
      <alignment horizontal="center" textRotation="90"/>
    </xf>
    <xf numFmtId="0" fontId="16" fillId="6" borderId="14" xfId="0" applyFont="1" applyFill="1" applyBorder="1" applyAlignment="1" applyProtection="1">
      <alignment horizontal="center" textRotation="90"/>
    </xf>
    <xf numFmtId="0" fontId="37" fillId="12" borderId="43" xfId="0" applyNumberFormat="1" applyFont="1" applyFill="1" applyBorder="1" applyAlignment="1" applyProtection="1">
      <alignment horizontal="center" textRotation="90" wrapText="1"/>
    </xf>
    <xf numFmtId="0" fontId="16" fillId="8" borderId="35" xfId="0" applyFont="1" applyFill="1" applyBorder="1" applyAlignment="1" applyProtection="1">
      <alignment horizontal="center" textRotation="90"/>
    </xf>
    <xf numFmtId="0" fontId="16" fillId="8" borderId="5" xfId="0" applyFont="1" applyFill="1" applyBorder="1" applyAlignment="1" applyProtection="1">
      <alignment horizontal="center" textRotation="90"/>
    </xf>
    <xf numFmtId="0" fontId="16" fillId="8" borderId="14" xfId="0" applyFont="1" applyFill="1" applyBorder="1" applyAlignment="1" applyProtection="1">
      <alignment horizontal="center" textRotation="90"/>
    </xf>
    <xf numFmtId="0" fontId="37" fillId="18" borderId="43" xfId="0" applyNumberFormat="1" applyFont="1" applyFill="1" applyBorder="1" applyAlignment="1" applyProtection="1">
      <alignment horizontal="center" textRotation="90" wrapText="1"/>
    </xf>
    <xf numFmtId="0" fontId="14" fillId="14" borderId="43" xfId="0" applyNumberFormat="1" applyFont="1" applyFill="1" applyBorder="1" applyAlignment="1" applyProtection="1">
      <alignment horizontal="center" textRotation="90" wrapText="1"/>
    </xf>
    <xf numFmtId="0" fontId="16" fillId="20" borderId="34" xfId="0" applyFont="1" applyFill="1" applyBorder="1" applyAlignment="1" applyProtection="1">
      <alignment horizontal="center" textRotation="90"/>
    </xf>
    <xf numFmtId="0" fontId="16" fillId="20" borderId="8" xfId="0" applyFont="1" applyFill="1" applyBorder="1" applyAlignment="1" applyProtection="1">
      <alignment horizontal="center" textRotation="90"/>
    </xf>
    <xf numFmtId="0" fontId="16" fillId="20" borderId="13" xfId="0" applyFont="1" applyFill="1" applyBorder="1" applyAlignment="1" applyProtection="1">
      <alignment horizontal="center" textRotation="90"/>
    </xf>
    <xf numFmtId="0" fontId="14" fillId="19" borderId="43" xfId="0" applyNumberFormat="1" applyFont="1" applyFill="1" applyBorder="1" applyAlignment="1" applyProtection="1">
      <alignment horizontal="center" textRotation="90" wrapText="1"/>
    </xf>
    <xf numFmtId="0" fontId="0" fillId="15" borderId="26" xfId="0" applyFill="1" applyBorder="1" applyAlignment="1" applyProtection="1">
      <alignment horizontal="right"/>
    </xf>
    <xf numFmtId="0" fontId="24" fillId="5" borderId="41" xfId="0" applyFont="1" applyFill="1" applyBorder="1" applyAlignment="1" applyProtection="1">
      <alignment horizontal="left" shrinkToFit="1"/>
    </xf>
    <xf numFmtId="0" fontId="24" fillId="5" borderId="1" xfId="0" applyFont="1" applyFill="1" applyBorder="1" applyAlignment="1" applyProtection="1">
      <alignment horizontal="left" shrinkToFit="1"/>
    </xf>
    <xf numFmtId="0" fontId="24" fillId="5" borderId="2" xfId="0" applyFont="1" applyFill="1" applyBorder="1" applyAlignment="1" applyProtection="1">
      <alignment horizontal="left" shrinkToFit="1"/>
    </xf>
    <xf numFmtId="0" fontId="14" fillId="10" borderId="26" xfId="0" applyNumberFormat="1" applyFont="1" applyFill="1" applyBorder="1" applyAlignment="1" applyProtection="1">
      <alignment horizontal="center" vertical="center" textRotation="90" wrapText="1"/>
    </xf>
    <xf numFmtId="0" fontId="24" fillId="9" borderId="3" xfId="0" applyFont="1" applyFill="1" applyBorder="1" applyAlignment="1" applyProtection="1">
      <alignment horizontal="left" shrinkToFit="1"/>
    </xf>
    <xf numFmtId="0" fontId="24" fillId="9" borderId="1" xfId="0" applyFont="1" applyFill="1" applyBorder="1" applyAlignment="1" applyProtection="1">
      <alignment horizontal="left" shrinkToFit="1"/>
    </xf>
    <xf numFmtId="0" fontId="24" fillId="9" borderId="2" xfId="0" applyFont="1" applyFill="1" applyBorder="1" applyAlignment="1" applyProtection="1">
      <alignment horizontal="left" shrinkToFit="1"/>
    </xf>
    <xf numFmtId="0" fontId="14" fillId="11" borderId="26" xfId="0" applyNumberFormat="1" applyFont="1" applyFill="1" applyBorder="1" applyAlignment="1" applyProtection="1">
      <alignment horizontal="center" textRotation="90" wrapText="1"/>
    </xf>
    <xf numFmtId="0" fontId="24" fillId="6" borderId="3" xfId="0" applyFont="1" applyFill="1" applyBorder="1" applyAlignment="1" applyProtection="1">
      <alignment horizontal="left" shrinkToFit="1"/>
    </xf>
    <xf numFmtId="0" fontId="24" fillId="6" borderId="1" xfId="0" applyFont="1" applyFill="1" applyBorder="1" applyAlignment="1" applyProtection="1">
      <alignment horizontal="left" shrinkToFit="1"/>
    </xf>
    <xf numFmtId="0" fontId="24" fillId="6" borderId="2" xfId="0" applyFont="1" applyFill="1" applyBorder="1" applyAlignment="1" applyProtection="1">
      <alignment horizontal="left" shrinkToFit="1"/>
    </xf>
    <xf numFmtId="0" fontId="14" fillId="12" borderId="26" xfId="0" applyNumberFormat="1" applyFont="1" applyFill="1" applyBorder="1" applyAlignment="1" applyProtection="1">
      <alignment horizontal="center" textRotation="90" wrapText="1"/>
    </xf>
    <xf numFmtId="0" fontId="24" fillId="8" borderId="3" xfId="0" applyFont="1" applyFill="1" applyBorder="1" applyAlignment="1" applyProtection="1">
      <alignment horizontal="left" shrinkToFit="1"/>
    </xf>
    <xf numFmtId="0" fontId="24" fillId="8" borderId="1" xfId="0" applyFont="1" applyFill="1" applyBorder="1" applyAlignment="1" applyProtection="1">
      <alignment horizontal="left" shrinkToFit="1"/>
    </xf>
    <xf numFmtId="0" fontId="24" fillId="8" borderId="2" xfId="0" applyFont="1" applyFill="1" applyBorder="1" applyAlignment="1" applyProtection="1">
      <alignment horizontal="left" shrinkToFit="1"/>
    </xf>
    <xf numFmtId="0" fontId="14" fillId="18" borderId="26" xfId="0" applyNumberFormat="1" applyFont="1" applyFill="1" applyBorder="1" applyAlignment="1" applyProtection="1">
      <alignment horizontal="center" textRotation="90" wrapText="1"/>
    </xf>
    <xf numFmtId="0" fontId="24" fillId="7" borderId="3" xfId="0" applyFont="1" applyFill="1" applyBorder="1" applyAlignment="1" applyProtection="1">
      <alignment horizontal="left" shrinkToFit="1"/>
    </xf>
    <xf numFmtId="0" fontId="24" fillId="7" borderId="1" xfId="0" applyFont="1" applyFill="1" applyBorder="1" applyAlignment="1" applyProtection="1">
      <alignment horizontal="left" shrinkToFit="1"/>
    </xf>
    <xf numFmtId="0" fontId="24" fillId="7" borderId="2" xfId="0" applyFont="1" applyFill="1" applyBorder="1" applyAlignment="1" applyProtection="1">
      <alignment horizontal="left" shrinkToFit="1"/>
    </xf>
    <xf numFmtId="0" fontId="14" fillId="14" borderId="26" xfId="0" applyNumberFormat="1" applyFont="1" applyFill="1" applyBorder="1" applyAlignment="1" applyProtection="1">
      <alignment horizontal="center" textRotation="90" wrapText="1"/>
    </xf>
    <xf numFmtId="0" fontId="24" fillId="20" borderId="3" xfId="0" applyFont="1" applyFill="1" applyBorder="1" applyAlignment="1" applyProtection="1">
      <alignment horizontal="left" shrinkToFit="1"/>
    </xf>
    <xf numFmtId="0" fontId="24" fillId="20" borderId="1" xfId="0" applyFont="1" applyFill="1" applyBorder="1" applyAlignment="1" applyProtection="1">
      <alignment horizontal="left" shrinkToFit="1"/>
    </xf>
    <xf numFmtId="0" fontId="24" fillId="20" borderId="2" xfId="0" applyFont="1" applyFill="1" applyBorder="1" applyAlignment="1" applyProtection="1">
      <alignment horizontal="left" shrinkToFit="1"/>
    </xf>
    <xf numFmtId="0" fontId="14" fillId="19" borderId="26" xfId="0" applyNumberFormat="1" applyFont="1" applyFill="1" applyBorder="1" applyAlignment="1" applyProtection="1">
      <alignment horizontal="center" textRotation="90" wrapText="1"/>
    </xf>
    <xf numFmtId="0" fontId="0" fillId="5" borderId="41" xfId="0" applyFill="1" applyBorder="1" applyProtection="1"/>
    <xf numFmtId="0" fontId="0" fillId="5" borderId="1" xfId="0" applyFill="1" applyBorder="1" applyProtection="1"/>
    <xf numFmtId="0" fontId="0" fillId="5" borderId="42" xfId="0" applyFill="1" applyBorder="1" applyProtection="1"/>
    <xf numFmtId="0" fontId="0" fillId="9" borderId="41" xfId="0" applyFill="1" applyBorder="1" applyProtection="1"/>
    <xf numFmtId="0" fontId="0" fillId="9" borderId="1" xfId="0" applyFill="1" applyBorder="1" applyProtection="1"/>
    <xf numFmtId="0" fontId="0" fillId="9" borderId="2" xfId="0" applyFill="1" applyBorder="1" applyProtection="1"/>
    <xf numFmtId="0" fontId="14" fillId="11" borderId="27" xfId="0" applyNumberFormat="1" applyFont="1" applyFill="1" applyBorder="1" applyAlignment="1" applyProtection="1">
      <alignment horizontal="center" textRotation="90" wrapText="1"/>
    </xf>
    <xf numFmtId="0" fontId="0" fillId="6" borderId="3" xfId="0" applyFill="1" applyBorder="1" applyProtection="1"/>
    <xf numFmtId="0" fontId="0" fillId="6" borderId="1" xfId="0" applyFill="1" applyBorder="1" applyProtection="1"/>
    <xf numFmtId="0" fontId="0" fillId="6" borderId="2" xfId="0" applyFill="1" applyBorder="1" applyProtection="1"/>
    <xf numFmtId="0" fontId="14" fillId="12" borderId="27" xfId="0" applyNumberFormat="1" applyFont="1" applyFill="1" applyBorder="1" applyAlignment="1" applyProtection="1">
      <alignment horizontal="center" textRotation="90" wrapText="1"/>
    </xf>
    <xf numFmtId="0" fontId="0" fillId="8" borderId="3" xfId="0" applyFill="1" applyBorder="1" applyProtection="1"/>
    <xf numFmtId="0" fontId="0" fillId="8" borderId="1" xfId="0" applyFill="1" applyBorder="1" applyProtection="1"/>
    <xf numFmtId="0" fontId="0" fillId="8" borderId="2" xfId="0" applyFill="1" applyBorder="1" applyProtection="1"/>
    <xf numFmtId="0" fontId="14" fillId="18" borderId="27" xfId="0" applyNumberFormat="1" applyFont="1" applyFill="1" applyBorder="1" applyAlignment="1" applyProtection="1">
      <alignment horizontal="center" textRotation="90" wrapText="1"/>
    </xf>
    <xf numFmtId="0" fontId="0" fillId="7" borderId="3" xfId="0" applyFill="1" applyBorder="1" applyProtection="1"/>
    <xf numFmtId="0" fontId="0" fillId="7" borderId="1" xfId="0" applyFill="1" applyBorder="1" applyProtection="1"/>
    <xf numFmtId="0" fontId="0" fillId="7" borderId="2" xfId="0" applyFill="1" applyBorder="1" applyProtection="1"/>
    <xf numFmtId="0" fontId="14" fillId="14" borderId="27" xfId="0" applyNumberFormat="1" applyFont="1" applyFill="1" applyBorder="1" applyAlignment="1" applyProtection="1">
      <alignment horizontal="center" textRotation="90" wrapText="1"/>
    </xf>
    <xf numFmtId="0" fontId="0" fillId="20" borderId="3" xfId="0" applyFill="1" applyBorder="1" applyProtection="1"/>
    <xf numFmtId="0" fontId="0" fillId="20" borderId="1" xfId="0" applyFill="1" applyBorder="1" applyProtection="1"/>
    <xf numFmtId="0" fontId="0" fillId="20" borderId="2" xfId="0" applyFill="1" applyBorder="1" applyProtection="1"/>
    <xf numFmtId="0" fontId="14" fillId="19" borderId="27" xfId="0" applyNumberFormat="1" applyFont="1" applyFill="1" applyBorder="1" applyAlignment="1" applyProtection="1">
      <alignment horizontal="center" textRotation="90" wrapText="1"/>
    </xf>
    <xf numFmtId="1" fontId="0" fillId="9" borderId="7" xfId="0" applyNumberFormat="1" applyFill="1" applyBorder="1" applyAlignment="1" applyProtection="1">
      <alignment horizontal="right"/>
    </xf>
    <xf numFmtId="1" fontId="0" fillId="9" borderId="8" xfId="0" applyNumberFormat="1" applyFill="1" applyBorder="1" applyAlignment="1" applyProtection="1">
      <alignment horizontal="right"/>
    </xf>
    <xf numFmtId="1" fontId="0" fillId="9" borderId="9" xfId="0" applyNumberFormat="1" applyFill="1" applyBorder="1" applyAlignment="1" applyProtection="1">
      <alignment horizontal="right"/>
    </xf>
    <xf numFmtId="1" fontId="0" fillId="6" borderId="7" xfId="0" applyNumberFormat="1" applyFill="1" applyBorder="1" applyAlignment="1" applyProtection="1">
      <alignment horizontal="right"/>
    </xf>
    <xf numFmtId="1" fontId="0" fillId="6" borderId="8" xfId="0" applyNumberFormat="1" applyFill="1" applyBorder="1" applyAlignment="1" applyProtection="1">
      <alignment horizontal="right"/>
    </xf>
    <xf numFmtId="1" fontId="0" fillId="6" borderId="9" xfId="0" applyNumberFormat="1" applyFill="1" applyBorder="1" applyAlignment="1" applyProtection="1">
      <alignment horizontal="right"/>
    </xf>
    <xf numFmtId="1" fontId="0" fillId="8" borderId="3" xfId="0" applyNumberFormat="1" applyFont="1" applyFill="1" applyBorder="1" applyAlignment="1" applyProtection="1">
      <alignment horizontal="right" shrinkToFit="1"/>
    </xf>
    <xf numFmtId="1" fontId="0" fillId="8" borderId="1" xfId="0" applyNumberFormat="1" applyFont="1" applyFill="1" applyBorder="1" applyAlignment="1" applyProtection="1">
      <alignment horizontal="right" shrinkToFit="1"/>
    </xf>
    <xf numFmtId="1" fontId="0" fillId="8" borderId="2" xfId="0" applyNumberFormat="1" applyFont="1" applyFill="1" applyBorder="1" applyAlignment="1" applyProtection="1">
      <alignment horizontal="right" shrinkToFit="1"/>
    </xf>
    <xf numFmtId="1" fontId="0" fillId="7" borderId="7" xfId="0" applyNumberFormat="1" applyFill="1" applyBorder="1" applyAlignment="1" applyProtection="1">
      <alignment horizontal="right"/>
    </xf>
    <xf numFmtId="1" fontId="0" fillId="7" borderId="8" xfId="0" applyNumberFormat="1" applyFill="1" applyBorder="1" applyAlignment="1" applyProtection="1">
      <alignment horizontal="right"/>
    </xf>
    <xf numFmtId="1" fontId="0" fillId="7" borderId="13" xfId="0" applyNumberFormat="1" applyFill="1" applyBorder="1" applyAlignment="1" applyProtection="1">
      <alignment horizontal="right"/>
    </xf>
    <xf numFmtId="1" fontId="0" fillId="20" borderId="7" xfId="0" applyNumberFormat="1" applyFill="1" applyBorder="1" applyAlignment="1" applyProtection="1">
      <alignment horizontal="right"/>
    </xf>
    <xf numFmtId="1" fontId="0" fillId="20" borderId="8" xfId="0" applyNumberFormat="1" applyFill="1" applyBorder="1" applyAlignment="1" applyProtection="1">
      <alignment horizontal="right"/>
    </xf>
    <xf numFmtId="1" fontId="0" fillId="20" borderId="13" xfId="0" applyNumberFormat="1" applyFill="1" applyBorder="1" applyAlignment="1" applyProtection="1">
      <alignment horizontal="right"/>
    </xf>
    <xf numFmtId="165" fontId="0" fillId="9" borderId="3" xfId="0" applyNumberFormat="1" applyFont="1" applyFill="1" applyBorder="1" applyAlignment="1" applyProtection="1">
      <alignment horizontal="right" shrinkToFit="1"/>
    </xf>
    <xf numFmtId="165" fontId="0" fillId="9" borderId="1" xfId="0" applyNumberFormat="1" applyFont="1" applyFill="1" applyBorder="1" applyAlignment="1" applyProtection="1">
      <alignment horizontal="right" shrinkToFit="1"/>
    </xf>
    <xf numFmtId="165" fontId="0" fillId="9" borderId="2" xfId="0" applyNumberFormat="1" applyFont="1" applyFill="1" applyBorder="1" applyAlignment="1" applyProtection="1">
      <alignment horizontal="right" shrinkToFit="1"/>
    </xf>
    <xf numFmtId="165" fontId="0" fillId="6" borderId="3" xfId="0" applyNumberFormat="1" applyFont="1" applyFill="1" applyBorder="1" applyAlignment="1" applyProtection="1">
      <alignment horizontal="right" shrinkToFit="1"/>
    </xf>
    <xf numFmtId="165" fontId="0" fillId="6" borderId="1" xfId="0" applyNumberFormat="1" applyFont="1" applyFill="1" applyBorder="1" applyAlignment="1" applyProtection="1">
      <alignment horizontal="right" shrinkToFit="1"/>
    </xf>
    <xf numFmtId="165" fontId="0" fillId="6" borderId="2" xfId="0" applyNumberFormat="1" applyFont="1" applyFill="1" applyBorder="1" applyAlignment="1" applyProtection="1">
      <alignment horizontal="right" shrinkToFit="1"/>
    </xf>
    <xf numFmtId="165" fontId="22" fillId="8" borderId="3" xfId="0" applyNumberFormat="1" applyFont="1" applyFill="1" applyBorder="1" applyAlignment="1" applyProtection="1">
      <alignment horizontal="right" shrinkToFit="1"/>
    </xf>
    <xf numFmtId="165" fontId="22" fillId="8" borderId="1" xfId="0" applyNumberFormat="1" applyFont="1" applyFill="1" applyBorder="1" applyAlignment="1" applyProtection="1">
      <alignment horizontal="right" shrinkToFit="1"/>
    </xf>
    <xf numFmtId="165" fontId="22" fillId="8" borderId="2" xfId="0" applyNumberFormat="1" applyFont="1" applyFill="1" applyBorder="1" applyAlignment="1" applyProtection="1">
      <alignment horizontal="right" shrinkToFit="1"/>
    </xf>
    <xf numFmtId="165" fontId="22" fillId="7" borderId="3" xfId="0" applyNumberFormat="1" applyFont="1" applyFill="1" applyBorder="1" applyAlignment="1" applyProtection="1">
      <alignment horizontal="right" shrinkToFit="1"/>
    </xf>
    <xf numFmtId="165" fontId="22" fillId="7" borderId="1" xfId="0" applyNumberFormat="1" applyFont="1" applyFill="1" applyBorder="1" applyAlignment="1" applyProtection="1">
      <alignment horizontal="right" shrinkToFit="1"/>
    </xf>
    <xf numFmtId="165" fontId="22" fillId="7" borderId="2" xfId="0" applyNumberFormat="1" applyFont="1" applyFill="1" applyBorder="1" applyAlignment="1" applyProtection="1">
      <alignment horizontal="right" shrinkToFit="1"/>
    </xf>
    <xf numFmtId="165" fontId="22" fillId="20" borderId="3" xfId="0" applyNumberFormat="1" applyFont="1" applyFill="1" applyBorder="1" applyAlignment="1" applyProtection="1">
      <alignment horizontal="right" shrinkToFit="1"/>
    </xf>
    <xf numFmtId="165" fontId="22" fillId="20" borderId="1" xfId="0" applyNumberFormat="1" applyFont="1" applyFill="1" applyBorder="1" applyAlignment="1" applyProtection="1">
      <alignment horizontal="right" shrinkToFit="1"/>
    </xf>
    <xf numFmtId="165" fontId="22" fillId="20" borderId="2" xfId="0" applyNumberFormat="1" applyFont="1" applyFill="1" applyBorder="1" applyAlignment="1" applyProtection="1">
      <alignment horizontal="right" shrinkToFit="1"/>
    </xf>
    <xf numFmtId="165" fontId="18" fillId="19" borderId="43" xfId="0" applyNumberFormat="1" applyFont="1" applyFill="1" applyBorder="1" applyProtection="1"/>
    <xf numFmtId="164" fontId="0" fillId="5" borderId="7" xfId="0" applyNumberFormat="1" applyFill="1" applyBorder="1" applyProtection="1"/>
    <xf numFmtId="164" fontId="0" fillId="5" borderId="8" xfId="0" applyNumberFormat="1" applyFill="1" applyBorder="1" applyProtection="1"/>
    <xf numFmtId="0" fontId="0" fillId="5" borderId="9" xfId="0" applyFill="1" applyBorder="1" applyProtection="1"/>
    <xf numFmtId="0" fontId="0" fillId="9" borderId="7" xfId="0" applyFill="1" applyBorder="1" applyProtection="1"/>
    <xf numFmtId="0" fontId="0" fillId="9" borderId="8" xfId="0" applyFill="1" applyBorder="1" applyProtection="1"/>
    <xf numFmtId="0" fontId="0" fillId="9" borderId="9" xfId="0" applyFill="1" applyBorder="1" applyProtection="1"/>
    <xf numFmtId="0" fontId="0" fillId="6" borderId="7" xfId="0" applyFill="1" applyBorder="1" applyProtection="1"/>
    <xf numFmtId="0" fontId="0" fillId="6" borderId="8" xfId="0" applyFill="1" applyBorder="1" applyProtection="1"/>
    <xf numFmtId="0" fontId="0" fillId="6" borderId="9" xfId="0" applyFill="1" applyBorder="1" applyProtection="1"/>
    <xf numFmtId="0" fontId="0" fillId="8" borderId="7" xfId="0" applyFill="1" applyBorder="1" applyProtection="1"/>
    <xf numFmtId="0" fontId="0" fillId="8" borderId="8" xfId="0" applyFill="1" applyBorder="1" applyProtection="1"/>
    <xf numFmtId="0" fontId="0" fillId="8" borderId="9" xfId="0" applyFill="1" applyBorder="1" applyProtection="1"/>
    <xf numFmtId="0" fontId="0" fillId="7" borderId="7" xfId="0" applyFill="1" applyBorder="1" applyProtection="1"/>
    <xf numFmtId="0" fontId="0" fillId="7" borderId="8" xfId="0" applyFill="1" applyBorder="1" applyProtection="1"/>
    <xf numFmtId="0" fontId="0" fillId="7" borderId="13" xfId="0" applyFill="1" applyBorder="1" applyProtection="1"/>
    <xf numFmtId="0" fontId="0" fillId="20" borderId="7" xfId="0" applyFill="1" applyBorder="1" applyProtection="1"/>
    <xf numFmtId="0" fontId="0" fillId="20" borderId="8" xfId="0" applyFill="1" applyBorder="1" applyProtection="1"/>
    <xf numFmtId="0" fontId="0" fillId="20" borderId="13" xfId="0" applyFill="1" applyBorder="1" applyProtection="1"/>
    <xf numFmtId="0" fontId="0" fillId="15" borderId="27" xfId="0" applyFill="1" applyBorder="1" applyAlignment="1" applyProtection="1">
      <alignment textRotation="90"/>
    </xf>
    <xf numFmtId="0" fontId="0" fillId="5" borderId="10" xfId="0" applyFill="1" applyBorder="1" applyAlignment="1" applyProtection="1">
      <alignment horizontal="center" textRotation="90"/>
    </xf>
    <xf numFmtId="0" fontId="0" fillId="5" borderId="11" xfId="0" applyFill="1" applyBorder="1" applyAlignment="1" applyProtection="1">
      <alignment horizontal="center" textRotation="90"/>
    </xf>
    <xf numFmtId="0" fontId="0" fillId="5" borderId="12" xfId="0" applyFill="1" applyBorder="1" applyAlignment="1" applyProtection="1">
      <alignment horizontal="center" textRotation="90"/>
    </xf>
    <xf numFmtId="0" fontId="14" fillId="10" borderId="32" xfId="0" applyFont="1" applyFill="1" applyBorder="1" applyAlignment="1" applyProtection="1">
      <alignment horizontal="center" textRotation="90"/>
    </xf>
    <xf numFmtId="0" fontId="0" fillId="9" borderId="10" xfId="0" applyFill="1" applyBorder="1" applyAlignment="1" applyProtection="1">
      <alignment horizontal="center" textRotation="90"/>
    </xf>
    <xf numFmtId="0" fontId="0" fillId="9" borderId="11" xfId="0" applyFill="1" applyBorder="1" applyAlignment="1" applyProtection="1">
      <alignment horizontal="center" textRotation="90"/>
    </xf>
    <xf numFmtId="0" fontId="0" fillId="9" borderId="12" xfId="0" applyFill="1" applyBorder="1" applyAlignment="1" applyProtection="1">
      <alignment horizontal="center" textRotation="90"/>
    </xf>
    <xf numFmtId="0" fontId="14" fillId="11" borderId="32" xfId="0" applyFont="1" applyFill="1" applyBorder="1" applyAlignment="1" applyProtection="1">
      <alignment horizontal="center" textRotation="90"/>
    </xf>
    <xf numFmtId="0" fontId="0" fillId="6" borderId="10" xfId="0" applyFill="1" applyBorder="1" applyAlignment="1" applyProtection="1">
      <alignment horizontal="center" textRotation="90"/>
    </xf>
    <xf numFmtId="0" fontId="0" fillId="6" borderId="11" xfId="0" applyFill="1" applyBorder="1" applyAlignment="1" applyProtection="1">
      <alignment horizontal="center" textRotation="90"/>
    </xf>
    <xf numFmtId="0" fontId="0" fillId="6" borderId="12" xfId="0" applyFill="1" applyBorder="1" applyAlignment="1" applyProtection="1">
      <alignment horizontal="center" textRotation="90"/>
    </xf>
    <xf numFmtId="0" fontId="14" fillId="12" borderId="32" xfId="0" applyFont="1" applyFill="1" applyBorder="1" applyAlignment="1" applyProtection="1">
      <alignment horizontal="center" textRotation="90"/>
    </xf>
    <xf numFmtId="0" fontId="0" fillId="8" borderId="10" xfId="0" applyFill="1" applyBorder="1" applyAlignment="1" applyProtection="1">
      <alignment horizontal="center" textRotation="90"/>
    </xf>
    <xf numFmtId="0" fontId="0" fillId="8" borderId="11" xfId="0" applyFill="1" applyBorder="1" applyAlignment="1" applyProtection="1">
      <alignment horizontal="center" textRotation="90"/>
    </xf>
    <xf numFmtId="0" fontId="0" fillId="8" borderId="12" xfId="0" applyFill="1" applyBorder="1" applyAlignment="1" applyProtection="1">
      <alignment horizontal="center" textRotation="90"/>
    </xf>
    <xf numFmtId="0" fontId="14" fillId="18" borderId="62" xfId="0" applyFont="1" applyFill="1" applyBorder="1" applyAlignment="1" applyProtection="1">
      <alignment horizontal="center" textRotation="90"/>
    </xf>
    <xf numFmtId="0" fontId="0" fillId="7" borderId="10" xfId="0" applyFill="1" applyBorder="1" applyAlignment="1" applyProtection="1">
      <alignment horizontal="center" textRotation="90"/>
    </xf>
    <xf numFmtId="0" fontId="0" fillId="7" borderId="11" xfId="0" applyFill="1" applyBorder="1" applyAlignment="1" applyProtection="1">
      <alignment horizontal="center" textRotation="90"/>
    </xf>
    <xf numFmtId="0" fontId="0" fillId="7" borderId="20" xfId="0" applyFill="1" applyBorder="1" applyAlignment="1" applyProtection="1">
      <alignment horizontal="center" textRotation="90"/>
    </xf>
    <xf numFmtId="0" fontId="14" fillId="14" borderId="27" xfId="0" applyFont="1" applyFill="1" applyBorder="1" applyAlignment="1" applyProtection="1">
      <alignment horizontal="center" textRotation="90"/>
    </xf>
    <xf numFmtId="0" fontId="0" fillId="20" borderId="10" xfId="0" applyFill="1" applyBorder="1" applyAlignment="1" applyProtection="1">
      <alignment horizontal="center" textRotation="90"/>
    </xf>
    <xf numFmtId="0" fontId="0" fillId="20" borderId="11" xfId="0" applyFill="1" applyBorder="1" applyAlignment="1" applyProtection="1">
      <alignment horizontal="center" textRotation="90"/>
    </xf>
    <xf numFmtId="0" fontId="0" fillId="20" borderId="20" xfId="0" applyFill="1" applyBorder="1" applyAlignment="1" applyProtection="1">
      <alignment horizontal="center" textRotation="90"/>
    </xf>
    <xf numFmtId="0" fontId="14" fillId="19" borderId="27" xfId="0" applyFont="1" applyFill="1" applyBorder="1" applyAlignment="1" applyProtection="1">
      <alignment horizontal="center" textRotation="90"/>
    </xf>
    <xf numFmtId="0" fontId="0" fillId="15" borderId="0" xfId="0" applyFill="1" applyProtection="1"/>
    <xf numFmtId="164" fontId="0" fillId="0" borderId="0" xfId="0" applyNumberFormat="1" applyProtection="1"/>
    <xf numFmtId="164" fontId="0" fillId="10" borderId="30" xfId="0" applyNumberFormat="1" applyFill="1" applyBorder="1" applyProtection="1"/>
    <xf numFmtId="164" fontId="0" fillId="11" borderId="30" xfId="0" applyNumberFormat="1" applyFill="1" applyBorder="1" applyProtection="1"/>
    <xf numFmtId="164" fontId="0" fillId="12" borderId="30" xfId="0" applyNumberFormat="1" applyFill="1" applyBorder="1" applyProtection="1"/>
    <xf numFmtId="164" fontId="0" fillId="18" borderId="26" xfId="0" applyNumberFormat="1" applyFill="1" applyBorder="1" applyProtection="1"/>
    <xf numFmtId="164" fontId="0" fillId="14" borderId="30" xfId="0" applyNumberFormat="1" applyFill="1" applyBorder="1" applyProtection="1"/>
    <xf numFmtId="164" fontId="0" fillId="19" borderId="26" xfId="0" applyNumberFormat="1" applyFill="1" applyBorder="1" applyProtection="1"/>
    <xf numFmtId="164" fontId="0" fillId="10" borderId="26" xfId="0" applyNumberFormat="1" applyFill="1" applyBorder="1" applyProtection="1"/>
    <xf numFmtId="164" fontId="0" fillId="11" borderId="26" xfId="0" applyNumberFormat="1" applyFill="1" applyBorder="1" applyProtection="1"/>
    <xf numFmtId="164" fontId="0" fillId="12" borderId="26" xfId="0" applyNumberFormat="1" applyFill="1" applyBorder="1" applyProtection="1"/>
    <xf numFmtId="164" fontId="0" fillId="14" borderId="26" xfId="0" applyNumberFormat="1" applyFill="1" applyBorder="1" applyProtection="1"/>
    <xf numFmtId="0" fontId="0" fillId="15" borderId="32" xfId="0" applyFill="1" applyBorder="1" applyProtection="1"/>
    <xf numFmtId="0" fontId="0" fillId="0" borderId="11" xfId="0" applyBorder="1" applyProtection="1"/>
    <xf numFmtId="0" fontId="19" fillId="15" borderId="0" xfId="0" applyFont="1" applyFill="1" applyProtection="1"/>
    <xf numFmtId="0" fontId="23" fillId="15" borderId="44" xfId="0" applyFont="1" applyFill="1" applyBorder="1" applyProtection="1"/>
    <xf numFmtId="0" fontId="19" fillId="15" borderId="44" xfId="0" applyFont="1" applyFill="1" applyBorder="1" applyProtection="1"/>
    <xf numFmtId="0" fontId="19" fillId="0" borderId="0" xfId="0" applyFont="1" applyProtection="1"/>
    <xf numFmtId="0" fontId="14" fillId="15" borderId="18" xfId="0" applyFont="1" applyFill="1" applyBorder="1" applyAlignment="1" applyProtection="1">
      <alignment horizontal="right" textRotation="90"/>
    </xf>
    <xf numFmtId="0" fontId="16" fillId="5" borderId="6" xfId="0" applyFont="1" applyFill="1" applyBorder="1" applyAlignment="1" applyProtection="1">
      <alignment horizontal="center" textRotation="90"/>
    </xf>
    <xf numFmtId="0" fontId="14" fillId="10" borderId="43" xfId="0" applyNumberFormat="1" applyFont="1" applyFill="1" applyBorder="1" applyAlignment="1" applyProtection="1">
      <alignment horizontal="center" textRotation="90" wrapText="1"/>
    </xf>
    <xf numFmtId="0" fontId="16" fillId="9" borderId="4" xfId="0" applyFont="1" applyFill="1" applyBorder="1" applyAlignment="1" applyProtection="1">
      <alignment horizontal="center" textRotation="90"/>
    </xf>
    <xf numFmtId="0" fontId="14" fillId="11" borderId="43" xfId="0" applyNumberFormat="1" applyFont="1" applyFill="1" applyBorder="1" applyAlignment="1" applyProtection="1">
      <alignment horizontal="center" textRotation="90" wrapText="1"/>
    </xf>
    <xf numFmtId="0" fontId="14" fillId="12" borderId="43" xfId="0" applyNumberFormat="1" applyFont="1" applyFill="1" applyBorder="1" applyAlignment="1" applyProtection="1">
      <alignment horizontal="center" textRotation="90" wrapText="1"/>
    </xf>
    <xf numFmtId="0" fontId="14" fillId="13" borderId="43" xfId="0" applyNumberFormat="1" applyFont="1" applyFill="1" applyBorder="1" applyAlignment="1" applyProtection="1">
      <alignment horizontal="center" textRotation="90" wrapText="1"/>
    </xf>
    <xf numFmtId="0" fontId="16" fillId="7" borderId="35" xfId="0" applyFont="1" applyFill="1" applyBorder="1" applyAlignment="1" applyProtection="1">
      <alignment horizontal="center" textRotation="90"/>
    </xf>
    <xf numFmtId="0" fontId="16" fillId="7" borderId="5" xfId="0" applyFont="1" applyFill="1" applyBorder="1" applyAlignment="1" applyProtection="1">
      <alignment horizontal="center" textRotation="90"/>
    </xf>
    <xf numFmtId="0" fontId="16" fillId="7" borderId="14" xfId="0" applyFont="1" applyFill="1" applyBorder="1" applyAlignment="1" applyProtection="1">
      <alignment horizontal="center" textRotation="90"/>
    </xf>
    <xf numFmtId="0" fontId="24" fillId="5" borderId="42" xfId="0" applyFont="1" applyFill="1" applyBorder="1" applyAlignment="1" applyProtection="1">
      <alignment horizontal="left" shrinkToFit="1"/>
    </xf>
    <xf numFmtId="0" fontId="24" fillId="9" borderId="41" xfId="0" applyFont="1" applyFill="1" applyBorder="1" applyAlignment="1" applyProtection="1">
      <alignment horizontal="left" shrinkToFit="1"/>
    </xf>
    <xf numFmtId="0" fontId="14" fillId="13" borderId="26" xfId="0" applyNumberFormat="1" applyFont="1" applyFill="1" applyBorder="1" applyAlignment="1" applyProtection="1">
      <alignment horizontal="center" textRotation="90" wrapText="1"/>
    </xf>
    <xf numFmtId="0" fontId="0" fillId="5" borderId="10" xfId="0" applyFill="1" applyBorder="1" applyProtection="1"/>
    <xf numFmtId="0" fontId="0" fillId="5" borderId="11" xfId="0" applyFill="1" applyBorder="1" applyProtection="1"/>
    <xf numFmtId="0" fontId="0" fillId="5" borderId="12" xfId="0" applyFill="1" applyBorder="1" applyProtection="1"/>
    <xf numFmtId="0" fontId="0" fillId="9" borderId="10" xfId="0" applyFill="1" applyBorder="1" applyProtection="1"/>
    <xf numFmtId="0" fontId="0" fillId="9" borderId="11" xfId="0" applyFill="1" applyBorder="1" applyProtection="1"/>
    <xf numFmtId="0" fontId="0" fillId="9" borderId="12" xfId="0" applyFill="1" applyBorder="1" applyProtection="1"/>
    <xf numFmtId="0" fontId="0" fillId="6" borderId="10" xfId="0" applyFill="1" applyBorder="1" applyProtection="1"/>
    <xf numFmtId="0" fontId="0" fillId="6" borderId="11" xfId="0" applyFill="1" applyBorder="1" applyProtection="1"/>
    <xf numFmtId="0" fontId="0" fillId="6" borderId="12" xfId="0" applyFill="1" applyBorder="1" applyProtection="1"/>
    <xf numFmtId="0" fontId="0" fillId="8" borderId="10" xfId="0" applyFill="1" applyBorder="1" applyProtection="1"/>
    <xf numFmtId="0" fontId="0" fillId="8" borderId="11" xfId="0" applyFill="1" applyBorder="1" applyProtection="1"/>
    <xf numFmtId="0" fontId="0" fillId="8" borderId="12" xfId="0" applyFill="1" applyBorder="1" applyProtection="1"/>
    <xf numFmtId="0" fontId="0" fillId="7" borderId="10" xfId="0" applyFill="1" applyBorder="1" applyProtection="1"/>
    <xf numFmtId="0" fontId="0" fillId="7" borderId="11" xfId="0" applyFill="1" applyBorder="1" applyProtection="1"/>
    <xf numFmtId="0" fontId="0" fillId="7" borderId="12" xfId="0" applyFill="1" applyBorder="1" applyProtection="1"/>
    <xf numFmtId="0" fontId="0" fillId="20" borderId="10" xfId="0" applyFill="1" applyBorder="1" applyProtection="1"/>
    <xf numFmtId="0" fontId="0" fillId="20" borderId="11" xfId="0" applyFill="1" applyBorder="1" applyProtection="1"/>
    <xf numFmtId="0" fontId="0" fillId="20" borderId="12" xfId="0" applyFill="1" applyBorder="1" applyProtection="1"/>
    <xf numFmtId="0" fontId="0" fillId="5" borderId="40" xfId="0" applyFill="1" applyBorder="1" applyProtection="1"/>
    <xf numFmtId="0" fontId="0" fillId="5" borderId="29" xfId="0" applyFill="1" applyBorder="1" applyProtection="1"/>
    <xf numFmtId="0" fontId="0" fillId="5" borderId="15" xfId="0" applyFill="1" applyBorder="1" applyProtection="1"/>
    <xf numFmtId="0" fontId="0" fillId="10" borderId="0" xfId="0" applyFill="1" applyBorder="1" applyProtection="1"/>
    <xf numFmtId="0" fontId="0" fillId="9" borderId="40" xfId="0" applyFill="1" applyBorder="1" applyProtection="1"/>
    <xf numFmtId="0" fontId="0" fillId="9" borderId="29" xfId="0" applyFill="1" applyBorder="1" applyProtection="1"/>
    <xf numFmtId="0" fontId="0" fillId="9" borderId="15" xfId="0" applyFill="1" applyBorder="1" applyProtection="1"/>
    <xf numFmtId="0" fontId="0" fillId="11" borderId="0" xfId="0" applyFill="1" applyBorder="1" applyProtection="1"/>
    <xf numFmtId="0" fontId="0" fillId="6" borderId="40" xfId="0" applyFill="1" applyBorder="1" applyProtection="1"/>
    <xf numFmtId="0" fontId="0" fillId="6" borderId="29" xfId="0" applyFill="1" applyBorder="1" applyProtection="1"/>
    <xf numFmtId="0" fontId="0" fillId="6" borderId="15" xfId="0" applyFill="1" applyBorder="1" applyProtection="1"/>
    <xf numFmtId="0" fontId="0" fillId="12" borderId="0" xfId="0" applyFill="1" applyBorder="1" applyProtection="1"/>
    <xf numFmtId="0" fontId="0" fillId="8" borderId="40" xfId="0" applyFill="1" applyBorder="1" applyProtection="1"/>
    <xf numFmtId="0" fontId="0" fillId="8" borderId="29" xfId="0" applyFill="1" applyBorder="1" applyProtection="1"/>
    <xf numFmtId="0" fontId="0" fillId="8" borderId="15" xfId="0" applyFill="1" applyBorder="1" applyProtection="1"/>
    <xf numFmtId="0" fontId="0" fillId="13" borderId="0" xfId="0" applyFill="1" applyBorder="1" applyProtection="1"/>
    <xf numFmtId="0" fontId="0" fillId="7" borderId="40" xfId="0" applyFill="1" applyBorder="1" applyProtection="1"/>
    <xf numFmtId="0" fontId="0" fillId="7" borderId="29" xfId="0" applyFill="1" applyBorder="1" applyProtection="1"/>
    <xf numFmtId="0" fontId="0" fillId="7" borderId="24" xfId="0" applyFill="1" applyBorder="1" applyProtection="1"/>
    <xf numFmtId="0" fontId="0" fillId="14" borderId="26" xfId="0" applyFill="1" applyBorder="1" applyProtection="1"/>
    <xf numFmtId="0" fontId="0" fillId="20" borderId="40" xfId="0" applyFill="1" applyBorder="1" applyProtection="1"/>
    <xf numFmtId="0" fontId="0" fillId="20" borderId="29" xfId="0" applyFill="1" applyBorder="1" applyProtection="1"/>
    <xf numFmtId="0" fontId="0" fillId="20" borderId="24" xfId="0" applyFill="1" applyBorder="1" applyProtection="1"/>
    <xf numFmtId="0" fontId="0" fillId="19" borderId="26" xfId="0" applyFill="1" applyBorder="1" applyProtection="1"/>
    <xf numFmtId="0" fontId="0" fillId="14" borderId="27" xfId="0" applyFill="1" applyBorder="1" applyProtection="1"/>
    <xf numFmtId="0" fontId="0" fillId="19" borderId="27" xfId="0" applyFill="1" applyBorder="1" applyProtection="1"/>
    <xf numFmtId="165" fontId="14" fillId="14" borderId="18" xfId="0" applyNumberFormat="1" applyFont="1" applyFill="1" applyBorder="1" applyProtection="1"/>
    <xf numFmtId="165" fontId="14" fillId="19" borderId="18" xfId="0" applyNumberFormat="1" applyFont="1" applyFill="1" applyBorder="1" applyProtection="1"/>
    <xf numFmtId="165" fontId="14" fillId="14" borderId="19" xfId="0" applyNumberFormat="1" applyFont="1" applyFill="1" applyBorder="1" applyProtection="1"/>
    <xf numFmtId="165" fontId="14" fillId="19" borderId="19" xfId="0" applyNumberFormat="1" applyFont="1" applyFill="1" applyBorder="1" applyProtection="1"/>
    <xf numFmtId="2" fontId="0" fillId="5" borderId="7" xfId="0" applyNumberFormat="1" applyFill="1" applyBorder="1" applyProtection="1"/>
    <xf numFmtId="2" fontId="0" fillId="5" borderId="8" xfId="0" applyNumberFormat="1" applyFill="1" applyBorder="1" applyProtection="1"/>
    <xf numFmtId="2" fontId="0" fillId="5" borderId="9" xfId="0" applyNumberFormat="1" applyFill="1" applyBorder="1" applyProtection="1"/>
    <xf numFmtId="2" fontId="0" fillId="9" borderId="7" xfId="0" applyNumberFormat="1" applyFill="1" applyBorder="1" applyProtection="1"/>
    <xf numFmtId="2" fontId="0" fillId="9" borderId="8" xfId="0" applyNumberFormat="1" applyFill="1" applyBorder="1" applyProtection="1"/>
    <xf numFmtId="2" fontId="0" fillId="9" borderId="9" xfId="0" applyNumberFormat="1" applyFill="1" applyBorder="1" applyProtection="1"/>
    <xf numFmtId="2" fontId="0" fillId="6" borderId="7" xfId="0" applyNumberFormat="1" applyFill="1" applyBorder="1" applyProtection="1"/>
    <xf numFmtId="2" fontId="0" fillId="6" borderId="8" xfId="0" applyNumberFormat="1" applyFill="1" applyBorder="1" applyProtection="1"/>
    <xf numFmtId="2" fontId="0" fillId="6" borderId="9" xfId="0" applyNumberFormat="1" applyFill="1" applyBorder="1" applyProtection="1"/>
    <xf numFmtId="2" fontId="0" fillId="8" borderId="7" xfId="0" applyNumberFormat="1" applyFill="1" applyBorder="1" applyProtection="1"/>
    <xf numFmtId="2" fontId="0" fillId="8" borderId="8" xfId="0" applyNumberFormat="1" applyFill="1" applyBorder="1" applyProtection="1"/>
    <xf numFmtId="2" fontId="0" fillId="8" borderId="9" xfId="0" applyNumberFormat="1" applyFill="1" applyBorder="1" applyProtection="1"/>
    <xf numFmtId="2" fontId="0" fillId="7" borderId="7" xfId="0" applyNumberFormat="1" applyFill="1" applyBorder="1" applyProtection="1"/>
    <xf numFmtId="2" fontId="0" fillId="7" borderId="8" xfId="0" applyNumberFormat="1" applyFill="1" applyBorder="1" applyProtection="1"/>
    <xf numFmtId="2" fontId="0" fillId="7" borderId="13" xfId="0" applyNumberFormat="1" applyFill="1" applyBorder="1" applyProtection="1"/>
    <xf numFmtId="2" fontId="0" fillId="20" borderId="7" xfId="0" applyNumberFormat="1" applyFill="1" applyBorder="1" applyProtection="1"/>
    <xf numFmtId="2" fontId="0" fillId="20" borderId="8" xfId="0" applyNumberFormat="1" applyFill="1" applyBorder="1" applyProtection="1"/>
    <xf numFmtId="2" fontId="0" fillId="20" borderId="13" xfId="0" applyNumberFormat="1" applyFill="1" applyBorder="1" applyProtection="1"/>
    <xf numFmtId="0" fontId="14" fillId="13" borderId="32" xfId="0" applyFont="1" applyFill="1" applyBorder="1" applyAlignment="1" applyProtection="1">
      <alignment horizontal="center" textRotation="90"/>
    </xf>
    <xf numFmtId="0" fontId="0" fillId="0" borderId="0" xfId="0" applyAlignment="1" applyProtection="1">
      <alignment horizontal="right"/>
    </xf>
    <xf numFmtId="2" fontId="0" fillId="10" borderId="30" xfId="0" applyNumberFormat="1" applyFill="1" applyBorder="1" applyAlignment="1" applyProtection="1">
      <alignment horizontal="right"/>
    </xf>
    <xf numFmtId="2" fontId="0" fillId="11" borderId="30" xfId="0" applyNumberFormat="1" applyFill="1" applyBorder="1" applyAlignment="1" applyProtection="1">
      <alignment horizontal="right"/>
    </xf>
    <xf numFmtId="2" fontId="0" fillId="12" borderId="30" xfId="0" applyNumberFormat="1" applyFill="1" applyBorder="1" applyAlignment="1" applyProtection="1">
      <alignment horizontal="right"/>
    </xf>
    <xf numFmtId="2" fontId="0" fillId="13" borderId="30" xfId="0" applyNumberFormat="1" applyFill="1" applyBorder="1" applyAlignment="1" applyProtection="1">
      <alignment horizontal="right"/>
    </xf>
    <xf numFmtId="2" fontId="0" fillId="14" borderId="30" xfId="0" applyNumberFormat="1" applyFill="1" applyBorder="1" applyAlignment="1" applyProtection="1">
      <alignment horizontal="right"/>
    </xf>
    <xf numFmtId="2" fontId="0" fillId="10" borderId="26" xfId="0" applyNumberFormat="1" applyFill="1" applyBorder="1" applyProtection="1"/>
    <xf numFmtId="2" fontId="0" fillId="11" borderId="26" xfId="0" applyNumberFormat="1" applyFill="1" applyBorder="1" applyProtection="1"/>
    <xf numFmtId="2" fontId="0" fillId="12" borderId="26" xfId="0" applyNumberFormat="1" applyFill="1" applyBorder="1" applyProtection="1"/>
    <xf numFmtId="2" fontId="0" fillId="13" borderId="26" xfId="0" applyNumberFormat="1" applyFill="1" applyBorder="1" applyProtection="1"/>
    <xf numFmtId="2" fontId="0" fillId="14" borderId="26" xfId="0" applyNumberFormat="1" applyFill="1" applyBorder="1" applyProtection="1"/>
    <xf numFmtId="2" fontId="0" fillId="0" borderId="0" xfId="0" applyNumberFormat="1" applyProtection="1"/>
    <xf numFmtId="2" fontId="0" fillId="19" borderId="26" xfId="0" applyNumberFormat="1" applyFill="1" applyBorder="1" applyProtection="1"/>
    <xf numFmtId="0" fontId="0" fillId="0" borderId="32" xfId="0" applyBorder="1" applyProtection="1"/>
    <xf numFmtId="0" fontId="23" fillId="15" borderId="0" xfId="0" applyFont="1" applyFill="1" applyProtection="1"/>
    <xf numFmtId="0" fontId="23" fillId="0" borderId="0" xfId="0" applyFont="1" applyProtection="1"/>
    <xf numFmtId="0" fontId="16" fillId="20" borderId="35" xfId="0" applyFont="1" applyFill="1" applyBorder="1" applyAlignment="1" applyProtection="1">
      <alignment horizontal="center" textRotation="90"/>
    </xf>
    <xf numFmtId="0" fontId="16" fillId="20" borderId="5" xfId="0" applyFont="1" applyFill="1" applyBorder="1" applyAlignment="1" applyProtection="1">
      <alignment horizontal="center" textRotation="90"/>
    </xf>
    <xf numFmtId="0" fontId="16" fillId="20" borderId="14" xfId="0" applyFont="1" applyFill="1" applyBorder="1" applyAlignment="1" applyProtection="1">
      <alignment horizontal="center" textRotation="90"/>
    </xf>
    <xf numFmtId="0" fontId="0" fillId="6" borderId="10" xfId="0" applyFill="1" applyBorder="1" applyAlignment="1" applyProtection="1">
      <alignment horizontal="right"/>
    </xf>
    <xf numFmtId="0" fontId="0" fillId="6" borderId="11" xfId="0" applyFill="1" applyBorder="1" applyAlignment="1" applyProtection="1">
      <alignment horizontal="right"/>
    </xf>
    <xf numFmtId="0" fontId="0" fillId="6" borderId="12" xfId="0" applyFill="1" applyBorder="1" applyAlignment="1" applyProtection="1">
      <alignment horizontal="right"/>
    </xf>
    <xf numFmtId="164" fontId="43" fillId="5" borderId="4" xfId="0" quotePrefix="1" applyNumberFormat="1" applyFont="1" applyFill="1" applyBorder="1" applyAlignment="1" applyProtection="1">
      <alignment horizontal="right"/>
    </xf>
    <xf numFmtId="164" fontId="43" fillId="5" borderId="5" xfId="0" quotePrefix="1" applyNumberFormat="1" applyFont="1" applyFill="1" applyBorder="1" applyAlignment="1" applyProtection="1">
      <alignment horizontal="right"/>
    </xf>
    <xf numFmtId="164" fontId="43" fillId="5" borderId="14" xfId="0" quotePrefix="1" applyNumberFormat="1" applyFont="1" applyFill="1" applyBorder="1" applyAlignment="1" applyProtection="1">
      <alignment horizontal="right"/>
    </xf>
    <xf numFmtId="164" fontId="18" fillId="9" borderId="4" xfId="0" applyNumberFormat="1" applyFont="1" applyFill="1" applyBorder="1" applyAlignment="1" applyProtection="1">
      <alignment horizontal="right"/>
    </xf>
    <xf numFmtId="164" fontId="18" fillId="9" borderId="5" xfId="0" applyNumberFormat="1" applyFont="1" applyFill="1" applyBorder="1" applyAlignment="1" applyProtection="1">
      <alignment horizontal="right"/>
    </xf>
    <xf numFmtId="164" fontId="18" fillId="9" borderId="6" xfId="0" applyNumberFormat="1" applyFont="1" applyFill="1" applyBorder="1" applyAlignment="1" applyProtection="1">
      <alignment horizontal="right"/>
    </xf>
    <xf numFmtId="164" fontId="47" fillId="6" borderId="4" xfId="0" applyNumberFormat="1" applyFont="1" applyFill="1" applyBorder="1" applyAlignment="1" applyProtection="1">
      <alignment horizontal="right"/>
    </xf>
    <xf numFmtId="164" fontId="47" fillId="6" borderId="5" xfId="0" applyNumberFormat="1" applyFont="1" applyFill="1" applyBorder="1" applyAlignment="1" applyProtection="1">
      <alignment horizontal="right"/>
    </xf>
    <xf numFmtId="164" fontId="47" fillId="6" borderId="6" xfId="0" applyNumberFormat="1" applyFont="1" applyFill="1" applyBorder="1" applyAlignment="1" applyProtection="1">
      <alignment horizontal="right"/>
    </xf>
    <xf numFmtId="164" fontId="47" fillId="8" borderId="4" xfId="0" applyNumberFormat="1" applyFont="1" applyFill="1" applyBorder="1" applyAlignment="1" applyProtection="1">
      <alignment horizontal="right"/>
    </xf>
    <xf numFmtId="164" fontId="47" fillId="8" borderId="5" xfId="0" applyNumberFormat="1" applyFont="1" applyFill="1" applyBorder="1" applyAlignment="1" applyProtection="1">
      <alignment horizontal="right"/>
    </xf>
    <xf numFmtId="164" fontId="47" fillId="8" borderId="6" xfId="0" applyNumberFormat="1" applyFont="1" applyFill="1" applyBorder="1" applyAlignment="1" applyProtection="1">
      <alignment horizontal="right"/>
    </xf>
    <xf numFmtId="164" fontId="47" fillId="7" borderId="4" xfId="0" applyNumberFormat="1" applyFont="1" applyFill="1" applyBorder="1" applyAlignment="1" applyProtection="1">
      <alignment horizontal="right"/>
    </xf>
    <xf numFmtId="164" fontId="47" fillId="7" borderId="5" xfId="0" applyNumberFormat="1" applyFont="1" applyFill="1" applyBorder="1" applyAlignment="1" applyProtection="1">
      <alignment horizontal="right"/>
    </xf>
    <xf numFmtId="164" fontId="47" fillId="7" borderId="14" xfId="0" applyNumberFormat="1" applyFont="1" applyFill="1" applyBorder="1" applyAlignment="1" applyProtection="1">
      <alignment horizontal="right"/>
    </xf>
    <xf numFmtId="164" fontId="47" fillId="20" borderId="4" xfId="0" applyNumberFormat="1" applyFont="1" applyFill="1" applyBorder="1" applyAlignment="1" applyProtection="1">
      <alignment horizontal="right"/>
    </xf>
    <xf numFmtId="164" fontId="47" fillId="20" borderId="5" xfId="0" applyNumberFormat="1" applyFont="1" applyFill="1" applyBorder="1" applyAlignment="1" applyProtection="1">
      <alignment horizontal="right"/>
    </xf>
    <xf numFmtId="164" fontId="47" fillId="20" borderId="14" xfId="0" applyNumberFormat="1" applyFont="1" applyFill="1" applyBorder="1" applyAlignment="1" applyProtection="1">
      <alignment horizontal="right"/>
    </xf>
    <xf numFmtId="164" fontId="43" fillId="5" borderId="40" xfId="0" quotePrefix="1" applyNumberFormat="1" applyFont="1" applyFill="1" applyBorder="1" applyAlignment="1" applyProtection="1">
      <alignment horizontal="right"/>
    </xf>
    <xf numFmtId="164" fontId="43" fillId="5" borderId="29" xfId="0" quotePrefix="1" applyNumberFormat="1" applyFont="1" applyFill="1" applyBorder="1" applyAlignment="1" applyProtection="1">
      <alignment horizontal="right"/>
    </xf>
    <xf numFmtId="164" fontId="43" fillId="5" borderId="24" xfId="0" quotePrefix="1" applyNumberFormat="1" applyFont="1" applyFill="1" applyBorder="1" applyAlignment="1" applyProtection="1">
      <alignment horizontal="right"/>
    </xf>
    <xf numFmtId="164" fontId="18" fillId="9" borderId="40" xfId="0" applyNumberFormat="1" applyFont="1" applyFill="1" applyBorder="1" applyAlignment="1" applyProtection="1">
      <alignment horizontal="right"/>
    </xf>
    <xf numFmtId="164" fontId="18" fillId="9" borderId="29" xfId="0" applyNumberFormat="1" applyFont="1" applyFill="1" applyBorder="1" applyAlignment="1" applyProtection="1">
      <alignment horizontal="right"/>
    </xf>
    <xf numFmtId="164" fontId="18" fillId="9" borderId="15" xfId="0" applyNumberFormat="1" applyFont="1" applyFill="1" applyBorder="1" applyAlignment="1" applyProtection="1">
      <alignment horizontal="right"/>
    </xf>
    <xf numFmtId="164" fontId="47" fillId="6" borderId="40" xfId="0" applyNumberFormat="1" applyFont="1" applyFill="1" applyBorder="1" applyAlignment="1" applyProtection="1">
      <alignment horizontal="right"/>
    </xf>
    <xf numFmtId="164" fontId="47" fillId="6" borderId="29" xfId="0" applyNumberFormat="1" applyFont="1" applyFill="1" applyBorder="1" applyAlignment="1" applyProtection="1">
      <alignment horizontal="right"/>
    </xf>
    <xf numFmtId="164" fontId="47" fillId="6" borderId="15" xfId="0" applyNumberFormat="1" applyFont="1" applyFill="1" applyBorder="1" applyAlignment="1" applyProtection="1">
      <alignment horizontal="right"/>
    </xf>
    <xf numFmtId="164" fontId="47" fillId="8" borderId="40" xfId="0" applyNumberFormat="1" applyFont="1" applyFill="1" applyBorder="1" applyAlignment="1" applyProtection="1">
      <alignment horizontal="right"/>
    </xf>
    <xf numFmtId="164" fontId="47" fillId="8" borderId="29" xfId="0" applyNumberFormat="1" applyFont="1" applyFill="1" applyBorder="1" applyAlignment="1" applyProtection="1">
      <alignment horizontal="right"/>
    </xf>
    <xf numFmtId="164" fontId="47" fillId="8" borderId="15" xfId="0" applyNumberFormat="1" applyFont="1" applyFill="1" applyBorder="1" applyAlignment="1" applyProtection="1">
      <alignment horizontal="right"/>
    </xf>
    <xf numFmtId="164" fontId="47" fillId="7" borderId="40" xfId="0" applyNumberFormat="1" applyFont="1" applyFill="1" applyBorder="1" applyAlignment="1" applyProtection="1">
      <alignment horizontal="right"/>
    </xf>
    <xf numFmtId="164" fontId="47" fillId="7" borderId="29" xfId="0" applyNumberFormat="1" applyFont="1" applyFill="1" applyBorder="1" applyAlignment="1" applyProtection="1">
      <alignment horizontal="right"/>
    </xf>
    <xf numFmtId="164" fontId="47" fillId="7" borderId="24" xfId="0" applyNumberFormat="1" applyFont="1" applyFill="1" applyBorder="1" applyAlignment="1" applyProtection="1">
      <alignment horizontal="right"/>
    </xf>
    <xf numFmtId="164" fontId="47" fillId="20" borderId="40" xfId="0" applyNumberFormat="1" applyFont="1" applyFill="1" applyBorder="1" applyAlignment="1" applyProtection="1">
      <alignment horizontal="right"/>
    </xf>
    <xf numFmtId="164" fontId="47" fillId="20" borderId="29" xfId="0" applyNumberFormat="1" applyFont="1" applyFill="1" applyBorder="1" applyAlignment="1" applyProtection="1">
      <alignment horizontal="right"/>
    </xf>
    <xf numFmtId="164" fontId="47" fillId="20" borderId="24" xfId="0" applyNumberFormat="1" applyFont="1" applyFill="1" applyBorder="1" applyAlignment="1" applyProtection="1">
      <alignment horizontal="right"/>
    </xf>
    <xf numFmtId="164" fontId="0" fillId="5" borderId="9" xfId="0" applyNumberFormat="1" applyFill="1" applyBorder="1" applyProtection="1"/>
    <xf numFmtId="164" fontId="0" fillId="9" borderId="7" xfId="0" applyNumberFormat="1" applyFill="1" applyBorder="1" applyProtection="1"/>
    <xf numFmtId="164" fontId="0" fillId="9" borderId="8" xfId="0" applyNumberFormat="1" applyFill="1" applyBorder="1" applyProtection="1"/>
    <xf numFmtId="164" fontId="0" fillId="9" borderId="9" xfId="0" applyNumberFormat="1" applyFill="1" applyBorder="1" applyProtection="1"/>
    <xf numFmtId="164" fontId="0" fillId="6" borderId="7" xfId="0" applyNumberFormat="1" applyFill="1" applyBorder="1" applyProtection="1"/>
    <xf numFmtId="164" fontId="0" fillId="6" borderId="8" xfId="0" applyNumberFormat="1" applyFill="1" applyBorder="1" applyProtection="1"/>
    <xf numFmtId="164" fontId="0" fillId="6" borderId="9" xfId="0" applyNumberFormat="1" applyFill="1" applyBorder="1" applyProtection="1"/>
    <xf numFmtId="164" fontId="0" fillId="8" borderId="7" xfId="0" applyNumberFormat="1" applyFill="1" applyBorder="1" applyProtection="1"/>
    <xf numFmtId="164" fontId="0" fillId="8" borderId="8" xfId="0" applyNumberFormat="1" applyFill="1" applyBorder="1" applyProtection="1"/>
    <xf numFmtId="164" fontId="0" fillId="8" borderId="9" xfId="0" applyNumberFormat="1" applyFill="1" applyBorder="1" applyProtection="1"/>
    <xf numFmtId="164" fontId="0" fillId="7" borderId="7" xfId="0" applyNumberFormat="1" applyFill="1" applyBorder="1" applyProtection="1"/>
    <xf numFmtId="164" fontId="0" fillId="7" borderId="8" xfId="0" applyNumberFormat="1" applyFill="1" applyBorder="1" applyProtection="1"/>
    <xf numFmtId="164" fontId="0" fillId="7" borderId="13" xfId="0" applyNumberFormat="1" applyFill="1" applyBorder="1" applyProtection="1"/>
    <xf numFmtId="164" fontId="0" fillId="20" borderId="7" xfId="0" applyNumberFormat="1" applyFill="1" applyBorder="1" applyProtection="1"/>
    <xf numFmtId="164" fontId="0" fillId="20" borderId="8" xfId="0" applyNumberFormat="1" applyFill="1" applyBorder="1" applyProtection="1"/>
    <xf numFmtId="164" fontId="0" fillId="20" borderId="13" xfId="0" applyNumberFormat="1" applyFill="1" applyBorder="1" applyProtection="1"/>
    <xf numFmtId="164" fontId="0" fillId="13" borderId="30" xfId="0" applyNumberFormat="1" applyFill="1" applyBorder="1" applyProtection="1"/>
    <xf numFmtId="1" fontId="0" fillId="0" borderId="0" xfId="0" applyNumberFormat="1" applyProtection="1"/>
    <xf numFmtId="164" fontId="0" fillId="13" borderId="26" xfId="0" applyNumberFormat="1" applyFill="1" applyBorder="1" applyProtection="1"/>
    <xf numFmtId="0" fontId="0" fillId="0" borderId="32" xfId="0" applyFill="1" applyBorder="1" applyProtection="1"/>
    <xf numFmtId="0" fontId="34" fillId="15" borderId="43" xfId="0" applyFont="1" applyFill="1" applyBorder="1" applyAlignment="1" applyProtection="1">
      <alignment horizontal="center" vertical="center" wrapText="1"/>
    </xf>
    <xf numFmtId="0" fontId="0" fillId="15" borderId="60" xfId="0" applyFill="1" applyBorder="1" applyAlignment="1" applyProtection="1">
      <alignment horizontal="center"/>
    </xf>
    <xf numFmtId="0" fontId="33" fillId="15" borderId="48" xfId="0" applyFont="1" applyFill="1" applyBorder="1" applyAlignment="1" applyProtection="1">
      <alignment horizontal="center" textRotation="90" wrapText="1"/>
    </xf>
    <xf numFmtId="0" fontId="33" fillId="15" borderId="43" xfId="0" applyFont="1" applyFill="1" applyBorder="1" applyAlignment="1" applyProtection="1">
      <alignment horizontal="center" textRotation="90" wrapText="1"/>
    </xf>
    <xf numFmtId="0" fontId="34" fillId="15" borderId="53" xfId="0" applyFont="1" applyFill="1" applyBorder="1" applyAlignment="1" applyProtection="1">
      <alignment horizontal="center"/>
    </xf>
    <xf numFmtId="1" fontId="0" fillId="0" borderId="57" xfId="0" applyNumberFormat="1" applyBorder="1" applyAlignment="1" applyProtection="1">
      <alignment horizontal="center"/>
    </xf>
    <xf numFmtId="1" fontId="0" fillId="0" borderId="53" xfId="0" applyNumberFormat="1" applyBorder="1" applyAlignment="1" applyProtection="1">
      <alignment horizontal="center"/>
    </xf>
    <xf numFmtId="0" fontId="34" fillId="15" borderId="0" xfId="0" applyFont="1" applyFill="1" applyBorder="1" applyAlignment="1" applyProtection="1">
      <alignment horizontal="center"/>
    </xf>
    <xf numFmtId="1" fontId="0" fillId="0" borderId="44" xfId="0" applyNumberFormat="1" applyBorder="1" applyAlignment="1" applyProtection="1">
      <alignment horizontal="center"/>
    </xf>
    <xf numFmtId="1" fontId="0" fillId="0" borderId="0" xfId="0" applyNumberFormat="1" applyBorder="1" applyAlignment="1" applyProtection="1">
      <alignment horizontal="center"/>
    </xf>
    <xf numFmtId="1" fontId="0" fillId="0" borderId="55" xfId="0" applyNumberFormat="1" applyBorder="1" applyAlignment="1" applyProtection="1">
      <alignment horizontal="center"/>
    </xf>
    <xf numFmtId="2" fontId="0" fillId="0" borderId="44" xfId="0" applyNumberFormat="1" applyBorder="1" applyAlignment="1" applyProtection="1">
      <alignment horizontal="center"/>
    </xf>
    <xf numFmtId="2" fontId="0" fillId="0" borderId="0" xfId="0" applyNumberFormat="1" applyBorder="1" applyAlignment="1" applyProtection="1">
      <alignment horizontal="center"/>
    </xf>
    <xf numFmtId="2" fontId="0" fillId="0" borderId="55" xfId="0" applyNumberFormat="1" applyBorder="1" applyAlignment="1" applyProtection="1">
      <alignment horizontal="center"/>
    </xf>
    <xf numFmtId="165" fontId="0" fillId="0" borderId="44" xfId="0" applyNumberFormat="1" applyBorder="1" applyAlignment="1" applyProtection="1">
      <alignment horizontal="center"/>
    </xf>
    <xf numFmtId="165" fontId="0" fillId="0" borderId="0" xfId="0" applyNumberFormat="1" applyBorder="1" applyAlignment="1" applyProtection="1">
      <alignment horizontal="center"/>
    </xf>
    <xf numFmtId="165" fontId="0" fillId="0" borderId="55" xfId="0" applyNumberFormat="1" applyBorder="1" applyAlignment="1" applyProtection="1">
      <alignment horizontal="center"/>
    </xf>
    <xf numFmtId="0" fontId="34" fillId="15" borderId="32" xfId="0" applyFont="1" applyFill="1" applyBorder="1" applyAlignment="1" applyProtection="1">
      <alignment horizontal="center"/>
    </xf>
    <xf numFmtId="165" fontId="0" fillId="0" borderId="58" xfId="0" applyNumberFormat="1" applyBorder="1" applyAlignment="1" applyProtection="1">
      <alignment horizontal="center"/>
    </xf>
    <xf numFmtId="165" fontId="0" fillId="0" borderId="32" xfId="0" applyNumberFormat="1" applyBorder="1" applyAlignment="1" applyProtection="1">
      <alignment horizontal="center"/>
    </xf>
    <xf numFmtId="165" fontId="0" fillId="0" borderId="56" xfId="0" applyNumberFormat="1" applyBorder="1" applyAlignment="1" applyProtection="1">
      <alignment horizontal="center"/>
    </xf>
    <xf numFmtId="0" fontId="0" fillId="15" borderId="0" xfId="0" applyFill="1" applyBorder="1" applyProtection="1"/>
    <xf numFmtId="0" fontId="0" fillId="15" borderId="0" xfId="0" applyFill="1" applyAlignment="1" applyProtection="1">
      <alignment horizontal="center"/>
    </xf>
    <xf numFmtId="1" fontId="0" fillId="15" borderId="0" xfId="0" applyNumberFormat="1" applyFill="1" applyBorder="1" applyAlignment="1" applyProtection="1">
      <alignment horizontal="center"/>
    </xf>
    <xf numFmtId="0" fontId="34" fillId="15" borderId="54" xfId="0" applyFont="1" applyFill="1" applyBorder="1" applyAlignment="1" applyProtection="1">
      <alignment horizontal="center"/>
    </xf>
    <xf numFmtId="165" fontId="0" fillId="0" borderId="57" xfId="0" applyNumberFormat="1" applyBorder="1" applyAlignment="1" applyProtection="1">
      <alignment horizontal="center"/>
    </xf>
    <xf numFmtId="165" fontId="0" fillId="0" borderId="53" xfId="0" applyNumberFormat="1" applyBorder="1" applyAlignment="1" applyProtection="1">
      <alignment horizontal="center"/>
    </xf>
    <xf numFmtId="165" fontId="0" fillId="0" borderId="54" xfId="0" applyNumberFormat="1" applyBorder="1" applyAlignment="1" applyProtection="1">
      <alignment horizontal="center"/>
    </xf>
    <xf numFmtId="0" fontId="34" fillId="15" borderId="55" xfId="0" applyFont="1" applyFill="1" applyBorder="1" applyAlignment="1" applyProtection="1">
      <alignment horizontal="center"/>
    </xf>
    <xf numFmtId="0" fontId="34" fillId="15" borderId="56" xfId="0" applyFont="1" applyFill="1" applyBorder="1" applyAlignment="1" applyProtection="1">
      <alignment horizontal="center"/>
    </xf>
    <xf numFmtId="0" fontId="0" fillId="15" borderId="32" xfId="0" applyFill="1" applyBorder="1" applyAlignment="1" applyProtection="1">
      <alignment horizontal="center"/>
    </xf>
    <xf numFmtId="164" fontId="0" fillId="0" borderId="57" xfId="0" applyNumberFormat="1" applyBorder="1" applyAlignment="1" applyProtection="1">
      <alignment horizontal="center"/>
    </xf>
    <xf numFmtId="164" fontId="0" fillId="0" borderId="53" xfId="0" applyNumberFormat="1" applyBorder="1" applyAlignment="1" applyProtection="1">
      <alignment horizontal="center"/>
    </xf>
    <xf numFmtId="164" fontId="0" fillId="0" borderId="44" xfId="0" applyNumberFormat="1" applyBorder="1" applyAlignment="1" applyProtection="1">
      <alignment horizontal="center"/>
    </xf>
    <xf numFmtId="164" fontId="0" fillId="0" borderId="0" xfId="0" applyNumberFormat="1" applyBorder="1" applyAlignment="1" applyProtection="1">
      <alignment horizontal="center"/>
    </xf>
    <xf numFmtId="164" fontId="0" fillId="0" borderId="58" xfId="0" applyNumberFormat="1" applyBorder="1" applyAlignment="1" applyProtection="1">
      <alignment horizontal="center"/>
    </xf>
    <xf numFmtId="164" fontId="0" fillId="0" borderId="32" xfId="0" applyNumberFormat="1" applyBorder="1" applyAlignment="1" applyProtection="1">
      <alignment horizontal="center"/>
    </xf>
    <xf numFmtId="0" fontId="0" fillId="0" borderId="57" xfId="0" applyBorder="1" applyAlignment="1" applyProtection="1">
      <alignment horizontal="center"/>
    </xf>
    <xf numFmtId="0" fontId="0" fillId="0" borderId="53" xfId="0" applyBorder="1" applyAlignment="1" applyProtection="1">
      <alignment horizontal="center"/>
    </xf>
    <xf numFmtId="0" fontId="0" fillId="0" borderId="54" xfId="0" applyBorder="1" applyAlignment="1" applyProtection="1">
      <alignment horizontal="center"/>
    </xf>
    <xf numFmtId="0" fontId="0" fillId="0" borderId="44" xfId="0" applyBorder="1" applyAlignment="1" applyProtection="1">
      <alignment horizontal="center"/>
    </xf>
    <xf numFmtId="0" fontId="0" fillId="0" borderId="0" xfId="0" applyBorder="1" applyAlignment="1" applyProtection="1">
      <alignment horizontal="center"/>
    </xf>
    <xf numFmtId="0" fontId="0" fillId="0" borderId="55" xfId="0" applyBorder="1" applyAlignment="1" applyProtection="1">
      <alignment horizontal="center"/>
    </xf>
    <xf numFmtId="1" fontId="0" fillId="0" borderId="58" xfId="0" applyNumberFormat="1" applyBorder="1" applyAlignment="1" applyProtection="1">
      <alignment horizontal="center"/>
    </xf>
    <xf numFmtId="0" fontId="0" fillId="0" borderId="32" xfId="0" applyBorder="1" applyAlignment="1" applyProtection="1">
      <alignment horizontal="center"/>
    </xf>
    <xf numFmtId="0" fontId="0" fillId="0" borderId="56" xfId="0" applyBorder="1" applyAlignment="1" applyProtection="1">
      <alignment horizontal="center"/>
    </xf>
    <xf numFmtId="1" fontId="0" fillId="0" borderId="32" xfId="0" applyNumberFormat="1" applyBorder="1" applyAlignment="1" applyProtection="1">
      <alignment horizontal="center"/>
    </xf>
    <xf numFmtId="0" fontId="0" fillId="15" borderId="0" xfId="0" applyFill="1" applyBorder="1" applyAlignment="1" applyProtection="1">
      <alignment horizontal="center"/>
    </xf>
    <xf numFmtId="164" fontId="0" fillId="0" borderId="54" xfId="0" applyNumberFormat="1" applyBorder="1" applyAlignment="1" applyProtection="1">
      <alignment horizontal="center"/>
    </xf>
    <xf numFmtId="164" fontId="0" fillId="0" borderId="55" xfId="0" applyNumberFormat="1" applyBorder="1" applyAlignment="1" applyProtection="1">
      <alignment horizontal="center"/>
    </xf>
    <xf numFmtId="164" fontId="0" fillId="0" borderId="56" xfId="0" applyNumberFormat="1" applyBorder="1" applyAlignment="1" applyProtection="1">
      <alignment horizontal="center"/>
    </xf>
    <xf numFmtId="164" fontId="0" fillId="0" borderId="57" xfId="0" applyNumberFormat="1" applyBorder="1" applyAlignment="1" applyProtection="1"/>
    <xf numFmtId="164" fontId="0" fillId="0" borderId="53" xfId="0" applyNumberFormat="1" applyBorder="1" applyAlignment="1" applyProtection="1"/>
    <xf numFmtId="164" fontId="0" fillId="0" borderId="54" xfId="0" applyNumberFormat="1" applyBorder="1" applyAlignment="1" applyProtection="1"/>
    <xf numFmtId="164" fontId="0" fillId="0" borderId="44" xfId="0" applyNumberFormat="1" applyBorder="1" applyAlignment="1" applyProtection="1"/>
    <xf numFmtId="164" fontId="0" fillId="0" borderId="0" xfId="0" applyNumberFormat="1" applyBorder="1" applyAlignment="1" applyProtection="1"/>
    <xf numFmtId="164" fontId="0" fillId="0" borderId="55" xfId="0" applyNumberFormat="1" applyBorder="1" applyAlignment="1" applyProtection="1"/>
    <xf numFmtId="164" fontId="0" fillId="0" borderId="58" xfId="0" applyNumberFormat="1" applyBorder="1" applyAlignment="1" applyProtection="1"/>
    <xf numFmtId="164" fontId="0" fillId="0" borderId="32" xfId="0" applyNumberFormat="1" applyBorder="1" applyAlignment="1" applyProtection="1"/>
    <xf numFmtId="164" fontId="0" fillId="0" borderId="56" xfId="0" applyNumberFormat="1" applyBorder="1" applyAlignment="1" applyProtection="1"/>
    <xf numFmtId="1" fontId="0" fillId="0" borderId="54" xfId="0" applyNumberFormat="1" applyBorder="1" applyAlignment="1" applyProtection="1">
      <alignment horizontal="center"/>
    </xf>
    <xf numFmtId="1" fontId="0" fillId="0" borderId="56" xfId="0" applyNumberFormat="1" applyBorder="1" applyAlignment="1" applyProtection="1">
      <alignment horizontal="center"/>
    </xf>
    <xf numFmtId="0" fontId="0" fillId="0" borderId="0" xfId="0" applyBorder="1" applyProtection="1"/>
    <xf numFmtId="0" fontId="0" fillId="0" borderId="0" xfId="0" applyAlignment="1" applyProtection="1">
      <alignment horizontal="center"/>
    </xf>
    <xf numFmtId="165" fontId="21" fillId="4" borderId="39" xfId="0" applyNumberFormat="1" applyFont="1" applyFill="1" applyBorder="1" applyProtection="1">
      <protection locked="0"/>
    </xf>
    <xf numFmtId="165" fontId="21" fillId="4" borderId="37" xfId="0" applyNumberFormat="1" applyFont="1" applyFill="1" applyBorder="1" applyProtection="1">
      <protection locked="0"/>
    </xf>
    <xf numFmtId="165" fontId="21" fillId="4" borderId="38" xfId="0" applyNumberFormat="1" applyFont="1" applyFill="1" applyBorder="1" applyProtection="1">
      <protection locked="0"/>
    </xf>
    <xf numFmtId="0" fontId="22" fillId="15" borderId="0" xfId="0" applyFont="1" applyFill="1" applyProtection="1"/>
    <xf numFmtId="0" fontId="22" fillId="15" borderId="44" xfId="0" applyFont="1" applyFill="1" applyBorder="1" applyProtection="1"/>
    <xf numFmtId="164" fontId="0" fillId="5" borderId="10" xfId="0" applyNumberFormat="1" applyFill="1" applyBorder="1" applyProtection="1"/>
    <xf numFmtId="164" fontId="0" fillId="5" borderId="11" xfId="0" applyNumberFormat="1" applyFill="1" applyBorder="1" applyProtection="1"/>
    <xf numFmtId="164" fontId="0" fillId="5" borderId="22" xfId="0" applyNumberFormat="1" applyFill="1" applyBorder="1" applyProtection="1"/>
    <xf numFmtId="164" fontId="0" fillId="9" borderId="45" xfId="0" applyNumberFormat="1" applyFill="1" applyBorder="1" applyProtection="1"/>
    <xf numFmtId="164" fontId="0" fillId="9" borderId="28" xfId="0" applyNumberFormat="1" applyFill="1" applyBorder="1" applyProtection="1"/>
    <xf numFmtId="164" fontId="0" fillId="9" borderId="21" xfId="0" applyNumberFormat="1" applyFill="1" applyBorder="1" applyProtection="1"/>
    <xf numFmtId="164" fontId="0" fillId="6" borderId="23" xfId="0" applyNumberFormat="1" applyFill="1" applyBorder="1" applyProtection="1"/>
    <xf numFmtId="164" fontId="0" fillId="6" borderId="28" xfId="0" applyNumberFormat="1" applyFill="1" applyBorder="1" applyProtection="1"/>
    <xf numFmtId="164" fontId="0" fillId="6" borderId="21" xfId="0" applyNumberFormat="1" applyFill="1" applyBorder="1" applyProtection="1"/>
    <xf numFmtId="164" fontId="0" fillId="8" borderId="23" xfId="0" applyNumberFormat="1" applyFill="1" applyBorder="1" applyProtection="1"/>
    <xf numFmtId="164" fontId="0" fillId="8" borderId="28" xfId="0" applyNumberFormat="1" applyFill="1" applyBorder="1" applyProtection="1"/>
    <xf numFmtId="164" fontId="0" fillId="8" borderId="21" xfId="0" applyNumberFormat="1" applyFill="1" applyBorder="1" applyProtection="1"/>
    <xf numFmtId="164" fontId="0" fillId="7" borderId="23" xfId="0" applyNumberFormat="1" applyFill="1" applyBorder="1" applyProtection="1"/>
    <xf numFmtId="164" fontId="0" fillId="7" borderId="28" xfId="0" applyNumberFormat="1" applyFill="1" applyBorder="1" applyProtection="1"/>
    <xf numFmtId="164" fontId="0" fillId="7" borderId="21" xfId="0" applyNumberFormat="1" applyFill="1" applyBorder="1" applyProtection="1"/>
    <xf numFmtId="164" fontId="0" fillId="20" borderId="23" xfId="0" applyNumberFormat="1" applyFill="1" applyBorder="1" applyProtection="1"/>
    <xf numFmtId="164" fontId="0" fillId="20" borderId="28" xfId="0" applyNumberFormat="1" applyFill="1" applyBorder="1" applyProtection="1"/>
    <xf numFmtId="164" fontId="0" fillId="20" borderId="21" xfId="0" applyNumberFormat="1" applyFill="1" applyBorder="1" applyProtection="1"/>
    <xf numFmtId="2" fontId="0" fillId="20" borderId="51" xfId="0" applyNumberFormat="1" applyFill="1" applyBorder="1" applyProtection="1"/>
    <xf numFmtId="0" fontId="0" fillId="20" borderId="16" xfId="0" applyFill="1" applyBorder="1" applyProtection="1"/>
    <xf numFmtId="0" fontId="0" fillId="20" borderId="52" xfId="0" applyFill="1" applyBorder="1" applyAlignment="1" applyProtection="1">
      <alignment horizontal="right"/>
    </xf>
    <xf numFmtId="0" fontId="18" fillId="5" borderId="39" xfId="0" applyFont="1" applyFill="1" applyBorder="1" applyProtection="1"/>
    <xf numFmtId="0" fontId="18" fillId="5" borderId="37" xfId="0" applyFont="1" applyFill="1" applyBorder="1" applyProtection="1"/>
    <xf numFmtId="0" fontId="18" fillId="5" borderId="38" xfId="0" applyFont="1" applyFill="1" applyBorder="1" applyProtection="1"/>
    <xf numFmtId="0" fontId="18" fillId="9" borderId="39" xfId="0" applyFont="1" applyFill="1" applyBorder="1" applyProtection="1"/>
    <xf numFmtId="0" fontId="18" fillId="9" borderId="37" xfId="0" applyFont="1" applyFill="1" applyBorder="1" applyProtection="1"/>
    <xf numFmtId="0" fontId="18" fillId="9" borderId="38" xfId="0" applyFont="1" applyFill="1" applyBorder="1" applyProtection="1"/>
    <xf numFmtId="0" fontId="18" fillId="6" borderId="39" xfId="0" applyFont="1" applyFill="1" applyBorder="1" applyProtection="1"/>
    <xf numFmtId="0" fontId="18" fillId="6" borderId="37" xfId="0" applyFont="1" applyFill="1" applyBorder="1" applyProtection="1"/>
    <xf numFmtId="0" fontId="18" fillId="6" borderId="38" xfId="0" applyFont="1" applyFill="1" applyBorder="1" applyProtection="1"/>
    <xf numFmtId="0" fontId="18" fillId="8" borderId="39" xfId="0" applyFont="1" applyFill="1" applyBorder="1" applyProtection="1"/>
    <xf numFmtId="0" fontId="18" fillId="8" borderId="37" xfId="0" applyFont="1" applyFill="1" applyBorder="1" applyProtection="1"/>
    <xf numFmtId="0" fontId="18" fillId="8" borderId="38" xfId="0" applyFont="1" applyFill="1" applyBorder="1" applyProtection="1"/>
    <xf numFmtId="0" fontId="18" fillId="7" borderId="39" xfId="0" applyFont="1" applyFill="1" applyBorder="1" applyProtection="1"/>
    <xf numFmtId="0" fontId="18" fillId="7" borderId="37" xfId="0" applyFont="1" applyFill="1" applyBorder="1" applyProtection="1"/>
    <xf numFmtId="0" fontId="18" fillId="7" borderId="38" xfId="0" applyFont="1" applyFill="1" applyBorder="1" applyProtection="1"/>
    <xf numFmtId="0" fontId="18" fillId="20" borderId="39" xfId="0" applyFont="1" applyFill="1" applyBorder="1" applyProtection="1"/>
    <xf numFmtId="0" fontId="18" fillId="20" borderId="37" xfId="0" applyFont="1" applyFill="1" applyBorder="1" applyProtection="1"/>
    <xf numFmtId="0" fontId="18" fillId="20" borderId="38" xfId="0" applyFont="1" applyFill="1" applyBorder="1" applyProtection="1"/>
    <xf numFmtId="2" fontId="0" fillId="10" borderId="30" xfId="0" applyNumberFormat="1" applyFill="1" applyBorder="1" applyProtection="1"/>
    <xf numFmtId="2" fontId="0" fillId="11" borderId="30" xfId="0" applyNumberFormat="1" applyFill="1" applyBorder="1" applyProtection="1"/>
    <xf numFmtId="2" fontId="0" fillId="12" borderId="30" xfId="0" applyNumberFormat="1" applyFill="1" applyBorder="1" applyProtection="1"/>
    <xf numFmtId="2" fontId="0" fillId="13" borderId="30" xfId="0" applyNumberFormat="1" applyFill="1" applyBorder="1" applyProtection="1"/>
    <xf numFmtId="2" fontId="0" fillId="14" borderId="30" xfId="0" applyNumberFormat="1" applyFill="1" applyBorder="1" applyProtection="1"/>
    <xf numFmtId="1" fontId="21" fillId="4" borderId="4" xfId="0" applyNumberFormat="1" applyFont="1" applyFill="1" applyBorder="1" applyProtection="1">
      <protection locked="0"/>
    </xf>
    <xf numFmtId="1" fontId="21" fillId="4" borderId="5" xfId="0" applyNumberFormat="1" applyFont="1" applyFill="1" applyBorder="1" applyProtection="1">
      <protection locked="0"/>
    </xf>
    <xf numFmtId="1" fontId="21" fillId="4" borderId="6" xfId="0" applyNumberFormat="1" applyFont="1" applyFill="1" applyBorder="1" applyProtection="1">
      <protection locked="0"/>
    </xf>
    <xf numFmtId="1" fontId="21" fillId="4" borderId="45" xfId="0" applyNumberFormat="1" applyFont="1" applyFill="1" applyBorder="1" applyProtection="1">
      <protection locked="0"/>
    </xf>
    <xf numFmtId="1" fontId="21" fillId="4" borderId="28" xfId="0" applyNumberFormat="1" applyFont="1" applyFill="1" applyBorder="1" applyProtection="1">
      <protection locked="0"/>
    </xf>
    <xf numFmtId="1" fontId="21" fillId="4" borderId="46" xfId="0" applyNumberFormat="1" applyFont="1" applyFill="1" applyBorder="1" applyProtection="1">
      <protection locked="0"/>
    </xf>
    <xf numFmtId="0" fontId="0" fillId="0" borderId="1" xfId="0" applyBorder="1" applyProtection="1">
      <protection locked="0"/>
    </xf>
    <xf numFmtId="0" fontId="37" fillId="13" borderId="43" xfId="0" applyNumberFormat="1" applyFont="1" applyFill="1" applyBorder="1" applyAlignment="1" applyProtection="1">
      <alignment horizontal="center" textRotation="90" wrapText="1"/>
    </xf>
    <xf numFmtId="0" fontId="37" fillId="14" borderId="43" xfId="0" applyNumberFormat="1" applyFont="1" applyFill="1" applyBorder="1" applyAlignment="1" applyProtection="1">
      <alignment horizontal="center" textRotation="90" wrapText="1"/>
    </xf>
    <xf numFmtId="0" fontId="37" fillId="19" borderId="43" xfId="0" applyNumberFormat="1" applyFont="1" applyFill="1" applyBorder="1" applyAlignment="1" applyProtection="1">
      <alignment horizontal="center" textRotation="90" wrapText="1"/>
    </xf>
    <xf numFmtId="165" fontId="14" fillId="10" borderId="26" xfId="0" applyNumberFormat="1" applyFont="1" applyFill="1" applyBorder="1" applyAlignment="1" applyProtection="1">
      <alignment horizontal="center" vertical="center" wrapText="1"/>
    </xf>
    <xf numFmtId="165" fontId="14" fillId="11" borderId="26" xfId="0" applyNumberFormat="1" applyFont="1" applyFill="1" applyBorder="1" applyAlignment="1" applyProtection="1">
      <alignment horizontal="center" vertical="center" wrapText="1"/>
    </xf>
    <xf numFmtId="165" fontId="14" fillId="12" borderId="26" xfId="0" applyNumberFormat="1" applyFont="1" applyFill="1" applyBorder="1" applyAlignment="1" applyProtection="1">
      <alignment horizontal="center" vertical="center" wrapText="1"/>
    </xf>
    <xf numFmtId="165" fontId="14" fillId="13" borderId="26" xfId="0" applyNumberFormat="1" applyFont="1" applyFill="1" applyBorder="1" applyAlignment="1" applyProtection="1">
      <alignment horizontal="center" vertical="center" wrapText="1"/>
    </xf>
    <xf numFmtId="165" fontId="14" fillId="14" borderId="26" xfId="0" applyNumberFormat="1" applyFont="1" applyFill="1" applyBorder="1" applyAlignment="1" applyProtection="1">
      <alignment horizontal="center" vertical="center" wrapText="1"/>
    </xf>
    <xf numFmtId="165" fontId="14" fillId="19" borderId="26" xfId="0" applyNumberFormat="1" applyFont="1" applyFill="1" applyBorder="1" applyAlignment="1" applyProtection="1">
      <alignment horizontal="center" vertical="center" wrapText="1"/>
    </xf>
    <xf numFmtId="0" fontId="0" fillId="10" borderId="26" xfId="0" applyFill="1" applyBorder="1" applyAlignment="1" applyProtection="1">
      <alignment horizontal="right"/>
    </xf>
    <xf numFmtId="0" fontId="0" fillId="11" borderId="26" xfId="0" applyFill="1" applyBorder="1" applyAlignment="1" applyProtection="1">
      <alignment horizontal="right"/>
    </xf>
    <xf numFmtId="0" fontId="0" fillId="12" borderId="26" xfId="0" applyFill="1" applyBorder="1" applyAlignment="1" applyProtection="1">
      <alignment horizontal="right"/>
    </xf>
    <xf numFmtId="0" fontId="0" fillId="13" borderId="26" xfId="0" applyFill="1" applyBorder="1" applyAlignment="1" applyProtection="1">
      <alignment horizontal="right"/>
    </xf>
    <xf numFmtId="0" fontId="0" fillId="14" borderId="26" xfId="0" applyFill="1" applyBorder="1" applyAlignment="1" applyProtection="1">
      <alignment horizontal="right"/>
    </xf>
    <xf numFmtId="0" fontId="0" fillId="19" borderId="26" xfId="0" applyFill="1" applyBorder="1" applyAlignment="1" applyProtection="1">
      <alignment horizontal="right"/>
    </xf>
    <xf numFmtId="2" fontId="0" fillId="10" borderId="0" xfId="0" applyNumberFormat="1" applyFill="1" applyBorder="1" applyProtection="1"/>
    <xf numFmtId="2" fontId="0" fillId="11" borderId="0" xfId="0" applyNumberFormat="1" applyFill="1" applyBorder="1" applyProtection="1"/>
    <xf numFmtId="2" fontId="0" fillId="12" borderId="0" xfId="0" applyNumberFormat="1" applyFill="1" applyBorder="1" applyProtection="1"/>
    <xf numFmtId="2" fontId="0" fillId="13" borderId="0" xfId="0" applyNumberFormat="1" applyFill="1" applyBorder="1" applyProtection="1"/>
    <xf numFmtId="0" fontId="22" fillId="15" borderId="26" xfId="0" applyFont="1" applyFill="1" applyBorder="1" applyAlignment="1" applyProtection="1">
      <alignment horizontal="right" vertical="center"/>
    </xf>
    <xf numFmtId="164" fontId="18" fillId="5" borderId="4" xfId="0" applyNumberFormat="1" applyFont="1" applyFill="1" applyBorder="1" applyProtection="1"/>
    <xf numFmtId="164" fontId="18" fillId="5" borderId="5" xfId="0" applyNumberFormat="1" applyFont="1" applyFill="1" applyBorder="1" applyProtection="1"/>
    <xf numFmtId="164" fontId="18" fillId="5" borderId="6" xfId="0" applyNumberFormat="1" applyFont="1" applyFill="1" applyBorder="1" applyProtection="1"/>
    <xf numFmtId="164" fontId="18" fillId="9" borderId="4" xfId="0" applyNumberFormat="1" applyFont="1" applyFill="1" applyBorder="1" applyProtection="1"/>
    <xf numFmtId="164" fontId="18" fillId="9" borderId="5" xfId="0" applyNumberFormat="1" applyFont="1" applyFill="1" applyBorder="1" applyProtection="1"/>
    <xf numFmtId="164" fontId="18" fillId="9" borderId="6" xfId="0" applyNumberFormat="1" applyFont="1" applyFill="1" applyBorder="1" applyProtection="1"/>
    <xf numFmtId="164" fontId="18" fillId="6" borderId="4" xfId="0" applyNumberFormat="1" applyFont="1" applyFill="1" applyBorder="1" applyProtection="1"/>
    <xf numFmtId="164" fontId="18" fillId="6" borderId="5" xfId="0" applyNumberFormat="1" applyFont="1" applyFill="1" applyBorder="1" applyProtection="1"/>
    <xf numFmtId="164" fontId="18" fillId="6" borderId="6" xfId="0" applyNumberFormat="1" applyFont="1" applyFill="1" applyBorder="1" applyProtection="1"/>
    <xf numFmtId="164" fontId="18" fillId="8" borderId="4" xfId="0" applyNumberFormat="1" applyFont="1" applyFill="1" applyBorder="1" applyProtection="1"/>
    <xf numFmtId="164" fontId="18" fillId="8" borderId="5" xfId="0" applyNumberFormat="1" applyFont="1" applyFill="1" applyBorder="1" applyProtection="1"/>
    <xf numFmtId="164" fontId="18" fillId="8" borderId="6" xfId="0" applyNumberFormat="1" applyFont="1" applyFill="1" applyBorder="1" applyProtection="1"/>
    <xf numFmtId="164" fontId="18" fillId="7" borderId="4" xfId="0" applyNumberFormat="1" applyFont="1" applyFill="1" applyBorder="1" applyProtection="1"/>
    <xf numFmtId="164" fontId="18" fillId="7" borderId="5" xfId="0" applyNumberFormat="1" applyFont="1" applyFill="1" applyBorder="1" applyProtection="1"/>
    <xf numFmtId="164" fontId="18" fillId="7" borderId="14" xfId="0" applyNumberFormat="1" applyFont="1" applyFill="1" applyBorder="1" applyProtection="1"/>
    <xf numFmtId="164" fontId="18" fillId="20" borderId="4" xfId="0" applyNumberFormat="1" applyFont="1" applyFill="1" applyBorder="1" applyProtection="1"/>
    <xf numFmtId="164" fontId="18" fillId="20" borderId="5" xfId="0" applyNumberFormat="1" applyFont="1" applyFill="1" applyBorder="1" applyProtection="1"/>
    <xf numFmtId="164" fontId="18" fillId="20" borderId="14" xfId="0" applyNumberFormat="1" applyFont="1" applyFill="1" applyBorder="1" applyProtection="1"/>
    <xf numFmtId="1" fontId="18" fillId="5" borderId="10" xfId="0" applyNumberFormat="1" applyFont="1" applyFill="1" applyBorder="1" applyProtection="1"/>
    <xf numFmtId="1" fontId="18" fillId="5" borderId="11" xfId="0" applyNumberFormat="1" applyFont="1" applyFill="1" applyBorder="1" applyProtection="1"/>
    <xf numFmtId="1" fontId="18" fillId="5" borderId="12" xfId="0" applyNumberFormat="1" applyFont="1" applyFill="1" applyBorder="1" applyProtection="1"/>
    <xf numFmtId="1" fontId="18" fillId="9" borderId="10" xfId="0" applyNumberFormat="1" applyFont="1" applyFill="1" applyBorder="1" applyProtection="1"/>
    <xf numFmtId="1" fontId="18" fillId="9" borderId="11" xfId="0" applyNumberFormat="1" applyFont="1" applyFill="1" applyBorder="1" applyProtection="1"/>
    <xf numFmtId="1" fontId="18" fillId="9" borderId="12" xfId="0" applyNumberFormat="1" applyFont="1" applyFill="1" applyBorder="1" applyProtection="1"/>
    <xf numFmtId="1" fontId="18" fillId="6" borderId="10" xfId="0" applyNumberFormat="1" applyFont="1" applyFill="1" applyBorder="1" applyProtection="1"/>
    <xf numFmtId="1" fontId="18" fillId="6" borderId="11" xfId="0" applyNumberFormat="1" applyFont="1" applyFill="1" applyBorder="1" applyProtection="1"/>
    <xf numFmtId="1" fontId="18" fillId="6" borderId="12" xfId="0" applyNumberFormat="1" applyFont="1" applyFill="1" applyBorder="1" applyProtection="1"/>
    <xf numFmtId="1" fontId="18" fillId="8" borderId="10" xfId="0" applyNumberFormat="1" applyFont="1" applyFill="1" applyBorder="1" applyProtection="1"/>
    <xf numFmtId="1" fontId="18" fillId="8" borderId="11" xfId="0" applyNumberFormat="1" applyFont="1" applyFill="1" applyBorder="1" applyProtection="1"/>
    <xf numFmtId="1" fontId="18" fillId="8" borderId="12" xfId="0" applyNumberFormat="1" applyFont="1" applyFill="1" applyBorder="1" applyProtection="1"/>
    <xf numFmtId="1" fontId="18" fillId="7" borderId="10" xfId="0" applyNumberFormat="1" applyFont="1" applyFill="1" applyBorder="1" applyProtection="1"/>
    <xf numFmtId="1" fontId="18" fillId="7" borderId="11" xfId="0" applyNumberFormat="1" applyFont="1" applyFill="1" applyBorder="1" applyProtection="1"/>
    <xf numFmtId="1" fontId="18" fillId="7" borderId="20" xfId="0" applyNumberFormat="1" applyFont="1" applyFill="1" applyBorder="1" applyProtection="1"/>
    <xf numFmtId="1" fontId="18" fillId="20" borderId="10" xfId="0" applyNumberFormat="1" applyFont="1" applyFill="1" applyBorder="1" applyProtection="1"/>
    <xf numFmtId="1" fontId="18" fillId="20" borderId="11" xfId="0" applyNumberFormat="1" applyFont="1" applyFill="1" applyBorder="1" applyProtection="1"/>
    <xf numFmtId="1" fontId="18" fillId="20" borderId="20" xfId="0" applyNumberFormat="1" applyFont="1" applyFill="1" applyBorder="1" applyProtection="1"/>
    <xf numFmtId="0" fontId="0" fillId="5" borderId="10" xfId="0" applyFill="1" applyBorder="1" applyAlignment="1" applyProtection="1">
      <alignment horizontal="center" textRotation="90" wrapText="1"/>
    </xf>
    <xf numFmtId="0" fontId="0" fillId="5" borderId="11" xfId="0" applyFill="1" applyBorder="1" applyAlignment="1" applyProtection="1">
      <alignment horizontal="center" textRotation="90" wrapText="1"/>
    </xf>
    <xf numFmtId="0" fontId="0" fillId="5" borderId="12" xfId="0" applyFill="1" applyBorder="1" applyAlignment="1" applyProtection="1">
      <alignment horizontal="center" textRotation="90" wrapText="1"/>
    </xf>
    <xf numFmtId="0" fontId="14" fillId="10" borderId="32" xfId="0" applyFont="1" applyFill="1" applyBorder="1" applyAlignment="1" applyProtection="1">
      <alignment horizontal="center" textRotation="90" wrapText="1"/>
    </xf>
    <xf numFmtId="0" fontId="0" fillId="9" borderId="10" xfId="0" applyFill="1" applyBorder="1" applyAlignment="1" applyProtection="1">
      <alignment horizontal="center" textRotation="90" wrapText="1"/>
    </xf>
    <xf numFmtId="0" fontId="0" fillId="9" borderId="11" xfId="0" applyFill="1" applyBorder="1" applyAlignment="1" applyProtection="1">
      <alignment horizontal="center" textRotation="90" wrapText="1"/>
    </xf>
    <xf numFmtId="0" fontId="0" fillId="9" borderId="12" xfId="0" applyFill="1" applyBorder="1" applyAlignment="1" applyProtection="1">
      <alignment horizontal="center" textRotation="90" wrapText="1"/>
    </xf>
    <xf numFmtId="0" fontId="14" fillId="11" borderId="32" xfId="0" applyFont="1" applyFill="1" applyBorder="1" applyAlignment="1" applyProtection="1">
      <alignment horizontal="center" textRotation="90" wrapText="1"/>
    </xf>
    <xf numFmtId="0" fontId="0" fillId="6" borderId="10" xfId="0" applyFill="1" applyBorder="1" applyAlignment="1" applyProtection="1">
      <alignment horizontal="center" textRotation="90" wrapText="1"/>
    </xf>
    <xf numFmtId="0" fontId="0" fillId="6" borderId="11" xfId="0" applyFill="1" applyBorder="1" applyAlignment="1" applyProtection="1">
      <alignment horizontal="center" textRotation="90" wrapText="1"/>
    </xf>
    <xf numFmtId="0" fontId="0" fillId="6" borderId="12" xfId="0" applyFill="1" applyBorder="1" applyAlignment="1" applyProtection="1">
      <alignment horizontal="center" textRotation="90" wrapText="1"/>
    </xf>
    <xf numFmtId="0" fontId="14" fillId="12" borderId="32" xfId="0" applyFont="1" applyFill="1" applyBorder="1" applyAlignment="1" applyProtection="1">
      <alignment horizontal="center" textRotation="90" wrapText="1"/>
    </xf>
    <xf numFmtId="0" fontId="0" fillId="8" borderId="10" xfId="0" applyFill="1" applyBorder="1" applyAlignment="1" applyProtection="1">
      <alignment horizontal="center" textRotation="90" wrapText="1"/>
    </xf>
    <xf numFmtId="0" fontId="0" fillId="8" borderId="11" xfId="0" applyFill="1" applyBorder="1" applyAlignment="1" applyProtection="1">
      <alignment horizontal="center" textRotation="90" wrapText="1"/>
    </xf>
    <xf numFmtId="0" fontId="0" fillId="8" borderId="12" xfId="0" applyFill="1" applyBorder="1" applyAlignment="1" applyProtection="1">
      <alignment horizontal="center" textRotation="90" wrapText="1"/>
    </xf>
    <xf numFmtId="0" fontId="14" fillId="13" borderId="32" xfId="0" applyFont="1" applyFill="1" applyBorder="1" applyAlignment="1" applyProtection="1">
      <alignment horizontal="center" textRotation="90" wrapText="1"/>
    </xf>
    <xf numFmtId="0" fontId="0" fillId="7" borderId="10" xfId="0" applyFill="1" applyBorder="1" applyAlignment="1" applyProtection="1">
      <alignment horizontal="center" textRotation="90" wrapText="1"/>
    </xf>
    <xf numFmtId="0" fontId="0" fillId="7" borderId="11" xfId="0" applyFill="1" applyBorder="1" applyAlignment="1" applyProtection="1">
      <alignment horizontal="center" textRotation="90" wrapText="1"/>
    </xf>
    <xf numFmtId="0" fontId="0" fillId="7" borderId="20" xfId="0" applyFill="1" applyBorder="1" applyAlignment="1" applyProtection="1">
      <alignment horizontal="center" textRotation="90" wrapText="1"/>
    </xf>
    <xf numFmtId="0" fontId="14" fillId="14" borderId="27" xfId="0" applyFont="1" applyFill="1" applyBorder="1" applyAlignment="1" applyProtection="1">
      <alignment horizontal="center" textRotation="90" wrapText="1"/>
    </xf>
    <xf numFmtId="0" fontId="0" fillId="20" borderId="10" xfId="0" applyFill="1" applyBorder="1" applyAlignment="1" applyProtection="1">
      <alignment horizontal="center" textRotation="90" wrapText="1"/>
    </xf>
    <xf numFmtId="0" fontId="0" fillId="20" borderId="11" xfId="0" applyFill="1" applyBorder="1" applyAlignment="1" applyProtection="1">
      <alignment horizontal="center" textRotation="90" wrapText="1"/>
    </xf>
    <xf numFmtId="0" fontId="0" fillId="20" borderId="20" xfId="0" applyFill="1" applyBorder="1" applyAlignment="1" applyProtection="1">
      <alignment horizontal="center" textRotation="90" wrapText="1"/>
    </xf>
    <xf numFmtId="0" fontId="14" fillId="19" borderId="27" xfId="0" applyFont="1" applyFill="1" applyBorder="1" applyAlignment="1" applyProtection="1">
      <alignment horizontal="center" textRotation="90" wrapText="1"/>
    </xf>
    <xf numFmtId="164" fontId="0" fillId="0" borderId="0" xfId="0" applyNumberFormat="1" applyAlignment="1" applyProtection="1">
      <alignment horizontal="right"/>
    </xf>
    <xf numFmtId="1" fontId="0" fillId="10" borderId="30" xfId="0" applyNumberFormat="1" applyFill="1" applyBorder="1" applyAlignment="1" applyProtection="1">
      <alignment horizontal="right"/>
    </xf>
    <xf numFmtId="1" fontId="0" fillId="11" borderId="30" xfId="0" applyNumberFormat="1" applyFill="1" applyBorder="1" applyAlignment="1" applyProtection="1">
      <alignment horizontal="right"/>
    </xf>
    <xf numFmtId="1" fontId="0" fillId="12" borderId="30" xfId="0" applyNumberFormat="1" applyFill="1" applyBorder="1" applyAlignment="1" applyProtection="1">
      <alignment horizontal="right"/>
    </xf>
    <xf numFmtId="1" fontId="0" fillId="13" borderId="30" xfId="0" applyNumberFormat="1" applyFill="1" applyBorder="1" applyAlignment="1" applyProtection="1">
      <alignment horizontal="right"/>
    </xf>
    <xf numFmtId="1" fontId="0" fillId="14" borderId="30" xfId="0" applyNumberFormat="1" applyFill="1" applyBorder="1" applyAlignment="1" applyProtection="1">
      <alignment horizontal="right"/>
    </xf>
    <xf numFmtId="164" fontId="0" fillId="0" borderId="0" xfId="0" quotePrefix="1" applyNumberFormat="1" applyProtection="1"/>
    <xf numFmtId="164" fontId="0" fillId="11" borderId="26" xfId="0" quotePrefix="1" applyNumberFormat="1" applyFill="1" applyBorder="1" applyProtection="1"/>
    <xf numFmtId="164" fontId="0" fillId="12" borderId="26" xfId="0" quotePrefix="1" applyNumberFormat="1" applyFill="1" applyBorder="1" applyProtection="1"/>
    <xf numFmtId="164" fontId="0" fillId="13" borderId="26" xfId="0" quotePrefix="1" applyNumberFormat="1" applyFill="1" applyBorder="1" applyProtection="1"/>
    <xf numFmtId="164" fontId="0" fillId="14" borderId="26" xfId="0" quotePrefix="1" applyNumberFormat="1" applyFill="1" applyBorder="1" applyProtection="1"/>
    <xf numFmtId="164" fontId="0" fillId="10" borderId="26" xfId="0" quotePrefix="1" applyNumberFormat="1" applyFill="1" applyBorder="1" applyProtection="1"/>
    <xf numFmtId="9" fontId="21" fillId="4" borderId="4" xfId="1" applyFont="1" applyFill="1" applyBorder="1" applyProtection="1">
      <protection locked="0"/>
    </xf>
    <xf numFmtId="9" fontId="21" fillId="4" borderId="5" xfId="1" applyFont="1" applyFill="1" applyBorder="1" applyProtection="1">
      <protection locked="0"/>
    </xf>
    <xf numFmtId="9" fontId="21" fillId="4" borderId="6" xfId="1" applyFont="1" applyFill="1" applyBorder="1" applyProtection="1">
      <protection locked="0"/>
    </xf>
    <xf numFmtId="0" fontId="19" fillId="15" borderId="26" xfId="0" applyFont="1" applyFill="1" applyBorder="1" applyProtection="1"/>
    <xf numFmtId="165" fontId="19" fillId="15" borderId="44" xfId="0" applyNumberFormat="1" applyFont="1" applyFill="1" applyBorder="1" applyProtection="1"/>
    <xf numFmtId="0" fontId="16" fillId="5" borderId="35" xfId="0" applyFont="1" applyFill="1" applyBorder="1" applyAlignment="1" applyProtection="1">
      <alignment horizontal="center" textRotation="90"/>
    </xf>
    <xf numFmtId="0" fontId="24" fillId="5" borderId="3" xfId="0" applyFont="1" applyFill="1" applyBorder="1" applyAlignment="1" applyProtection="1">
      <alignment horizontal="left" shrinkToFit="1"/>
    </xf>
    <xf numFmtId="0" fontId="0" fillId="5" borderId="45" xfId="0" applyFill="1" applyBorder="1" applyProtection="1"/>
    <xf numFmtId="0" fontId="0" fillId="5" borderId="28" xfId="0" applyFill="1" applyBorder="1" applyProtection="1"/>
    <xf numFmtId="0" fontId="0" fillId="5" borderId="46" xfId="0" applyFill="1" applyBorder="1" applyProtection="1"/>
    <xf numFmtId="0" fontId="14" fillId="10" borderId="27" xfId="0" applyNumberFormat="1" applyFont="1" applyFill="1" applyBorder="1" applyAlignment="1" applyProtection="1">
      <alignment horizontal="center" vertical="center" textRotation="90" wrapText="1"/>
    </xf>
    <xf numFmtId="0" fontId="0" fillId="9" borderId="45" xfId="0" applyFill="1" applyBorder="1" applyProtection="1"/>
    <xf numFmtId="0" fontId="0" fillId="9" borderId="28" xfId="0" applyFill="1" applyBorder="1" applyProtection="1"/>
    <xf numFmtId="0" fontId="0" fillId="9" borderId="21" xfId="0" applyFill="1" applyBorder="1" applyProtection="1"/>
    <xf numFmtId="0" fontId="0" fillId="6" borderId="23" xfId="0" applyFill="1" applyBorder="1" applyProtection="1"/>
    <xf numFmtId="0" fontId="0" fillId="6" borderId="28" xfId="0" applyFill="1" applyBorder="1" applyProtection="1"/>
    <xf numFmtId="0" fontId="0" fillId="6" borderId="21" xfId="0" applyFill="1" applyBorder="1" applyProtection="1"/>
    <xf numFmtId="0" fontId="0" fillId="8" borderId="23" xfId="0" applyFill="1" applyBorder="1" applyProtection="1"/>
    <xf numFmtId="0" fontId="0" fillId="8" borderId="28" xfId="0" applyFill="1" applyBorder="1" applyProtection="1"/>
    <xf numFmtId="0" fontId="0" fillId="8" borderId="21" xfId="0" applyFill="1" applyBorder="1" applyProtection="1"/>
    <xf numFmtId="0" fontId="14" fillId="13" borderId="27" xfId="0" applyNumberFormat="1" applyFont="1" applyFill="1" applyBorder="1" applyAlignment="1" applyProtection="1">
      <alignment horizontal="center" textRotation="90" wrapText="1"/>
    </xf>
    <xf numFmtId="0" fontId="0" fillId="7" borderId="23" xfId="0" applyFill="1" applyBorder="1" applyProtection="1"/>
    <xf numFmtId="0" fontId="0" fillId="7" borderId="28" xfId="0" applyFill="1" applyBorder="1" applyProtection="1"/>
    <xf numFmtId="0" fontId="0" fillId="7" borderId="21" xfId="0" applyFill="1" applyBorder="1" applyProtection="1"/>
    <xf numFmtId="0" fontId="0" fillId="20" borderId="23" xfId="0" applyFill="1" applyBorder="1" applyProtection="1"/>
    <xf numFmtId="0" fontId="0" fillId="20" borderId="28" xfId="0" applyFill="1" applyBorder="1" applyProtection="1"/>
    <xf numFmtId="0" fontId="0" fillId="20" borderId="21" xfId="0" applyFill="1" applyBorder="1" applyProtection="1"/>
    <xf numFmtId="0" fontId="22" fillId="15" borderId="44" xfId="0" applyFont="1" applyFill="1" applyBorder="1" applyAlignment="1" applyProtection="1">
      <alignment horizontal="right" vertical="center"/>
    </xf>
    <xf numFmtId="1" fontId="43" fillId="5" borderId="4" xfId="0" applyNumberFormat="1" applyFont="1" applyFill="1" applyBorder="1" applyProtection="1"/>
    <xf numFmtId="1" fontId="43" fillId="5" borderId="5" xfId="0" applyNumberFormat="1" applyFont="1" applyFill="1" applyBorder="1" applyProtection="1"/>
    <xf numFmtId="1" fontId="43" fillId="5" borderId="6" xfId="0" applyNumberFormat="1" applyFont="1" applyFill="1" applyBorder="1" applyProtection="1"/>
    <xf numFmtId="0" fontId="27" fillId="10" borderId="26" xfId="0" applyFont="1" applyFill="1" applyBorder="1" applyAlignment="1" applyProtection="1">
      <alignment horizontal="right"/>
    </xf>
    <xf numFmtId="1" fontId="43" fillId="9" borderId="4" xfId="0" applyNumberFormat="1" applyFont="1" applyFill="1" applyBorder="1" applyProtection="1"/>
    <xf numFmtId="1" fontId="43" fillId="9" borderId="5" xfId="0" applyNumberFormat="1" applyFont="1" applyFill="1" applyBorder="1" applyProtection="1"/>
    <xf numFmtId="1" fontId="43" fillId="9" borderId="6" xfId="0" applyNumberFormat="1" applyFont="1" applyFill="1" applyBorder="1" applyProtection="1"/>
    <xf numFmtId="0" fontId="27" fillId="11" borderId="26" xfId="0" applyFont="1" applyFill="1" applyBorder="1" applyAlignment="1" applyProtection="1">
      <alignment horizontal="right"/>
    </xf>
    <xf numFmtId="1" fontId="43" fillId="6" borderId="4" xfId="0" applyNumberFormat="1" applyFont="1" applyFill="1" applyBorder="1" applyProtection="1"/>
    <xf numFmtId="1" fontId="43" fillId="6" borderId="5" xfId="0" applyNumberFormat="1" applyFont="1" applyFill="1" applyBorder="1" applyProtection="1"/>
    <xf numFmtId="1" fontId="43" fillId="6" borderId="6" xfId="0" applyNumberFormat="1" applyFont="1" applyFill="1" applyBorder="1" applyProtection="1"/>
    <xf numFmtId="0" fontId="27" fillId="12" borderId="26" xfId="0" applyFont="1" applyFill="1" applyBorder="1" applyAlignment="1" applyProtection="1">
      <alignment horizontal="right"/>
    </xf>
    <xf numFmtId="1" fontId="43" fillId="8" borderId="4" xfId="0" applyNumberFormat="1" applyFont="1" applyFill="1" applyBorder="1" applyProtection="1"/>
    <xf numFmtId="1" fontId="43" fillId="8" borderId="5" xfId="0" applyNumberFormat="1" applyFont="1" applyFill="1" applyBorder="1" applyProtection="1"/>
    <xf numFmtId="1" fontId="43" fillId="8" borderId="6" xfId="0" applyNumberFormat="1" applyFont="1" applyFill="1" applyBorder="1" applyProtection="1"/>
    <xf numFmtId="0" fontId="27" fillId="13" borderId="26" xfId="0" applyFont="1" applyFill="1" applyBorder="1" applyAlignment="1" applyProtection="1">
      <alignment horizontal="right"/>
    </xf>
    <xf numFmtId="1" fontId="43" fillId="7" borderId="4" xfId="0" applyNumberFormat="1" applyFont="1" applyFill="1" applyBorder="1" applyProtection="1"/>
    <xf numFmtId="1" fontId="43" fillId="7" borderId="5" xfId="0" applyNumberFormat="1" applyFont="1" applyFill="1" applyBorder="1" applyProtection="1"/>
    <xf numFmtId="1" fontId="43" fillId="7" borderId="6" xfId="0" applyNumberFormat="1" applyFont="1" applyFill="1" applyBorder="1" applyProtection="1"/>
    <xf numFmtId="0" fontId="27" fillId="14" borderId="26" xfId="0" applyFont="1" applyFill="1" applyBorder="1" applyAlignment="1" applyProtection="1">
      <alignment horizontal="right"/>
    </xf>
    <xf numFmtId="1" fontId="43" fillId="20" borderId="4" xfId="0" applyNumberFormat="1" applyFont="1" applyFill="1" applyBorder="1" applyProtection="1"/>
    <xf numFmtId="1" fontId="43" fillId="20" borderId="5" xfId="0" applyNumberFormat="1" applyFont="1" applyFill="1" applyBorder="1" applyProtection="1"/>
    <xf numFmtId="1" fontId="43" fillId="20" borderId="6" xfId="0" applyNumberFormat="1" applyFont="1" applyFill="1" applyBorder="1" applyProtection="1"/>
    <xf numFmtId="0" fontId="27" fillId="19" borderId="26" xfId="0" applyFont="1" applyFill="1" applyBorder="1" applyAlignment="1" applyProtection="1">
      <alignment horizontal="right"/>
    </xf>
    <xf numFmtId="0" fontId="0" fillId="15" borderId="26" xfId="0" applyFont="1" applyFill="1" applyBorder="1" applyAlignment="1" applyProtection="1">
      <alignment horizontal="right" vertical="center"/>
    </xf>
    <xf numFmtId="164" fontId="0" fillId="0" borderId="0" xfId="0" applyNumberFormat="1" applyFill="1" applyProtection="1"/>
    <xf numFmtId="0" fontId="0" fillId="5" borderId="36" xfId="0" applyFill="1" applyBorder="1" applyAlignment="1" applyProtection="1">
      <alignment horizontal="center" textRotation="90" wrapText="1"/>
    </xf>
    <xf numFmtId="0" fontId="0" fillId="5" borderId="37" xfId="0" applyFill="1" applyBorder="1" applyAlignment="1" applyProtection="1">
      <alignment horizontal="center" textRotation="90" wrapText="1"/>
    </xf>
    <xf numFmtId="0" fontId="0" fillId="5" borderId="38" xfId="0" applyFill="1" applyBorder="1" applyAlignment="1" applyProtection="1">
      <alignment horizontal="center" textRotation="90" wrapText="1"/>
    </xf>
    <xf numFmtId="165" fontId="0" fillId="0" borderId="0" xfId="0" applyNumberFormat="1" applyAlignment="1" applyProtection="1">
      <alignment horizontal="right"/>
    </xf>
    <xf numFmtId="165" fontId="0" fillId="10" borderId="30" xfId="0" applyNumberFormat="1" applyFill="1" applyBorder="1" applyAlignment="1" applyProtection="1">
      <alignment horizontal="right"/>
    </xf>
    <xf numFmtId="165" fontId="0" fillId="11" borderId="30" xfId="0" applyNumberFormat="1" applyFill="1" applyBorder="1" applyAlignment="1" applyProtection="1">
      <alignment horizontal="right"/>
    </xf>
    <xf numFmtId="165" fontId="0" fillId="12" borderId="30" xfId="0" applyNumberFormat="1" applyFill="1" applyBorder="1" applyAlignment="1" applyProtection="1">
      <alignment horizontal="right"/>
    </xf>
    <xf numFmtId="165" fontId="0" fillId="13" borderId="30" xfId="0" applyNumberFormat="1" applyFill="1" applyBorder="1" applyAlignment="1" applyProtection="1">
      <alignment horizontal="right"/>
    </xf>
    <xf numFmtId="165" fontId="0" fillId="14" borderId="30" xfId="0" applyNumberFormat="1" applyFill="1" applyBorder="1" applyAlignment="1" applyProtection="1">
      <alignment horizontal="right"/>
    </xf>
    <xf numFmtId="165" fontId="0" fillId="0" borderId="0" xfId="0" quotePrefix="1" applyNumberFormat="1" applyProtection="1"/>
    <xf numFmtId="165" fontId="0" fillId="10" borderId="26" xfId="0" applyNumberFormat="1" applyFill="1" applyBorder="1" applyProtection="1"/>
    <xf numFmtId="165" fontId="0" fillId="11" borderId="26" xfId="0" quotePrefix="1" applyNumberFormat="1" applyFill="1" applyBorder="1" applyProtection="1"/>
    <xf numFmtId="165" fontId="0" fillId="12" borderId="26" xfId="0" quotePrefix="1" applyNumberFormat="1" applyFill="1" applyBorder="1" applyProtection="1"/>
    <xf numFmtId="165" fontId="0" fillId="13" borderId="26" xfId="0" quotePrefix="1" applyNumberFormat="1" applyFill="1" applyBorder="1" applyProtection="1"/>
    <xf numFmtId="165" fontId="0" fillId="14" borderId="26" xfId="0" quotePrefix="1" applyNumberFormat="1" applyFill="1" applyBorder="1" applyProtection="1"/>
    <xf numFmtId="165" fontId="0" fillId="0" borderId="0" xfId="0" applyNumberFormat="1" applyProtection="1"/>
    <xf numFmtId="165" fontId="0" fillId="19" borderId="26" xfId="0" applyNumberFormat="1" applyFill="1" applyBorder="1" applyProtection="1"/>
    <xf numFmtId="165" fontId="0" fillId="10" borderId="26" xfId="0" quotePrefix="1" applyNumberFormat="1" applyFill="1" applyBorder="1" applyProtection="1"/>
    <xf numFmtId="0" fontId="16" fillId="9" borderId="6" xfId="0" applyFont="1" applyFill="1" applyBorder="1" applyAlignment="1" applyProtection="1">
      <alignment horizontal="center" textRotation="90"/>
    </xf>
    <xf numFmtId="0" fontId="16" fillId="6" borderId="4" xfId="0" applyFont="1" applyFill="1" applyBorder="1" applyAlignment="1" applyProtection="1">
      <alignment horizontal="center" textRotation="90"/>
    </xf>
    <xf numFmtId="0" fontId="16" fillId="6" borderId="6" xfId="0" applyFont="1" applyFill="1" applyBorder="1" applyAlignment="1" applyProtection="1">
      <alignment horizontal="center" textRotation="90"/>
    </xf>
    <xf numFmtId="0" fontId="16" fillId="8" borderId="4" xfId="0" applyFont="1" applyFill="1" applyBorder="1" applyAlignment="1" applyProtection="1">
      <alignment horizontal="center" textRotation="90"/>
    </xf>
    <xf numFmtId="0" fontId="16" fillId="8" borderId="6" xfId="0" applyFont="1" applyFill="1" applyBorder="1" applyAlignment="1" applyProtection="1">
      <alignment horizontal="center" textRotation="90"/>
    </xf>
    <xf numFmtId="0" fontId="16" fillId="7" borderId="4" xfId="0" applyFont="1" applyFill="1" applyBorder="1" applyAlignment="1" applyProtection="1">
      <alignment horizontal="center" textRotation="90"/>
    </xf>
    <xf numFmtId="0" fontId="16" fillId="20" borderId="4" xfId="0" applyFont="1" applyFill="1" applyBorder="1" applyAlignment="1" applyProtection="1">
      <alignment horizontal="center" textRotation="90"/>
    </xf>
    <xf numFmtId="0" fontId="24" fillId="9" borderId="42" xfId="0" applyFont="1" applyFill="1" applyBorder="1" applyAlignment="1" applyProtection="1">
      <alignment horizontal="left" shrinkToFit="1"/>
    </xf>
    <xf numFmtId="0" fontId="24" fillId="6" borderId="41" xfId="0" applyFont="1" applyFill="1" applyBorder="1" applyAlignment="1" applyProtection="1">
      <alignment horizontal="left" shrinkToFit="1"/>
    </xf>
    <xf numFmtId="0" fontId="24" fillId="6" borderId="42" xfId="0" applyFont="1" applyFill="1" applyBorder="1" applyAlignment="1" applyProtection="1">
      <alignment horizontal="left" shrinkToFit="1"/>
    </xf>
    <xf numFmtId="0" fontId="24" fillId="8" borderId="41" xfId="0" applyFont="1" applyFill="1" applyBorder="1" applyAlignment="1" applyProtection="1">
      <alignment horizontal="left" shrinkToFit="1"/>
    </xf>
    <xf numFmtId="0" fontId="24" fillId="8" borderId="42" xfId="0" applyFont="1" applyFill="1" applyBorder="1" applyAlignment="1" applyProtection="1">
      <alignment horizontal="left" shrinkToFit="1"/>
    </xf>
    <xf numFmtId="0" fontId="24" fillId="7" borderId="41" xfId="0" applyFont="1" applyFill="1" applyBorder="1" applyAlignment="1" applyProtection="1">
      <alignment horizontal="left" shrinkToFit="1"/>
    </xf>
    <xf numFmtId="0" fontId="24" fillId="20" borderId="41" xfId="0" applyFont="1" applyFill="1" applyBorder="1" applyAlignment="1" applyProtection="1">
      <alignment horizontal="left" shrinkToFit="1"/>
    </xf>
    <xf numFmtId="0" fontId="0" fillId="9" borderId="42" xfId="0" applyFill="1" applyBorder="1" applyProtection="1"/>
    <xf numFmtId="0" fontId="0" fillId="6" borderId="41" xfId="0" applyFill="1" applyBorder="1" applyProtection="1"/>
    <xf numFmtId="0" fontId="0" fillId="6" borderId="42" xfId="0" applyFill="1" applyBorder="1" applyProtection="1"/>
    <xf numFmtId="0" fontId="0" fillId="8" borderId="41" xfId="0" applyFill="1" applyBorder="1" applyProtection="1"/>
    <xf numFmtId="0" fontId="0" fillId="8" borderId="42" xfId="0" applyFill="1" applyBorder="1" applyProtection="1"/>
    <xf numFmtId="0" fontId="0" fillId="7" borderId="41" xfId="0" applyFill="1" applyBorder="1" applyProtection="1"/>
    <xf numFmtId="0" fontId="0" fillId="7" borderId="42" xfId="0" applyFill="1" applyBorder="1" applyProtection="1"/>
    <xf numFmtId="0" fontId="0" fillId="20" borderId="41" xfId="0" applyFill="1" applyBorder="1" applyProtection="1"/>
    <xf numFmtId="0" fontId="0" fillId="20" borderId="42" xfId="0" applyFill="1" applyBorder="1" applyProtection="1"/>
    <xf numFmtId="0" fontId="0" fillId="15" borderId="27" xfId="0" applyFill="1" applyBorder="1" applyAlignment="1" applyProtection="1">
      <alignment textRotation="90" wrapText="1"/>
    </xf>
    <xf numFmtId="0" fontId="0" fillId="15" borderId="8" xfId="0" applyFill="1" applyBorder="1" applyAlignment="1" applyProtection="1">
      <alignment horizontal="center"/>
    </xf>
    <xf numFmtId="1" fontId="0" fillId="16" borderId="14" xfId="0" applyNumberFormat="1" applyFill="1" applyBorder="1" applyAlignment="1" applyProtection="1">
      <alignment horizontal="left"/>
    </xf>
    <xf numFmtId="1" fontId="0" fillId="16" borderId="16" xfId="0" applyNumberFormat="1" applyFill="1" applyBorder="1" applyAlignment="1" applyProtection="1">
      <alignment horizontal="left"/>
    </xf>
    <xf numFmtId="1" fontId="0" fillId="16" borderId="16" xfId="0" applyNumberFormat="1" applyFill="1" applyBorder="1" applyAlignment="1" applyProtection="1">
      <alignment horizontal="right"/>
    </xf>
    <xf numFmtId="0" fontId="0" fillId="15" borderId="29" xfId="0" applyFill="1" applyBorder="1" applyAlignment="1" applyProtection="1">
      <alignment horizontal="right"/>
    </xf>
    <xf numFmtId="166" fontId="0" fillId="4" borderId="22" xfId="0" quotePrefix="1" applyNumberFormat="1" applyFill="1" applyBorder="1" applyProtection="1"/>
    <xf numFmtId="166" fontId="0" fillId="4" borderId="23" xfId="0" quotePrefix="1" applyNumberFormat="1" applyFill="1" applyBorder="1" applyProtection="1"/>
    <xf numFmtId="166" fontId="0" fillId="4" borderId="28" xfId="0" quotePrefix="1" applyNumberFormat="1" applyFill="1" applyBorder="1" applyProtection="1"/>
    <xf numFmtId="166" fontId="0" fillId="4" borderId="21" xfId="0" quotePrefix="1" applyNumberFormat="1" applyFill="1" applyBorder="1" applyProtection="1"/>
    <xf numFmtId="166" fontId="0" fillId="4" borderId="0" xfId="0" quotePrefix="1" applyNumberFormat="1" applyFill="1" applyBorder="1" applyProtection="1"/>
    <xf numFmtId="166" fontId="0" fillId="4" borderId="25" xfId="0" quotePrefix="1" applyNumberFormat="1" applyFill="1" applyBorder="1" applyProtection="1"/>
    <xf numFmtId="166" fontId="0" fillId="4" borderId="24" xfId="0" quotePrefix="1" applyNumberFormat="1" applyFill="1" applyBorder="1" applyProtection="1"/>
    <xf numFmtId="166" fontId="0" fillId="4" borderId="29" xfId="0" quotePrefix="1" applyNumberFormat="1" applyFill="1" applyBorder="1" applyProtection="1"/>
    <xf numFmtId="164" fontId="0" fillId="4" borderId="0" xfId="0" quotePrefix="1" applyNumberFormat="1" applyFill="1" applyBorder="1" applyProtection="1"/>
    <xf numFmtId="164" fontId="0" fillId="4" borderId="25" xfId="0" quotePrefix="1" applyNumberFormat="1" applyFill="1" applyBorder="1" applyProtection="1"/>
    <xf numFmtId="164" fontId="0" fillId="4" borderId="24" xfId="0" quotePrefix="1" applyNumberFormat="1" applyFill="1" applyBorder="1" applyProtection="1"/>
    <xf numFmtId="164" fontId="0" fillId="4" borderId="29" xfId="0" quotePrefix="1" applyNumberFormat="1" applyFill="1" applyBorder="1" applyProtection="1"/>
    <xf numFmtId="0" fontId="0" fillId="15" borderId="29" xfId="0" applyFont="1" applyFill="1" applyBorder="1" applyAlignment="1" applyProtection="1">
      <alignment horizontal="right"/>
    </xf>
    <xf numFmtId="2" fontId="0" fillId="4" borderId="0" xfId="0" quotePrefix="1" applyNumberFormat="1" applyFill="1" applyBorder="1" applyProtection="1"/>
    <xf numFmtId="2" fontId="0" fillId="4" borderId="25" xfId="0" quotePrefix="1" applyNumberFormat="1" applyFill="1" applyBorder="1" applyProtection="1"/>
    <xf numFmtId="2" fontId="0" fillId="4" borderId="24" xfId="0" quotePrefix="1" applyNumberFormat="1" applyFill="1" applyBorder="1" applyProtection="1"/>
    <xf numFmtId="2" fontId="0" fillId="4" borderId="29" xfId="0" quotePrefix="1" applyNumberFormat="1" applyFill="1" applyBorder="1" applyProtection="1"/>
    <xf numFmtId="0" fontId="25" fillId="15" borderId="29" xfId="0" applyFont="1" applyFill="1" applyBorder="1" applyAlignment="1" applyProtection="1">
      <alignment horizontal="right"/>
    </xf>
    <xf numFmtId="166" fontId="20" fillId="16" borderId="0" xfId="0" quotePrefix="1" applyNumberFormat="1" applyFont="1" applyFill="1" applyBorder="1" applyProtection="1"/>
    <xf numFmtId="166" fontId="20" fillId="16" borderId="25" xfId="0" quotePrefix="1" applyNumberFormat="1" applyFont="1" applyFill="1" applyBorder="1" applyProtection="1"/>
    <xf numFmtId="166" fontId="20" fillId="16" borderId="24" xfId="0" quotePrefix="1" applyNumberFormat="1" applyFont="1" applyFill="1" applyBorder="1" applyProtection="1"/>
    <xf numFmtId="166" fontId="20" fillId="16" borderId="29" xfId="0" quotePrefix="1" applyNumberFormat="1" applyFont="1" applyFill="1" applyBorder="1" applyProtection="1"/>
    <xf numFmtId="166" fontId="0" fillId="16" borderId="0" xfId="0" quotePrefix="1" applyNumberFormat="1" applyFill="1" applyBorder="1" applyProtection="1"/>
    <xf numFmtId="166" fontId="0" fillId="16" borderId="29" xfId="0" quotePrefix="1" applyNumberFormat="1" applyFill="1" applyBorder="1" applyProtection="1"/>
    <xf numFmtId="0" fontId="0" fillId="15" borderId="29" xfId="0" applyFill="1" applyBorder="1" applyProtection="1"/>
    <xf numFmtId="166" fontId="0" fillId="16" borderId="25" xfId="0" quotePrefix="1" applyNumberFormat="1" applyFill="1" applyBorder="1" applyProtection="1"/>
    <xf numFmtId="166" fontId="0" fillId="16" borderId="24" xfId="0" quotePrefix="1" applyNumberFormat="1" applyFill="1" applyBorder="1" applyProtection="1"/>
    <xf numFmtId="0" fontId="0" fillId="15" borderId="8" xfId="0" applyFill="1" applyBorder="1" applyProtection="1"/>
    <xf numFmtId="166" fontId="0" fillId="16" borderId="33" xfId="0" quotePrefix="1" applyNumberFormat="1" applyFill="1" applyBorder="1" applyProtection="1"/>
    <xf numFmtId="166" fontId="0" fillId="16" borderId="34" xfId="0" quotePrefix="1" applyNumberFormat="1" applyFill="1" applyBorder="1" applyProtection="1"/>
    <xf numFmtId="166" fontId="0" fillId="16" borderId="13" xfId="0" quotePrefix="1" applyNumberFormat="1" applyFill="1" applyBorder="1" applyProtection="1"/>
    <xf numFmtId="166" fontId="0" fillId="16" borderId="8" xfId="0" quotePrefix="1" applyNumberFormat="1" applyFill="1" applyBorder="1" applyProtection="1"/>
    <xf numFmtId="2" fontId="0" fillId="0" borderId="0" xfId="0" quotePrefix="1" applyNumberFormat="1" applyBorder="1" applyProtection="1"/>
    <xf numFmtId="2" fontId="0" fillId="10" borderId="26" xfId="0" quotePrefix="1" applyNumberFormat="1" applyFill="1" applyBorder="1" applyProtection="1"/>
    <xf numFmtId="2" fontId="0" fillId="11" borderId="26" xfId="0" quotePrefix="1" applyNumberFormat="1" applyFill="1" applyBorder="1" applyProtection="1"/>
    <xf numFmtId="2" fontId="0" fillId="0" borderId="0" xfId="0" applyNumberFormat="1" applyBorder="1" applyProtection="1"/>
    <xf numFmtId="2" fontId="0" fillId="0" borderId="0" xfId="0" quotePrefix="1" applyNumberFormat="1" applyProtection="1"/>
    <xf numFmtId="2" fontId="0" fillId="12" borderId="26" xfId="0" quotePrefix="1" applyNumberFormat="1" applyFill="1" applyBorder="1" applyProtection="1"/>
    <xf numFmtId="2" fontId="0" fillId="13" borderId="26" xfId="0" quotePrefix="1" applyNumberFormat="1" applyFill="1" applyBorder="1" applyProtection="1"/>
    <xf numFmtId="2" fontId="0" fillId="14" borderId="31" xfId="0" quotePrefix="1" applyNumberFormat="1" applyFill="1" applyBorder="1" applyProtection="1"/>
    <xf numFmtId="2" fontId="0" fillId="19" borderId="31" xfId="0" quotePrefix="1" applyNumberFormat="1" applyFill="1" applyBorder="1" applyProtection="1"/>
    <xf numFmtId="2" fontId="0" fillId="14" borderId="26" xfId="0" quotePrefix="1" applyNumberFormat="1" applyFill="1" applyBorder="1" applyProtection="1"/>
    <xf numFmtId="2" fontId="0" fillId="19" borderId="26" xfId="0" quotePrefix="1" applyNumberFormat="1" applyFill="1" applyBorder="1" applyProtection="1"/>
    <xf numFmtId="1" fontId="43" fillId="5" borderId="63" xfId="0" applyNumberFormat="1" applyFont="1" applyFill="1" applyBorder="1" applyProtection="1"/>
    <xf numFmtId="1" fontId="43" fillId="5" borderId="8" xfId="0" applyNumberFormat="1" applyFont="1" applyFill="1" applyBorder="1" applyProtection="1"/>
    <xf numFmtId="1" fontId="43" fillId="5" borderId="34" xfId="0" applyNumberFormat="1" applyFont="1" applyFill="1" applyBorder="1" applyProtection="1"/>
    <xf numFmtId="1" fontId="43" fillId="9" borderId="7" xfId="0" applyNumberFormat="1" applyFont="1" applyFill="1" applyBorder="1" applyProtection="1"/>
    <xf numFmtId="1" fontId="43" fillId="9" borderId="8" xfId="0" applyNumberFormat="1" applyFont="1" applyFill="1" applyBorder="1" applyProtection="1"/>
    <xf numFmtId="1" fontId="43" fillId="6" borderId="7" xfId="0" applyNumberFormat="1" applyFont="1" applyFill="1" applyBorder="1" applyProtection="1"/>
    <xf numFmtId="1" fontId="43" fillId="6" borderId="8" xfId="0" applyNumberFormat="1" applyFont="1" applyFill="1" applyBorder="1" applyProtection="1"/>
    <xf numFmtId="1" fontId="43" fillId="6" borderId="9" xfId="0" applyNumberFormat="1" applyFont="1" applyFill="1" applyBorder="1" applyProtection="1"/>
    <xf numFmtId="1" fontId="43" fillId="8" borderId="7" xfId="0" applyNumberFormat="1" applyFont="1" applyFill="1" applyBorder="1" applyProtection="1"/>
    <xf numFmtId="1" fontId="43" fillId="8" borderId="8" xfId="0" applyNumberFormat="1" applyFont="1" applyFill="1" applyBorder="1" applyProtection="1"/>
    <xf numFmtId="1" fontId="43" fillId="8" borderId="9" xfId="0" applyNumberFormat="1" applyFont="1" applyFill="1" applyBorder="1" applyProtection="1"/>
    <xf numFmtId="1" fontId="43" fillId="7" borderId="7" xfId="0" applyNumberFormat="1" applyFont="1" applyFill="1" applyBorder="1" applyProtection="1"/>
    <xf numFmtId="1" fontId="43" fillId="7" borderId="8" xfId="0" applyNumberFormat="1" applyFont="1" applyFill="1" applyBorder="1" applyProtection="1"/>
    <xf numFmtId="1" fontId="43" fillId="7" borderId="9" xfId="0" applyNumberFormat="1" applyFont="1" applyFill="1" applyBorder="1" applyProtection="1"/>
    <xf numFmtId="1" fontId="43" fillId="20" borderId="1" xfId="0" applyNumberFormat="1" applyFont="1" applyFill="1" applyBorder="1" applyProtection="1"/>
    <xf numFmtId="1" fontId="43" fillId="20" borderId="41" xfId="0" applyNumberFormat="1" applyFont="1" applyFill="1" applyBorder="1" applyProtection="1"/>
    <xf numFmtId="1" fontId="43" fillId="20" borderId="42" xfId="0" applyNumberFormat="1" applyFont="1" applyFill="1" applyBorder="1" applyProtection="1"/>
    <xf numFmtId="0" fontId="0" fillId="20" borderId="39" xfId="0" applyFill="1" applyBorder="1" applyAlignment="1" applyProtection="1">
      <alignment horizontal="center" textRotation="90" wrapText="1"/>
    </xf>
    <xf numFmtId="0" fontId="0" fillId="20" borderId="37" xfId="0" applyFill="1" applyBorder="1" applyAlignment="1" applyProtection="1">
      <alignment horizontal="center" textRotation="90" wrapText="1"/>
    </xf>
    <xf numFmtId="0" fontId="0" fillId="20" borderId="47" xfId="0" applyFill="1" applyBorder="1" applyAlignment="1" applyProtection="1">
      <alignment horizontal="center" textRotation="90" wrapText="1"/>
    </xf>
    <xf numFmtId="0" fontId="0" fillId="7" borderId="39" xfId="0" applyFill="1" applyBorder="1" applyAlignment="1" applyProtection="1">
      <alignment horizontal="center" textRotation="90" wrapText="1"/>
    </xf>
    <xf numFmtId="0" fontId="0" fillId="7" borderId="37" xfId="0" applyFill="1" applyBorder="1" applyAlignment="1" applyProtection="1">
      <alignment horizontal="center" textRotation="90" wrapText="1"/>
    </xf>
    <xf numFmtId="0" fontId="0" fillId="7" borderId="47" xfId="0" applyFill="1" applyBorder="1" applyAlignment="1" applyProtection="1">
      <alignment horizontal="center" textRotation="90" wrapText="1"/>
    </xf>
    <xf numFmtId="0" fontId="0" fillId="8" borderId="39" xfId="0" applyFill="1" applyBorder="1" applyAlignment="1" applyProtection="1">
      <alignment horizontal="center" textRotation="90" wrapText="1"/>
    </xf>
    <xf numFmtId="0" fontId="0" fillId="8" borderId="37" xfId="0" applyFill="1" applyBorder="1" applyAlignment="1" applyProtection="1">
      <alignment horizontal="center" textRotation="90" wrapText="1"/>
    </xf>
    <xf numFmtId="0" fontId="0" fillId="8" borderId="38" xfId="0" applyFill="1" applyBorder="1" applyAlignment="1" applyProtection="1">
      <alignment horizontal="center" textRotation="90" wrapText="1"/>
    </xf>
    <xf numFmtId="0" fontId="0" fillId="6" borderId="39" xfId="0" applyFill="1" applyBorder="1" applyAlignment="1" applyProtection="1">
      <alignment horizontal="center" textRotation="90" wrapText="1"/>
    </xf>
    <xf numFmtId="0" fontId="0" fillId="6" borderId="37" xfId="0" applyFill="1" applyBorder="1" applyAlignment="1" applyProtection="1">
      <alignment horizontal="center" textRotation="90" wrapText="1"/>
    </xf>
    <xf numFmtId="0" fontId="0" fillId="6" borderId="38" xfId="0" applyFill="1" applyBorder="1" applyAlignment="1" applyProtection="1">
      <alignment horizontal="center" textRotation="90" wrapText="1"/>
    </xf>
    <xf numFmtId="0" fontId="0" fillId="9" borderId="39" xfId="0" applyFill="1" applyBorder="1" applyAlignment="1" applyProtection="1">
      <alignment horizontal="center" textRotation="90" wrapText="1"/>
    </xf>
    <xf numFmtId="0" fontId="0" fillId="9" borderId="37" xfId="0" applyFill="1" applyBorder="1" applyAlignment="1" applyProtection="1">
      <alignment horizontal="center" textRotation="90" wrapText="1"/>
    </xf>
    <xf numFmtId="0" fontId="0" fillId="9" borderId="38" xfId="0" applyFill="1" applyBorder="1" applyAlignment="1" applyProtection="1">
      <alignment horizontal="center" textRotation="90" wrapText="1"/>
    </xf>
    <xf numFmtId="1" fontId="43" fillId="20" borderId="10" xfId="0" applyNumberFormat="1" applyFont="1" applyFill="1" applyBorder="1" applyProtection="1"/>
    <xf numFmtId="1" fontId="43" fillId="20" borderId="11" xfId="0" applyNumberFormat="1" applyFont="1" applyFill="1" applyBorder="1" applyProtection="1"/>
    <xf numFmtId="1" fontId="43" fillId="20" borderId="12" xfId="0" applyNumberFormat="1" applyFont="1" applyFill="1" applyBorder="1" applyProtection="1"/>
    <xf numFmtId="1" fontId="43" fillId="7" borderId="10" xfId="0" applyNumberFormat="1" applyFont="1" applyFill="1" applyBorder="1" applyProtection="1"/>
    <xf numFmtId="1" fontId="43" fillId="7" borderId="11" xfId="0" applyNumberFormat="1" applyFont="1" applyFill="1" applyBorder="1" applyProtection="1"/>
    <xf numFmtId="1" fontId="43" fillId="7" borderId="12" xfId="0" applyNumberFormat="1" applyFont="1" applyFill="1" applyBorder="1" applyProtection="1"/>
    <xf numFmtId="1" fontId="43" fillId="8" borderId="10" xfId="0" applyNumberFormat="1" applyFont="1" applyFill="1" applyBorder="1" applyProtection="1"/>
    <xf numFmtId="1" fontId="43" fillId="8" borderId="11" xfId="0" applyNumberFormat="1" applyFont="1" applyFill="1" applyBorder="1" applyProtection="1"/>
    <xf numFmtId="1" fontId="43" fillId="8" borderId="12" xfId="0" applyNumberFormat="1" applyFont="1" applyFill="1" applyBorder="1" applyProtection="1"/>
    <xf numFmtId="1" fontId="43" fillId="6" borderId="10" xfId="0" applyNumberFormat="1" applyFont="1" applyFill="1" applyBorder="1" applyProtection="1"/>
    <xf numFmtId="1" fontId="43" fillId="6" borderId="11" xfId="0" applyNumberFormat="1" applyFont="1" applyFill="1" applyBorder="1" applyProtection="1"/>
    <xf numFmtId="1" fontId="43" fillId="6" borderId="12" xfId="0" applyNumberFormat="1" applyFont="1" applyFill="1" applyBorder="1" applyProtection="1"/>
    <xf numFmtId="1" fontId="43" fillId="9" borderId="10" xfId="0" applyNumberFormat="1" applyFont="1" applyFill="1" applyBorder="1" applyProtection="1"/>
    <xf numFmtId="1" fontId="43" fillId="9" borderId="11" xfId="0" applyNumberFormat="1" applyFont="1" applyFill="1" applyBorder="1" applyProtection="1"/>
    <xf numFmtId="1" fontId="43" fillId="9" borderId="12" xfId="0" applyNumberFormat="1" applyFont="1" applyFill="1" applyBorder="1" applyProtection="1"/>
    <xf numFmtId="1" fontId="43" fillId="5" borderId="64" xfId="0" applyNumberFormat="1" applyFont="1" applyFill="1" applyBorder="1" applyProtection="1"/>
    <xf numFmtId="1" fontId="43" fillId="5" borderId="11" xfId="0" applyNumberFormat="1" applyFont="1" applyFill="1" applyBorder="1" applyProtection="1"/>
    <xf numFmtId="1" fontId="43" fillId="5" borderId="65" xfId="0" applyNumberFormat="1" applyFont="1" applyFill="1" applyBorder="1" applyProtection="1"/>
    <xf numFmtId="2" fontId="43" fillId="5" borderId="64" xfId="0" applyNumberFormat="1" applyFont="1" applyFill="1" applyBorder="1" applyProtection="1"/>
    <xf numFmtId="2" fontId="43" fillId="5" borderId="11" xfId="0" applyNumberFormat="1" applyFont="1" applyFill="1" applyBorder="1" applyProtection="1"/>
    <xf numFmtId="2" fontId="43" fillId="5" borderId="65" xfId="0" applyNumberFormat="1" applyFont="1" applyFill="1" applyBorder="1" applyProtection="1"/>
    <xf numFmtId="2" fontId="43" fillId="9" borderId="10" xfId="0" applyNumberFormat="1" applyFont="1" applyFill="1" applyBorder="1" applyProtection="1"/>
    <xf numFmtId="2" fontId="43" fillId="9" borderId="11" xfId="0" applyNumberFormat="1" applyFont="1" applyFill="1" applyBorder="1" applyProtection="1"/>
    <xf numFmtId="2" fontId="43" fillId="9" borderId="12" xfId="0" applyNumberFormat="1" applyFont="1" applyFill="1" applyBorder="1" applyProtection="1"/>
    <xf numFmtId="2" fontId="43" fillId="6" borderId="10" xfId="0" applyNumberFormat="1" applyFont="1" applyFill="1" applyBorder="1" applyProtection="1"/>
    <xf numFmtId="2" fontId="43" fillId="6" borderId="11" xfId="0" applyNumberFormat="1" applyFont="1" applyFill="1" applyBorder="1" applyProtection="1"/>
    <xf numFmtId="2" fontId="43" fillId="6" borderId="12" xfId="0" applyNumberFormat="1" applyFont="1" applyFill="1" applyBorder="1" applyProtection="1"/>
    <xf numFmtId="2" fontId="43" fillId="8" borderId="10" xfId="0" applyNumberFormat="1" applyFont="1" applyFill="1" applyBorder="1" applyProtection="1"/>
    <xf numFmtId="2" fontId="43" fillId="8" borderId="11" xfId="0" applyNumberFormat="1" applyFont="1" applyFill="1" applyBorder="1" applyProtection="1"/>
    <xf numFmtId="2" fontId="43" fillId="8" borderId="12" xfId="0" applyNumberFormat="1" applyFont="1" applyFill="1" applyBorder="1" applyProtection="1"/>
    <xf numFmtId="2" fontId="43" fillId="7" borderId="10" xfId="0" applyNumberFormat="1" applyFont="1" applyFill="1" applyBorder="1" applyProtection="1"/>
    <xf numFmtId="2" fontId="43" fillId="7" borderId="11" xfId="0" applyNumberFormat="1" applyFont="1" applyFill="1" applyBorder="1" applyProtection="1"/>
    <xf numFmtId="2" fontId="43" fillId="7" borderId="12" xfId="0" applyNumberFormat="1" applyFont="1" applyFill="1" applyBorder="1" applyProtection="1"/>
    <xf numFmtId="2" fontId="43" fillId="20" borderId="10" xfId="0" applyNumberFormat="1" applyFont="1" applyFill="1" applyBorder="1" applyProtection="1"/>
    <xf numFmtId="2" fontId="43" fillId="20" borderId="11" xfId="0" applyNumberFormat="1" applyFont="1" applyFill="1" applyBorder="1" applyProtection="1"/>
    <xf numFmtId="2" fontId="43" fillId="20" borderId="12" xfId="0" applyNumberFormat="1" applyFont="1" applyFill="1" applyBorder="1" applyProtection="1"/>
    <xf numFmtId="164" fontId="43" fillId="5" borderId="6" xfId="0" quotePrefix="1" applyNumberFormat="1" applyFont="1" applyFill="1" applyBorder="1" applyAlignment="1" applyProtection="1">
      <alignment horizontal="right"/>
    </xf>
    <xf numFmtId="164" fontId="43" fillId="5" borderId="11" xfId="0" quotePrefix="1" applyNumberFormat="1" applyFont="1" applyFill="1" applyBorder="1" applyAlignment="1" applyProtection="1">
      <alignment horizontal="right"/>
    </xf>
    <xf numFmtId="164" fontId="43" fillId="5" borderId="12" xfId="0" quotePrefix="1" applyNumberFormat="1" applyFont="1" applyFill="1" applyBorder="1" applyAlignment="1" applyProtection="1">
      <alignment horizontal="right"/>
    </xf>
    <xf numFmtId="164" fontId="47" fillId="9" borderId="4" xfId="0" applyNumberFormat="1" applyFont="1" applyFill="1" applyBorder="1" applyAlignment="1" applyProtection="1">
      <alignment horizontal="right"/>
    </xf>
    <xf numFmtId="164" fontId="47" fillId="9" borderId="5" xfId="0" applyNumberFormat="1" applyFont="1" applyFill="1" applyBorder="1" applyAlignment="1" applyProtection="1">
      <alignment horizontal="right"/>
    </xf>
    <xf numFmtId="164" fontId="47" fillId="9" borderId="6" xfId="0" applyNumberFormat="1" applyFont="1" applyFill="1" applyBorder="1" applyAlignment="1" applyProtection="1">
      <alignment horizontal="right"/>
    </xf>
    <xf numFmtId="164" fontId="47" fillId="9" borderId="10" xfId="0" applyNumberFormat="1" applyFont="1" applyFill="1" applyBorder="1" applyAlignment="1" applyProtection="1">
      <alignment horizontal="right"/>
    </xf>
    <xf numFmtId="164" fontId="47" fillId="9" borderId="11" xfId="0" applyNumberFormat="1" applyFont="1" applyFill="1" applyBorder="1" applyAlignment="1" applyProtection="1">
      <alignment horizontal="right"/>
    </xf>
    <xf numFmtId="164" fontId="47" fillId="9" borderId="12" xfId="0" applyNumberFormat="1" applyFont="1" applyFill="1" applyBorder="1" applyAlignment="1" applyProtection="1">
      <alignment horizontal="right"/>
    </xf>
    <xf numFmtId="164" fontId="47" fillId="6" borderId="10" xfId="0" applyNumberFormat="1" applyFont="1" applyFill="1" applyBorder="1" applyAlignment="1" applyProtection="1">
      <alignment horizontal="right"/>
    </xf>
    <xf numFmtId="164" fontId="47" fillId="6" borderId="11" xfId="0" applyNumberFormat="1" applyFont="1" applyFill="1" applyBorder="1" applyAlignment="1" applyProtection="1">
      <alignment horizontal="right"/>
    </xf>
    <xf numFmtId="164" fontId="47" fillId="6" borderId="12" xfId="0" applyNumberFormat="1" applyFont="1" applyFill="1" applyBorder="1" applyAlignment="1" applyProtection="1">
      <alignment horizontal="right"/>
    </xf>
    <xf numFmtId="164" fontId="47" fillId="8" borderId="10" xfId="0" applyNumberFormat="1" applyFont="1" applyFill="1" applyBorder="1" applyAlignment="1" applyProtection="1">
      <alignment horizontal="right"/>
    </xf>
    <xf numFmtId="164" fontId="47" fillId="8" borderId="11" xfId="0" applyNumberFormat="1" applyFont="1" applyFill="1" applyBorder="1" applyAlignment="1" applyProtection="1">
      <alignment horizontal="right"/>
    </xf>
    <xf numFmtId="164" fontId="47" fillId="8" borderId="12" xfId="0" applyNumberFormat="1" applyFont="1" applyFill="1" applyBorder="1" applyAlignment="1" applyProtection="1">
      <alignment horizontal="right"/>
    </xf>
    <xf numFmtId="164" fontId="47" fillId="7" borderId="10" xfId="0" applyNumberFormat="1" applyFont="1" applyFill="1" applyBorder="1" applyAlignment="1" applyProtection="1">
      <alignment horizontal="right"/>
    </xf>
    <xf numFmtId="164" fontId="47" fillId="7" borderId="11" xfId="0" applyNumberFormat="1" applyFont="1" applyFill="1" applyBorder="1" applyAlignment="1" applyProtection="1">
      <alignment horizontal="right"/>
    </xf>
    <xf numFmtId="164" fontId="47" fillId="20" borderId="10" xfId="0" applyNumberFormat="1" applyFont="1" applyFill="1" applyBorder="1" applyAlignment="1" applyProtection="1">
      <alignment horizontal="right"/>
    </xf>
    <xf numFmtId="164" fontId="47" fillId="20" borderId="11" xfId="0" applyNumberFormat="1" applyFont="1" applyFill="1" applyBorder="1" applyAlignment="1" applyProtection="1">
      <alignment horizontal="right"/>
    </xf>
    <xf numFmtId="171" fontId="0" fillId="3" borderId="1" xfId="0" applyNumberFormat="1" applyFill="1" applyBorder="1" applyProtection="1"/>
    <xf numFmtId="167" fontId="48" fillId="10" borderId="30" xfId="0" applyNumberFormat="1" applyFont="1" applyFill="1" applyBorder="1" applyProtection="1"/>
    <xf numFmtId="169" fontId="14" fillId="10" borderId="27" xfId="0" applyNumberFormat="1" applyFont="1" applyFill="1" applyBorder="1" applyProtection="1"/>
    <xf numFmtId="167" fontId="48" fillId="11" borderId="30" xfId="0" applyNumberFormat="1" applyFont="1" applyFill="1" applyBorder="1" applyProtection="1"/>
    <xf numFmtId="169" fontId="14" fillId="11" borderId="27" xfId="0" applyNumberFormat="1" applyFont="1" applyFill="1" applyBorder="1" applyProtection="1"/>
    <xf numFmtId="167" fontId="48" fillId="12" borderId="30" xfId="0" applyNumberFormat="1" applyFont="1" applyFill="1" applyBorder="1" applyProtection="1"/>
    <xf numFmtId="169" fontId="14" fillId="12" borderId="27" xfId="0" applyNumberFormat="1" applyFont="1" applyFill="1" applyBorder="1" applyProtection="1"/>
    <xf numFmtId="167" fontId="48" fillId="13" borderId="30" xfId="0" applyNumberFormat="1" applyFont="1" applyFill="1" applyBorder="1" applyProtection="1"/>
    <xf numFmtId="169" fontId="14" fillId="13" borderId="27" xfId="0" applyNumberFormat="1" applyFont="1" applyFill="1" applyBorder="1" applyProtection="1"/>
    <xf numFmtId="167" fontId="48" fillId="14" borderId="30" xfId="0" applyNumberFormat="1" applyFont="1" applyFill="1" applyBorder="1" applyProtection="1"/>
    <xf numFmtId="169" fontId="14" fillId="14" borderId="27" xfId="0" applyNumberFormat="1" applyFont="1" applyFill="1" applyBorder="1" applyProtection="1"/>
    <xf numFmtId="167" fontId="48" fillId="19" borderId="30" xfId="0" applyNumberFormat="1" applyFont="1" applyFill="1" applyBorder="1" applyProtection="1"/>
    <xf numFmtId="169" fontId="14" fillId="19" borderId="27" xfId="0" applyNumberFormat="1" applyFont="1" applyFill="1" applyBorder="1" applyProtection="1"/>
    <xf numFmtId="167" fontId="48" fillId="11" borderId="26" xfId="0" applyNumberFormat="1" applyFont="1" applyFill="1" applyBorder="1"/>
    <xf numFmtId="169" fontId="14" fillId="11" borderId="32" xfId="0" applyNumberFormat="1" applyFont="1" applyFill="1" applyBorder="1"/>
    <xf numFmtId="167" fontId="48" fillId="12" borderId="26" xfId="0" applyNumberFormat="1" applyFont="1" applyFill="1" applyBorder="1"/>
    <xf numFmtId="169" fontId="14" fillId="12" borderId="32" xfId="0" applyNumberFormat="1" applyFont="1" applyFill="1" applyBorder="1"/>
    <xf numFmtId="167" fontId="48" fillId="13" borderId="26" xfId="0" applyNumberFormat="1" applyFont="1" applyFill="1" applyBorder="1"/>
    <xf numFmtId="169" fontId="14" fillId="13" borderId="32" xfId="0" applyNumberFormat="1" applyFont="1" applyFill="1" applyBorder="1"/>
    <xf numFmtId="167" fontId="48" fillId="14" borderId="26" xfId="0" applyNumberFormat="1" applyFont="1" applyFill="1" applyBorder="1"/>
    <xf numFmtId="169" fontId="14" fillId="14" borderId="27" xfId="0" applyNumberFormat="1" applyFont="1" applyFill="1" applyBorder="1"/>
    <xf numFmtId="167" fontId="48" fillId="19" borderId="26" xfId="0" applyNumberFormat="1" applyFont="1" applyFill="1" applyBorder="1"/>
    <xf numFmtId="169" fontId="14" fillId="19" borderId="27" xfId="0" applyNumberFormat="1" applyFont="1" applyFill="1" applyBorder="1"/>
    <xf numFmtId="167" fontId="48" fillId="10" borderId="44" xfId="0" applyNumberFormat="1" applyFont="1" applyFill="1" applyBorder="1" applyProtection="1"/>
    <xf numFmtId="168" fontId="14" fillId="10" borderId="27" xfId="0" applyNumberFormat="1" applyFont="1" applyFill="1" applyBorder="1" applyAlignment="1" applyProtection="1">
      <alignment horizontal="right"/>
    </xf>
    <xf numFmtId="170" fontId="48" fillId="10" borderId="30" xfId="0" applyNumberFormat="1" applyFont="1" applyFill="1" applyBorder="1" applyProtection="1"/>
    <xf numFmtId="167" fontId="48" fillId="11" borderId="55" xfId="0" applyNumberFormat="1" applyFont="1" applyFill="1" applyBorder="1" applyProtection="1"/>
    <xf numFmtId="168" fontId="14" fillId="11" borderId="27" xfId="0" applyNumberFormat="1" applyFont="1" applyFill="1" applyBorder="1" applyAlignment="1" applyProtection="1">
      <alignment horizontal="right"/>
    </xf>
    <xf numFmtId="170" fontId="48" fillId="11" borderId="30" xfId="0" applyNumberFormat="1" applyFont="1" applyFill="1" applyBorder="1" applyProtection="1"/>
    <xf numFmtId="167" fontId="48" fillId="12" borderId="26" xfId="0" applyNumberFormat="1" applyFont="1" applyFill="1" applyBorder="1" applyProtection="1"/>
    <xf numFmtId="168" fontId="14" fillId="12" borderId="27" xfId="0" applyNumberFormat="1" applyFont="1" applyFill="1" applyBorder="1" applyAlignment="1" applyProtection="1">
      <alignment horizontal="right"/>
    </xf>
    <xf numFmtId="170" fontId="48" fillId="12" borderId="30" xfId="0" applyNumberFormat="1" applyFont="1" applyFill="1" applyBorder="1" applyProtection="1"/>
    <xf numFmtId="167" fontId="48" fillId="13" borderId="26" xfId="0" applyNumberFormat="1" applyFont="1" applyFill="1" applyBorder="1" applyProtection="1"/>
    <xf numFmtId="168" fontId="14" fillId="13" borderId="27" xfId="0" applyNumberFormat="1" applyFont="1" applyFill="1" applyBorder="1" applyAlignment="1" applyProtection="1">
      <alignment horizontal="right"/>
    </xf>
    <xf numFmtId="170" fontId="48" fillId="13" borderId="30" xfId="0" applyNumberFormat="1" applyFont="1" applyFill="1" applyBorder="1" applyProtection="1"/>
    <xf numFmtId="167" fontId="48" fillId="14" borderId="44" xfId="0" applyNumberFormat="1" applyFont="1" applyFill="1" applyBorder="1" applyProtection="1"/>
    <xf numFmtId="168" fontId="14" fillId="14" borderId="27" xfId="0" applyNumberFormat="1" applyFont="1" applyFill="1" applyBorder="1" applyAlignment="1" applyProtection="1">
      <alignment horizontal="right"/>
    </xf>
    <xf numFmtId="170" fontId="48" fillId="14" borderId="30" xfId="0" applyNumberFormat="1" applyFont="1" applyFill="1" applyBorder="1" applyProtection="1"/>
    <xf numFmtId="167" fontId="48" fillId="19" borderId="55" xfId="0" applyNumberFormat="1" applyFont="1" applyFill="1" applyBorder="1" applyProtection="1"/>
    <xf numFmtId="168" fontId="14" fillId="19" borderId="27" xfId="0" applyNumberFormat="1" applyFont="1" applyFill="1" applyBorder="1" applyAlignment="1" applyProtection="1">
      <alignment horizontal="right"/>
    </xf>
    <xf numFmtId="170" fontId="48" fillId="19" borderId="30" xfId="0" applyNumberFormat="1" applyFont="1" applyFill="1" applyBorder="1" applyProtection="1"/>
    <xf numFmtId="167" fontId="14" fillId="10" borderId="30" xfId="0" applyNumberFormat="1" applyFont="1" applyFill="1" applyBorder="1" applyProtection="1"/>
    <xf numFmtId="169" fontId="14" fillId="10" borderId="32" xfId="0" applyNumberFormat="1" applyFont="1" applyFill="1" applyBorder="1" applyProtection="1"/>
    <xf numFmtId="167" fontId="14" fillId="11" borderId="30" xfId="0" applyNumberFormat="1" applyFont="1" applyFill="1" applyBorder="1" applyProtection="1"/>
    <xf numFmtId="169" fontId="14" fillId="11" borderId="32" xfId="0" applyNumberFormat="1" applyFont="1" applyFill="1" applyBorder="1" applyProtection="1"/>
    <xf numFmtId="167" fontId="14" fillId="12" borderId="30" xfId="0" applyNumberFormat="1" applyFont="1" applyFill="1" applyBorder="1" applyProtection="1"/>
    <xf numFmtId="169" fontId="14" fillId="12" borderId="32" xfId="0" applyNumberFormat="1" applyFont="1" applyFill="1" applyBorder="1" applyProtection="1"/>
    <xf numFmtId="167" fontId="14" fillId="13" borderId="30" xfId="0" applyNumberFormat="1" applyFont="1" applyFill="1" applyBorder="1" applyProtection="1"/>
    <xf numFmtId="169" fontId="14" fillId="13" borderId="32" xfId="0" applyNumberFormat="1" applyFont="1" applyFill="1" applyBorder="1" applyProtection="1"/>
    <xf numFmtId="167" fontId="14" fillId="14" borderId="30" xfId="0" applyNumberFormat="1" applyFont="1" applyFill="1" applyBorder="1" applyProtection="1"/>
    <xf numFmtId="167" fontId="14" fillId="19" borderId="30" xfId="0" applyNumberFormat="1" applyFont="1" applyFill="1" applyBorder="1" applyProtection="1"/>
    <xf numFmtId="164" fontId="14" fillId="10" borderId="0" xfId="0" applyNumberFormat="1" applyFont="1" applyFill="1" applyBorder="1" applyProtection="1"/>
    <xf numFmtId="1" fontId="14" fillId="10" borderId="4" xfId="0" applyNumberFormat="1" applyFont="1" applyFill="1" applyBorder="1" applyProtection="1"/>
    <xf numFmtId="165" fontId="14" fillId="10" borderId="43" xfId="0" applyNumberFormat="1" applyFont="1" applyFill="1" applyBorder="1" applyProtection="1"/>
    <xf numFmtId="164" fontId="14" fillId="11" borderId="0" xfId="0" applyNumberFormat="1" applyFont="1" applyFill="1" applyBorder="1" applyProtection="1"/>
    <xf numFmtId="1" fontId="14" fillId="11" borderId="4" xfId="0" applyNumberFormat="1" applyFont="1" applyFill="1" applyBorder="1" applyAlignment="1" applyProtection="1">
      <alignment horizontal="right"/>
    </xf>
    <xf numFmtId="165" fontId="14" fillId="11" borderId="43" xfId="0" applyNumberFormat="1" applyFont="1" applyFill="1" applyBorder="1" applyProtection="1"/>
    <xf numFmtId="164" fontId="14" fillId="12" borderId="0" xfId="0" applyNumberFormat="1" applyFont="1" applyFill="1" applyBorder="1" applyProtection="1"/>
    <xf numFmtId="1" fontId="14" fillId="12" borderId="4" xfId="0" applyNumberFormat="1" applyFont="1" applyFill="1" applyBorder="1" applyAlignment="1" applyProtection="1">
      <alignment horizontal="right"/>
    </xf>
    <xf numFmtId="165" fontId="14" fillId="12" borderId="43" xfId="0" applyNumberFormat="1" applyFont="1" applyFill="1" applyBorder="1" applyProtection="1"/>
    <xf numFmtId="164" fontId="14" fillId="18" borderId="0" xfId="0" applyNumberFormat="1" applyFont="1" applyFill="1" applyBorder="1" applyProtection="1"/>
    <xf numFmtId="1" fontId="14" fillId="18" borderId="4" xfId="0" applyNumberFormat="1" applyFont="1" applyFill="1" applyBorder="1" applyAlignment="1" applyProtection="1">
      <alignment horizontal="right"/>
    </xf>
    <xf numFmtId="165" fontId="14" fillId="18" borderId="43" xfId="0" applyNumberFormat="1" applyFont="1" applyFill="1" applyBorder="1" applyProtection="1"/>
    <xf numFmtId="164" fontId="14" fillId="14" borderId="26" xfId="0" applyNumberFormat="1" applyFont="1" applyFill="1" applyBorder="1" applyProtection="1"/>
    <xf numFmtId="1" fontId="14" fillId="14" borderId="43" xfId="0" applyNumberFormat="1" applyFont="1" applyFill="1" applyBorder="1" applyAlignment="1" applyProtection="1">
      <alignment horizontal="right"/>
    </xf>
    <xf numFmtId="165" fontId="14" fillId="14" borderId="43" xfId="0" applyNumberFormat="1" applyFont="1" applyFill="1" applyBorder="1" applyProtection="1"/>
    <xf numFmtId="164" fontId="14" fillId="19" borderId="26" xfId="0" applyNumberFormat="1" applyFont="1" applyFill="1" applyBorder="1" applyProtection="1"/>
    <xf numFmtId="1" fontId="14" fillId="19" borderId="43" xfId="0" applyNumberFormat="1" applyFont="1" applyFill="1" applyBorder="1" applyAlignment="1" applyProtection="1">
      <alignment horizontal="right"/>
    </xf>
    <xf numFmtId="165" fontId="14" fillId="19" borderId="43" xfId="0" applyNumberFormat="1" applyFont="1" applyFill="1" applyBorder="1" applyProtection="1"/>
    <xf numFmtId="164" fontId="18" fillId="10" borderId="27" xfId="0" applyNumberFormat="1" applyFont="1" applyFill="1" applyBorder="1" applyProtection="1"/>
    <xf numFmtId="0" fontId="0" fillId="10" borderId="62" xfId="0" applyFill="1" applyBorder="1" applyProtection="1"/>
    <xf numFmtId="0" fontId="0" fillId="11" borderId="62" xfId="0" applyFill="1" applyBorder="1" applyProtection="1"/>
    <xf numFmtId="0" fontId="0" fillId="12" borderId="62" xfId="0" applyFill="1" applyBorder="1" applyProtection="1"/>
    <xf numFmtId="0" fontId="14" fillId="18" borderId="62" xfId="0" applyNumberFormat="1" applyFont="1" applyFill="1" applyBorder="1" applyAlignment="1" applyProtection="1">
      <alignment horizontal="center" textRotation="90" wrapText="1"/>
    </xf>
    <xf numFmtId="0" fontId="0" fillId="14" borderId="62" xfId="0" applyFill="1" applyBorder="1" applyProtection="1"/>
    <xf numFmtId="0" fontId="0" fillId="19" borderId="62" xfId="0" applyFill="1" applyBorder="1" applyProtection="1"/>
    <xf numFmtId="165" fontId="18" fillId="10" borderId="30" xfId="0" applyNumberFormat="1" applyFont="1" applyFill="1" applyBorder="1" applyProtection="1"/>
    <xf numFmtId="0" fontId="0" fillId="11" borderId="30" xfId="0" applyFill="1" applyBorder="1" applyProtection="1"/>
    <xf numFmtId="165" fontId="18" fillId="12" borderId="30" xfId="0" applyNumberFormat="1" applyFont="1" applyFill="1" applyBorder="1" applyProtection="1"/>
    <xf numFmtId="165" fontId="18" fillId="18" borderId="30" xfId="0" applyNumberFormat="1" applyFont="1" applyFill="1" applyBorder="1" applyProtection="1"/>
    <xf numFmtId="165" fontId="18" fillId="14" borderId="30" xfId="0" applyNumberFormat="1" applyFont="1" applyFill="1" applyBorder="1" applyProtection="1"/>
    <xf numFmtId="165" fontId="18" fillId="19" borderId="30" xfId="0" applyNumberFormat="1" applyFont="1" applyFill="1" applyBorder="1" applyProtection="1"/>
    <xf numFmtId="2" fontId="14" fillId="10" borderId="43" xfId="0" applyNumberFormat="1" applyFont="1" applyFill="1" applyBorder="1" applyProtection="1"/>
    <xf numFmtId="2" fontId="14" fillId="11" borderId="43" xfId="0" applyNumberFormat="1" applyFont="1" applyFill="1" applyBorder="1" applyProtection="1"/>
    <xf numFmtId="2" fontId="14" fillId="12" borderId="43" xfId="0" applyNumberFormat="1" applyFont="1" applyFill="1" applyBorder="1" applyProtection="1"/>
    <xf numFmtId="2" fontId="14" fillId="13" borderId="43" xfId="0" applyNumberFormat="1" applyFont="1" applyFill="1" applyBorder="1" applyProtection="1"/>
    <xf numFmtId="2" fontId="14" fillId="14" borderId="43" xfId="0" applyNumberFormat="1" applyFont="1" applyFill="1" applyBorder="1" applyProtection="1"/>
    <xf numFmtId="2" fontId="14" fillId="19" borderId="43" xfId="0" applyNumberFormat="1" applyFont="1" applyFill="1" applyBorder="1" applyProtection="1"/>
    <xf numFmtId="164" fontId="14" fillId="10" borderId="43" xfId="0" applyNumberFormat="1" applyFont="1" applyFill="1" applyBorder="1" applyProtection="1"/>
    <xf numFmtId="164" fontId="14" fillId="11" borderId="43" xfId="0" applyNumberFormat="1" applyFont="1" applyFill="1" applyBorder="1" applyProtection="1"/>
    <xf numFmtId="164" fontId="14" fillId="12" borderId="43" xfId="0" applyNumberFormat="1" applyFont="1" applyFill="1" applyBorder="1" applyProtection="1"/>
    <xf numFmtId="164" fontId="14" fillId="13" borderId="43" xfId="0" applyNumberFormat="1" applyFont="1" applyFill="1" applyBorder="1" applyProtection="1"/>
    <xf numFmtId="164" fontId="14" fillId="14" borderId="43" xfId="0" applyNumberFormat="1" applyFont="1" applyFill="1" applyBorder="1" applyProtection="1"/>
    <xf numFmtId="164" fontId="14" fillId="19" borderId="43" xfId="0" applyNumberFormat="1" applyFont="1" applyFill="1" applyBorder="1" applyProtection="1"/>
    <xf numFmtId="164" fontId="14" fillId="10" borderId="43" xfId="0" applyNumberFormat="1" applyFont="1" applyFill="1" applyBorder="1"/>
    <xf numFmtId="164" fontId="14" fillId="11" borderId="43" xfId="0" applyNumberFormat="1" applyFont="1" applyFill="1" applyBorder="1"/>
    <xf numFmtId="164" fontId="14" fillId="12" borderId="43" xfId="0" applyNumberFormat="1" applyFont="1" applyFill="1" applyBorder="1"/>
    <xf numFmtId="164" fontId="14" fillId="13" borderId="43" xfId="0" applyNumberFormat="1" applyFont="1" applyFill="1" applyBorder="1"/>
    <xf numFmtId="164" fontId="14" fillId="14" borderId="43" xfId="0" applyNumberFormat="1" applyFont="1" applyFill="1" applyBorder="1"/>
    <xf numFmtId="164" fontId="14" fillId="19" borderId="43" xfId="0" applyNumberFormat="1" applyFont="1" applyFill="1" applyBorder="1"/>
    <xf numFmtId="165" fontId="14" fillId="10" borderId="32" xfId="0" applyNumberFormat="1" applyFont="1" applyFill="1" applyBorder="1"/>
    <xf numFmtId="165" fontId="14" fillId="11" borderId="32" xfId="0" applyNumberFormat="1" applyFont="1" applyFill="1" applyBorder="1"/>
    <xf numFmtId="165" fontId="14" fillId="12" borderId="32" xfId="0" applyNumberFormat="1" applyFont="1" applyFill="1" applyBorder="1"/>
    <xf numFmtId="165" fontId="14" fillId="13" borderId="32" xfId="0" applyNumberFormat="1" applyFont="1" applyFill="1" applyBorder="1"/>
    <xf numFmtId="165" fontId="14" fillId="14" borderId="27" xfId="0" applyNumberFormat="1" applyFont="1" applyFill="1" applyBorder="1"/>
    <xf numFmtId="165" fontId="14" fillId="19" borderId="27" xfId="0" applyNumberFormat="1" applyFont="1" applyFill="1" applyBorder="1"/>
    <xf numFmtId="0" fontId="14" fillId="10" borderId="30" xfId="0" applyNumberFormat="1" applyFont="1" applyFill="1" applyBorder="1" applyAlignment="1">
      <alignment horizontal="center" vertical="center" textRotation="90" wrapText="1"/>
    </xf>
    <xf numFmtId="0" fontId="0" fillId="10" borderId="26" xfId="0" applyFill="1" applyBorder="1"/>
    <xf numFmtId="0" fontId="14" fillId="11" borderId="30" xfId="0" applyNumberFormat="1" applyFont="1" applyFill="1" applyBorder="1" applyAlignment="1">
      <alignment horizontal="center" textRotation="90" wrapText="1"/>
    </xf>
    <xf numFmtId="0" fontId="0" fillId="11" borderId="26" xfId="0" applyFill="1" applyBorder="1"/>
    <xf numFmtId="0" fontId="14" fillId="12" borderId="30" xfId="0" applyNumberFormat="1" applyFont="1" applyFill="1" applyBorder="1" applyAlignment="1">
      <alignment horizontal="center" textRotation="90" wrapText="1"/>
    </xf>
    <xf numFmtId="0" fontId="0" fillId="12" borderId="26" xfId="0" applyFill="1" applyBorder="1"/>
    <xf numFmtId="0" fontId="14" fillId="13" borderId="30" xfId="0" applyNumberFormat="1" applyFont="1" applyFill="1" applyBorder="1" applyAlignment="1">
      <alignment horizontal="center" textRotation="90" wrapText="1"/>
    </xf>
    <xf numFmtId="0" fontId="0" fillId="13" borderId="26" xfId="0" applyFill="1" applyBorder="1"/>
    <xf numFmtId="0" fontId="14" fillId="14" borderId="30" xfId="0" applyNumberFormat="1" applyFont="1" applyFill="1" applyBorder="1" applyAlignment="1">
      <alignment horizontal="center" textRotation="90" wrapText="1"/>
    </xf>
    <xf numFmtId="0" fontId="14" fillId="19" borderId="30" xfId="0" applyNumberFormat="1" applyFont="1" applyFill="1" applyBorder="1" applyAlignment="1">
      <alignment horizontal="center" textRotation="90" wrapText="1"/>
    </xf>
    <xf numFmtId="165" fontId="14" fillId="10" borderId="26" xfId="0" applyNumberFormat="1" applyFont="1" applyFill="1" applyBorder="1"/>
    <xf numFmtId="165" fontId="14" fillId="11" borderId="26" xfId="0" applyNumberFormat="1" applyFont="1" applyFill="1" applyBorder="1"/>
    <xf numFmtId="165" fontId="14" fillId="12" borderId="26" xfId="0" applyNumberFormat="1" applyFont="1" applyFill="1" applyBorder="1"/>
    <xf numFmtId="165" fontId="14" fillId="13" borderId="26" xfId="0" applyNumberFormat="1" applyFont="1" applyFill="1" applyBorder="1"/>
    <xf numFmtId="165" fontId="14" fillId="14" borderId="26" xfId="0" applyNumberFormat="1" applyFont="1" applyFill="1" applyBorder="1"/>
    <xf numFmtId="165" fontId="14" fillId="19" borderId="26" xfId="0" applyNumberFormat="1" applyFont="1" applyFill="1" applyBorder="1"/>
    <xf numFmtId="1" fontId="14" fillId="10" borderId="27" xfId="0" applyNumberFormat="1" applyFont="1" applyFill="1" applyBorder="1" applyProtection="1"/>
    <xf numFmtId="1" fontId="14" fillId="11" borderId="27" xfId="0" applyNumberFormat="1" applyFont="1" applyFill="1" applyBorder="1" applyProtection="1"/>
    <xf numFmtId="1" fontId="14" fillId="12" borderId="27" xfId="0" applyNumberFormat="1" applyFont="1" applyFill="1" applyBorder="1" applyProtection="1"/>
    <xf numFmtId="1" fontId="14" fillId="13" borderId="27" xfId="0" applyNumberFormat="1" applyFont="1" applyFill="1" applyBorder="1" applyProtection="1"/>
    <xf numFmtId="1" fontId="14" fillId="14" borderId="27" xfId="0" applyNumberFormat="1" applyFont="1" applyFill="1" applyBorder="1" applyProtection="1"/>
    <xf numFmtId="1" fontId="14" fillId="19" borderId="27" xfId="0" applyNumberFormat="1" applyFont="1" applyFill="1" applyBorder="1" applyProtection="1"/>
    <xf numFmtId="165" fontId="14" fillId="10" borderId="18" xfId="0" applyNumberFormat="1" applyFont="1" applyFill="1" applyBorder="1" applyProtection="1"/>
    <xf numFmtId="165" fontId="14" fillId="10" borderId="19" xfId="0" applyNumberFormat="1" applyFont="1" applyFill="1" applyBorder="1" applyProtection="1"/>
    <xf numFmtId="165" fontId="14" fillId="11" borderId="18" xfId="0" applyNumberFormat="1" applyFont="1" applyFill="1" applyBorder="1" applyProtection="1"/>
    <xf numFmtId="165" fontId="14" fillId="11" borderId="19" xfId="0" applyNumberFormat="1" applyFont="1" applyFill="1" applyBorder="1" applyProtection="1"/>
    <xf numFmtId="165" fontId="14" fillId="12" borderId="18" xfId="0" applyNumberFormat="1" applyFont="1" applyFill="1" applyBorder="1" applyProtection="1"/>
    <xf numFmtId="165" fontId="14" fillId="12" borderId="19" xfId="0" applyNumberFormat="1" applyFont="1" applyFill="1" applyBorder="1" applyProtection="1"/>
    <xf numFmtId="165" fontId="14" fillId="13" borderId="18" xfId="0" applyNumberFormat="1" applyFont="1" applyFill="1" applyBorder="1" applyProtection="1"/>
    <xf numFmtId="165" fontId="14" fillId="13" borderId="19" xfId="0" applyNumberFormat="1" applyFont="1" applyFill="1" applyBorder="1" applyProtection="1"/>
    <xf numFmtId="167" fontId="48" fillId="10" borderId="26" xfId="0" applyNumberFormat="1" applyFont="1" applyFill="1" applyBorder="1"/>
    <xf numFmtId="169" fontId="14" fillId="10" borderId="32" xfId="0" applyNumberFormat="1" applyFont="1" applyFill="1" applyBorder="1"/>
    <xf numFmtId="164" fontId="14" fillId="10" borderId="0" xfId="0" applyNumberFormat="1" applyFont="1" applyFill="1" applyBorder="1"/>
    <xf numFmtId="164" fontId="14" fillId="10" borderId="19" xfId="0" applyNumberFormat="1" applyFont="1" applyFill="1" applyBorder="1"/>
    <xf numFmtId="164" fontId="14" fillId="11" borderId="0" xfId="0" applyNumberFormat="1" applyFont="1" applyFill="1" applyBorder="1"/>
    <xf numFmtId="164" fontId="14" fillId="11" borderId="19" xfId="0" applyNumberFormat="1" applyFont="1" applyFill="1" applyBorder="1"/>
    <xf numFmtId="164" fontId="14" fillId="12" borderId="0" xfId="0" applyNumberFormat="1" applyFont="1" applyFill="1" applyBorder="1"/>
    <xf numFmtId="164" fontId="14" fillId="12" borderId="19" xfId="0" applyNumberFormat="1" applyFont="1" applyFill="1" applyBorder="1"/>
    <xf numFmtId="164" fontId="14" fillId="13" borderId="0" xfId="0" applyNumberFormat="1" applyFont="1" applyFill="1" applyBorder="1"/>
    <xf numFmtId="164" fontId="14" fillId="13" borderId="19" xfId="0" applyNumberFormat="1" applyFont="1" applyFill="1" applyBorder="1"/>
    <xf numFmtId="164" fontId="14" fillId="14" borderId="26" xfId="0" applyNumberFormat="1" applyFont="1" applyFill="1" applyBorder="1"/>
    <xf numFmtId="164" fontId="14" fillId="14" borderId="19" xfId="0" applyNumberFormat="1" applyFont="1" applyFill="1" applyBorder="1"/>
    <xf numFmtId="164" fontId="14" fillId="19" borderId="26" xfId="0" applyNumberFormat="1" applyFont="1" applyFill="1" applyBorder="1"/>
    <xf numFmtId="164" fontId="14" fillId="19" borderId="19" xfId="0" applyNumberFormat="1" applyFont="1" applyFill="1" applyBorder="1"/>
    <xf numFmtId="164" fontId="18" fillId="5" borderId="7" xfId="0" applyNumberFormat="1" applyFont="1" applyFill="1" applyBorder="1" applyProtection="1"/>
    <xf numFmtId="164" fontId="18" fillId="5" borderId="8" xfId="0" applyNumberFormat="1" applyFont="1" applyFill="1" applyBorder="1" applyProtection="1"/>
    <xf numFmtId="164" fontId="18" fillId="5" borderId="9" xfId="0" applyNumberFormat="1" applyFont="1" applyFill="1" applyBorder="1" applyProtection="1"/>
    <xf numFmtId="164" fontId="18" fillId="9" borderId="7" xfId="0" applyNumberFormat="1" applyFont="1" applyFill="1" applyBorder="1" applyProtection="1"/>
    <xf numFmtId="164" fontId="18" fillId="9" borderId="8" xfId="0" applyNumberFormat="1" applyFont="1" applyFill="1" applyBorder="1" applyProtection="1"/>
    <xf numFmtId="164" fontId="18" fillId="9" borderId="9" xfId="0" applyNumberFormat="1" applyFont="1" applyFill="1" applyBorder="1" applyProtection="1"/>
    <xf numFmtId="164" fontId="18" fillId="11" borderId="27" xfId="0" applyNumberFormat="1" applyFont="1" applyFill="1" applyBorder="1" applyProtection="1"/>
    <xf numFmtId="164" fontId="18" fillId="6" borderId="7" xfId="0" applyNumberFormat="1" applyFont="1" applyFill="1" applyBorder="1" applyProtection="1"/>
    <xf numFmtId="164" fontId="18" fillId="6" borderId="8" xfId="0" applyNumberFormat="1" applyFont="1" applyFill="1" applyBorder="1" applyProtection="1"/>
    <xf numFmtId="164" fontId="18" fillId="6" borderId="9" xfId="0" applyNumberFormat="1" applyFont="1" applyFill="1" applyBorder="1" applyProtection="1"/>
    <xf numFmtId="164" fontId="18" fillId="12" borderId="27" xfId="0" applyNumberFormat="1" applyFont="1" applyFill="1" applyBorder="1" applyProtection="1"/>
    <xf numFmtId="164" fontId="18" fillId="8" borderId="7" xfId="0" applyNumberFormat="1" applyFont="1" applyFill="1" applyBorder="1" applyProtection="1"/>
    <xf numFmtId="164" fontId="18" fillId="8" borderId="8" xfId="0" applyNumberFormat="1" applyFont="1" applyFill="1" applyBorder="1" applyProtection="1"/>
    <xf numFmtId="164" fontId="18" fillId="8" borderId="9" xfId="0" applyNumberFormat="1" applyFont="1" applyFill="1" applyBorder="1" applyProtection="1"/>
    <xf numFmtId="164" fontId="18" fillId="13" borderId="27" xfId="0" applyNumberFormat="1" applyFont="1" applyFill="1" applyBorder="1" applyProtection="1"/>
    <xf numFmtId="164" fontId="18" fillId="7" borderId="7" xfId="0" applyNumberFormat="1" applyFont="1" applyFill="1" applyBorder="1" applyProtection="1"/>
    <xf numFmtId="164" fontId="18" fillId="7" borderId="8" xfId="0" applyNumberFormat="1" applyFont="1" applyFill="1" applyBorder="1" applyProtection="1"/>
    <xf numFmtId="164" fontId="18" fillId="7" borderId="13" xfId="0" applyNumberFormat="1" applyFont="1" applyFill="1" applyBorder="1" applyProtection="1"/>
    <xf numFmtId="164" fontId="18" fillId="14" borderId="27" xfId="0" applyNumberFormat="1" applyFont="1" applyFill="1" applyBorder="1" applyProtection="1"/>
    <xf numFmtId="164" fontId="18" fillId="20" borderId="7" xfId="0" applyNumberFormat="1" applyFont="1" applyFill="1" applyBorder="1" applyProtection="1"/>
    <xf numFmtId="164" fontId="18" fillId="20" borderId="8" xfId="0" applyNumberFormat="1" applyFont="1" applyFill="1" applyBorder="1" applyProtection="1"/>
    <xf numFmtId="164" fontId="18" fillId="20" borderId="13" xfId="0" applyNumberFormat="1" applyFont="1" applyFill="1" applyBorder="1" applyProtection="1"/>
    <xf numFmtId="164" fontId="18" fillId="19" borderId="27" xfId="0" applyNumberFormat="1" applyFont="1" applyFill="1" applyBorder="1" applyProtection="1"/>
    <xf numFmtId="165" fontId="18" fillId="10" borderId="43" xfId="0" applyNumberFormat="1" applyFont="1" applyFill="1" applyBorder="1" applyProtection="1"/>
    <xf numFmtId="165" fontId="18" fillId="11" borderId="43" xfId="0" applyNumberFormat="1" applyFont="1" applyFill="1" applyBorder="1" applyProtection="1"/>
    <xf numFmtId="165" fontId="18" fillId="12" borderId="43" xfId="0" applyNumberFormat="1" applyFont="1" applyFill="1" applyBorder="1" applyProtection="1"/>
    <xf numFmtId="165" fontId="18" fillId="14" borderId="43" xfId="0" applyNumberFormat="1" applyFont="1" applyFill="1" applyBorder="1" applyProtection="1"/>
    <xf numFmtId="0" fontId="24" fillId="9" borderId="67" xfId="0" applyFont="1" applyFill="1" applyBorder="1" applyAlignment="1" applyProtection="1">
      <alignment horizontal="left" shrinkToFit="1"/>
    </xf>
    <xf numFmtId="0" fontId="24" fillId="9" borderId="66" xfId="0" applyFont="1" applyFill="1" applyBorder="1" applyAlignment="1" applyProtection="1">
      <alignment horizontal="left" shrinkToFit="1"/>
    </xf>
    <xf numFmtId="0" fontId="24" fillId="6" borderId="66" xfId="0" applyFont="1" applyFill="1" applyBorder="1" applyAlignment="1" applyProtection="1">
      <alignment horizontal="left" shrinkToFit="1"/>
    </xf>
    <xf numFmtId="0" fontId="24" fillId="6" borderId="67" xfId="0" applyFont="1" applyFill="1" applyBorder="1" applyAlignment="1" applyProtection="1">
      <alignment horizontal="left" shrinkToFit="1"/>
    </xf>
    <xf numFmtId="0" fontId="24" fillId="6" borderId="68" xfId="0" applyFont="1" applyFill="1" applyBorder="1" applyAlignment="1" applyProtection="1">
      <alignment horizontal="left" shrinkToFit="1"/>
    </xf>
    <xf numFmtId="0" fontId="24" fillId="8" borderId="66" xfId="0" applyFont="1" applyFill="1" applyBorder="1" applyAlignment="1" applyProtection="1">
      <alignment horizontal="left" shrinkToFit="1"/>
    </xf>
    <xf numFmtId="0" fontId="24" fillId="8" borderId="67" xfId="0" applyFont="1" applyFill="1" applyBorder="1" applyAlignment="1" applyProtection="1">
      <alignment horizontal="left" shrinkToFit="1"/>
    </xf>
    <xf numFmtId="0" fontId="24" fillId="8" borderId="68" xfId="0" applyFont="1" applyFill="1" applyBorder="1" applyAlignment="1" applyProtection="1">
      <alignment horizontal="left" shrinkToFit="1"/>
    </xf>
    <xf numFmtId="0" fontId="24" fillId="7" borderId="66" xfId="0" applyFont="1" applyFill="1" applyBorder="1" applyAlignment="1" applyProtection="1">
      <alignment horizontal="left" shrinkToFit="1"/>
    </xf>
    <xf numFmtId="0" fontId="24" fillId="7" borderId="67" xfId="0" applyFont="1" applyFill="1" applyBorder="1" applyAlignment="1" applyProtection="1">
      <alignment horizontal="left" shrinkToFit="1"/>
    </xf>
    <xf numFmtId="0" fontId="24" fillId="7" borderId="68" xfId="0" applyFont="1" applyFill="1" applyBorder="1" applyAlignment="1" applyProtection="1">
      <alignment horizontal="left" shrinkToFit="1"/>
    </xf>
    <xf numFmtId="0" fontId="24" fillId="20" borderId="66" xfId="0" applyFont="1" applyFill="1" applyBorder="1" applyAlignment="1" applyProtection="1">
      <alignment horizontal="left" shrinkToFit="1"/>
    </xf>
    <xf numFmtId="0" fontId="24" fillId="20" borderId="67" xfId="0" applyFont="1" applyFill="1" applyBorder="1" applyAlignment="1" applyProtection="1">
      <alignment horizontal="left" shrinkToFit="1"/>
    </xf>
    <xf numFmtId="0" fontId="24" fillId="20" borderId="68" xfId="0" applyFont="1" applyFill="1" applyBorder="1" applyAlignment="1" applyProtection="1">
      <alignment horizontal="left" shrinkToFit="1"/>
    </xf>
    <xf numFmtId="0" fontId="0" fillId="15" borderId="44" xfId="0" applyFill="1" applyBorder="1" applyAlignment="1" applyProtection="1">
      <alignment horizontal="right"/>
    </xf>
    <xf numFmtId="1" fontId="0" fillId="5" borderId="69" xfId="0" applyNumberFormat="1" applyFont="1" applyFill="1" applyBorder="1" applyAlignment="1" applyProtection="1">
      <alignment horizontal="right" shrinkToFit="1"/>
    </xf>
    <xf numFmtId="1" fontId="0" fillId="5" borderId="70" xfId="0" applyNumberFormat="1" applyFont="1" applyFill="1" applyBorder="1" applyAlignment="1" applyProtection="1">
      <alignment horizontal="right" shrinkToFit="1"/>
    </xf>
    <xf numFmtId="1" fontId="0" fillId="5" borderId="71" xfId="0" applyNumberFormat="1" applyFont="1" applyFill="1" applyBorder="1" applyAlignment="1" applyProtection="1">
      <alignment horizontal="right" shrinkToFit="1"/>
    </xf>
    <xf numFmtId="165" fontId="18" fillId="5" borderId="58" xfId="0" applyNumberFormat="1" applyFont="1" applyFill="1" applyBorder="1" applyProtection="1"/>
    <xf numFmtId="165" fontId="18" fillId="5" borderId="32" xfId="0" applyNumberFormat="1" applyFont="1" applyFill="1" applyBorder="1" applyProtection="1"/>
    <xf numFmtId="165" fontId="18" fillId="5" borderId="56" xfId="0" applyNumberFormat="1" applyFont="1" applyFill="1" applyBorder="1" applyProtection="1"/>
    <xf numFmtId="165" fontId="18" fillId="5" borderId="1" xfId="0" applyNumberFormat="1" applyFont="1" applyFill="1" applyBorder="1" applyProtection="1"/>
    <xf numFmtId="165" fontId="18" fillId="5" borderId="2" xfId="0" applyNumberFormat="1" applyFont="1" applyFill="1" applyBorder="1" applyProtection="1"/>
    <xf numFmtId="0" fontId="0" fillId="9" borderId="52" xfId="0" applyFill="1" applyBorder="1" applyAlignment="1" applyProtection="1">
      <alignment horizontal="right"/>
    </xf>
    <xf numFmtId="0" fontId="0" fillId="6" borderId="52" xfId="0" applyFill="1" applyBorder="1" applyAlignment="1" applyProtection="1">
      <alignment horizontal="right"/>
    </xf>
    <xf numFmtId="0" fontId="0" fillId="5" borderId="51" xfId="0" applyFill="1" applyBorder="1" applyAlignment="1" applyProtection="1">
      <alignment horizontal="right"/>
    </xf>
    <xf numFmtId="0" fontId="0" fillId="5" borderId="16" xfId="0" applyFill="1" applyBorder="1" applyAlignment="1" applyProtection="1">
      <alignment horizontal="right"/>
    </xf>
    <xf numFmtId="0" fontId="0" fillId="5" borderId="52" xfId="0" applyFill="1" applyBorder="1" applyAlignment="1" applyProtection="1">
      <alignment horizontal="right"/>
    </xf>
    <xf numFmtId="2" fontId="0" fillId="9" borderId="51" xfId="0" applyNumberFormat="1" applyFill="1" applyBorder="1" applyProtection="1"/>
    <xf numFmtId="0" fontId="0" fillId="9" borderId="16" xfId="0" applyFill="1" applyBorder="1" applyProtection="1"/>
    <xf numFmtId="2" fontId="0" fillId="6" borderId="51" xfId="0" applyNumberFormat="1" applyFill="1" applyBorder="1" applyProtection="1"/>
    <xf numFmtId="0" fontId="0" fillId="6" borderId="16" xfId="0" applyFill="1" applyBorder="1" applyProtection="1"/>
    <xf numFmtId="2" fontId="0" fillId="7" borderId="51" xfId="0" applyNumberFormat="1" applyFill="1" applyBorder="1" applyProtection="1"/>
    <xf numFmtId="0" fontId="0" fillId="7" borderId="16" xfId="0" applyFill="1" applyBorder="1" applyProtection="1"/>
    <xf numFmtId="0" fontId="0" fillId="7" borderId="52" xfId="0" applyFill="1" applyBorder="1" applyAlignment="1" applyProtection="1">
      <alignment horizontal="right"/>
    </xf>
    <xf numFmtId="2" fontId="0" fillId="8" borderId="51" xfId="0" applyNumberFormat="1" applyFill="1" applyBorder="1" applyProtection="1"/>
    <xf numFmtId="0" fontId="0" fillId="8" borderId="16" xfId="0" applyFill="1" applyBorder="1" applyProtection="1"/>
    <xf numFmtId="0" fontId="0" fillId="8" borderId="52" xfId="0" applyFill="1" applyBorder="1" applyAlignment="1" applyProtection="1">
      <alignment horizontal="right"/>
    </xf>
    <xf numFmtId="165" fontId="17" fillId="5" borderId="44" xfId="0" applyNumberFormat="1" applyFont="1" applyFill="1" applyBorder="1" applyProtection="1"/>
    <xf numFmtId="165" fontId="17" fillId="5" borderId="0" xfId="0" applyNumberFormat="1" applyFont="1" applyFill="1" applyBorder="1" applyProtection="1"/>
    <xf numFmtId="165" fontId="17" fillId="5" borderId="55" xfId="0" applyNumberFormat="1" applyFont="1" applyFill="1" applyBorder="1" applyProtection="1"/>
    <xf numFmtId="165" fontId="17" fillId="5" borderId="58" xfId="0" applyNumberFormat="1" applyFont="1" applyFill="1" applyBorder="1" applyProtection="1"/>
    <xf numFmtId="165" fontId="17" fillId="5" borderId="32" xfId="0" applyNumberFormat="1" applyFont="1" applyFill="1" applyBorder="1" applyProtection="1"/>
    <xf numFmtId="165" fontId="17" fillId="5" borderId="56" xfId="0" applyNumberFormat="1" applyFont="1" applyFill="1" applyBorder="1" applyProtection="1"/>
    <xf numFmtId="0" fontId="0" fillId="5" borderId="57" xfId="0" applyFill="1" applyBorder="1" applyProtection="1"/>
    <xf numFmtId="0" fontId="0" fillId="5" borderId="53" xfId="0" applyFill="1" applyBorder="1" applyProtection="1"/>
    <xf numFmtId="0" fontId="0" fillId="5" borderId="54" xfId="0" applyFill="1" applyBorder="1" applyProtection="1"/>
    <xf numFmtId="0" fontId="0" fillId="5" borderId="44" xfId="0" applyFill="1" applyBorder="1" applyProtection="1"/>
    <xf numFmtId="0" fontId="0" fillId="5" borderId="0" xfId="0" applyFill="1" applyBorder="1" applyProtection="1"/>
    <xf numFmtId="0" fontId="0" fillId="5" borderId="55" xfId="0" applyFill="1" applyBorder="1" applyProtection="1"/>
    <xf numFmtId="0" fontId="14" fillId="10" borderId="30" xfId="0" applyNumberFormat="1" applyFont="1" applyFill="1" applyBorder="1" applyAlignment="1" applyProtection="1">
      <alignment horizontal="center" vertical="center" textRotation="90" wrapText="1"/>
    </xf>
    <xf numFmtId="0" fontId="0" fillId="10" borderId="26" xfId="0" applyFill="1" applyBorder="1" applyProtection="1"/>
    <xf numFmtId="165" fontId="14" fillId="10" borderId="26" xfId="0" applyNumberFormat="1" applyFont="1" applyFill="1" applyBorder="1" applyProtection="1"/>
    <xf numFmtId="165" fontId="14" fillId="10" borderId="27" xfId="0" applyNumberFormat="1" applyFont="1" applyFill="1" applyBorder="1" applyProtection="1"/>
    <xf numFmtId="0" fontId="0" fillId="9" borderId="57" xfId="0" applyFill="1" applyBorder="1" applyProtection="1"/>
    <xf numFmtId="0" fontId="0" fillId="9" borderId="53" xfId="0" applyFill="1" applyBorder="1" applyProtection="1"/>
    <xf numFmtId="0" fontId="0" fillId="9" borderId="54" xfId="0" applyFill="1" applyBorder="1" applyProtection="1"/>
    <xf numFmtId="0" fontId="0" fillId="9" borderId="44" xfId="0" applyFill="1" applyBorder="1" applyProtection="1"/>
    <xf numFmtId="0" fontId="0" fillId="9" borderId="0" xfId="0" applyFill="1" applyBorder="1" applyProtection="1"/>
    <xf numFmtId="0" fontId="0" fillId="9" borderId="55" xfId="0" applyFill="1" applyBorder="1" applyProtection="1"/>
    <xf numFmtId="165" fontId="17" fillId="9" borderId="44" xfId="0" applyNumberFormat="1" applyFont="1" applyFill="1" applyBorder="1" applyProtection="1"/>
    <xf numFmtId="165" fontId="17" fillId="9" borderId="0" xfId="0" applyNumberFormat="1" applyFont="1" applyFill="1" applyBorder="1" applyProtection="1"/>
    <xf numFmtId="165" fontId="17" fillId="9" borderId="55" xfId="0" applyNumberFormat="1" applyFont="1" applyFill="1" applyBorder="1" applyProtection="1"/>
    <xf numFmtId="165" fontId="17" fillId="9" borderId="58" xfId="0" applyNumberFormat="1" applyFont="1" applyFill="1" applyBorder="1" applyProtection="1"/>
    <xf numFmtId="165" fontId="17" fillId="9" borderId="32" xfId="0" applyNumberFormat="1" applyFont="1" applyFill="1" applyBorder="1" applyProtection="1"/>
    <xf numFmtId="165" fontId="17" fillId="9" borderId="56" xfId="0" applyNumberFormat="1" applyFont="1" applyFill="1" applyBorder="1" applyProtection="1"/>
    <xf numFmtId="0" fontId="14" fillId="11" borderId="30" xfId="0" applyNumberFormat="1" applyFont="1" applyFill="1" applyBorder="1" applyAlignment="1" applyProtection="1">
      <alignment horizontal="center" textRotation="90" wrapText="1"/>
    </xf>
    <xf numFmtId="0" fontId="0" fillId="11" borderId="26" xfId="0" applyFill="1" applyBorder="1" applyProtection="1"/>
    <xf numFmtId="165" fontId="14" fillId="11" borderId="26" xfId="0" applyNumberFormat="1" applyFont="1" applyFill="1" applyBorder="1" applyProtection="1"/>
    <xf numFmtId="165" fontId="14" fillId="11" borderId="27" xfId="0" applyNumberFormat="1" applyFont="1" applyFill="1" applyBorder="1" applyProtection="1"/>
    <xf numFmtId="0" fontId="0" fillId="6" borderId="57" xfId="0" applyFill="1" applyBorder="1" applyProtection="1"/>
    <xf numFmtId="0" fontId="0" fillId="6" borderId="53" xfId="0" applyFill="1" applyBorder="1" applyProtection="1"/>
    <xf numFmtId="0" fontId="0" fillId="6" borderId="54" xfId="0" applyFill="1" applyBorder="1" applyProtection="1"/>
    <xf numFmtId="0" fontId="0" fillId="6" borderId="44" xfId="0" applyFill="1" applyBorder="1" applyProtection="1"/>
    <xf numFmtId="0" fontId="0" fillId="6" borderId="0" xfId="0" applyFill="1" applyBorder="1" applyProtection="1"/>
    <xf numFmtId="0" fontId="0" fillId="6" borderId="55" xfId="0" applyFill="1" applyBorder="1" applyProtection="1"/>
    <xf numFmtId="165" fontId="17" fillId="6" borderId="44" xfId="0" applyNumberFormat="1" applyFont="1" applyFill="1" applyBorder="1" applyProtection="1"/>
    <xf numFmtId="165" fontId="17" fillId="6" borderId="0" xfId="0" applyNumberFormat="1" applyFont="1" applyFill="1" applyBorder="1" applyProtection="1"/>
    <xf numFmtId="165" fontId="17" fillId="6" borderId="55" xfId="0" applyNumberFormat="1" applyFont="1" applyFill="1" applyBorder="1" applyProtection="1"/>
    <xf numFmtId="165" fontId="17" fillId="6" borderId="58" xfId="0" applyNumberFormat="1" applyFont="1" applyFill="1" applyBorder="1" applyProtection="1"/>
    <xf numFmtId="165" fontId="17" fillId="6" borderId="32" xfId="0" applyNumberFormat="1" applyFont="1" applyFill="1" applyBorder="1" applyProtection="1"/>
    <xf numFmtId="165" fontId="17" fillId="6" borderId="56" xfId="0" applyNumberFormat="1" applyFont="1" applyFill="1" applyBorder="1" applyProtection="1"/>
    <xf numFmtId="0" fontId="14" fillId="12" borderId="30" xfId="0" applyNumberFormat="1" applyFont="1" applyFill="1" applyBorder="1" applyAlignment="1" applyProtection="1">
      <alignment horizontal="center" textRotation="90" wrapText="1"/>
    </xf>
    <xf numFmtId="0" fontId="0" fillId="12" borderId="26" xfId="0" applyFill="1" applyBorder="1" applyProtection="1"/>
    <xf numFmtId="165" fontId="14" fillId="12" borderId="26" xfId="0" applyNumberFormat="1" applyFont="1" applyFill="1" applyBorder="1" applyProtection="1"/>
    <xf numFmtId="165" fontId="14" fillId="12" borderId="27" xfId="0" applyNumberFormat="1" applyFont="1" applyFill="1" applyBorder="1" applyProtection="1"/>
    <xf numFmtId="0" fontId="0" fillId="8" borderId="57" xfId="0" applyFill="1" applyBorder="1" applyProtection="1"/>
    <xf numFmtId="0" fontId="0" fillId="8" borderId="53" xfId="0" applyFill="1" applyBorder="1" applyProtection="1"/>
    <xf numFmtId="0" fontId="0" fillId="8" borderId="54" xfId="0" applyFill="1" applyBorder="1" applyProtection="1"/>
    <xf numFmtId="0" fontId="0" fillId="8" borderId="44" xfId="0" applyFill="1" applyBorder="1" applyProtection="1"/>
    <xf numFmtId="0" fontId="0" fillId="8" borderId="0" xfId="0" applyFill="1" applyBorder="1" applyProtection="1"/>
    <xf numFmtId="0" fontId="0" fillId="8" borderId="55" xfId="0" applyFill="1" applyBorder="1" applyProtection="1"/>
    <xf numFmtId="165" fontId="17" fillId="8" borderId="44" xfId="0" applyNumberFormat="1" applyFont="1" applyFill="1" applyBorder="1" applyProtection="1"/>
    <xf numFmtId="165" fontId="17" fillId="8" borderId="0" xfId="0" applyNumberFormat="1" applyFont="1" applyFill="1" applyBorder="1" applyProtection="1"/>
    <xf numFmtId="165" fontId="17" fillId="8" borderId="55" xfId="0" applyNumberFormat="1" applyFont="1" applyFill="1" applyBorder="1" applyProtection="1"/>
    <xf numFmtId="165" fontId="17" fillId="8" borderId="58" xfId="0" applyNumberFormat="1" applyFont="1" applyFill="1" applyBorder="1" applyProtection="1"/>
    <xf numFmtId="165" fontId="17" fillId="8" borderId="32" xfId="0" applyNumberFormat="1" applyFont="1" applyFill="1" applyBorder="1" applyProtection="1"/>
    <xf numFmtId="165" fontId="17" fillId="8" borderId="56" xfId="0" applyNumberFormat="1" applyFont="1" applyFill="1" applyBorder="1" applyProtection="1"/>
    <xf numFmtId="0" fontId="0" fillId="7" borderId="57" xfId="0" applyFill="1" applyBorder="1" applyProtection="1"/>
    <xf numFmtId="0" fontId="0" fillId="7" borderId="53" xfId="0" applyFill="1" applyBorder="1" applyProtection="1"/>
    <xf numFmtId="0" fontId="0" fillId="7" borderId="54" xfId="0" applyFill="1" applyBorder="1" applyProtection="1"/>
    <xf numFmtId="0" fontId="0" fillId="7" borderId="44" xfId="0" applyFill="1" applyBorder="1" applyProtection="1"/>
    <xf numFmtId="0" fontId="0" fillId="7" borderId="0" xfId="0" applyFill="1" applyBorder="1" applyProtection="1"/>
    <xf numFmtId="0" fontId="0" fillId="7" borderId="55" xfId="0" applyFill="1" applyBorder="1" applyProtection="1"/>
    <xf numFmtId="165" fontId="17" fillId="7" borderId="44" xfId="0" applyNumberFormat="1" applyFont="1" applyFill="1" applyBorder="1" applyProtection="1"/>
    <xf numFmtId="165" fontId="17" fillId="7" borderId="0" xfId="0" applyNumberFormat="1" applyFont="1" applyFill="1" applyBorder="1" applyProtection="1"/>
    <xf numFmtId="165" fontId="17" fillId="7" borderId="55" xfId="0" applyNumberFormat="1" applyFont="1" applyFill="1" applyBorder="1" applyProtection="1"/>
    <xf numFmtId="165" fontId="17" fillId="7" borderId="58" xfId="0" applyNumberFormat="1" applyFont="1" applyFill="1" applyBorder="1" applyProtection="1"/>
    <xf numFmtId="165" fontId="17" fillId="7" borderId="32" xfId="0" applyNumberFormat="1" applyFont="1" applyFill="1" applyBorder="1" applyProtection="1"/>
    <xf numFmtId="165" fontId="17" fillId="7" borderId="56" xfId="0" applyNumberFormat="1" applyFont="1" applyFill="1" applyBorder="1" applyProtection="1"/>
    <xf numFmtId="0" fontId="14" fillId="13" borderId="30" xfId="0" applyNumberFormat="1" applyFont="1" applyFill="1" applyBorder="1" applyAlignment="1" applyProtection="1">
      <alignment horizontal="center" textRotation="90" wrapText="1"/>
    </xf>
    <xf numFmtId="0" fontId="0" fillId="13" borderId="26" xfId="0" applyFill="1" applyBorder="1" applyProtection="1"/>
    <xf numFmtId="165" fontId="14" fillId="13" borderId="26" xfId="0" applyNumberFormat="1" applyFont="1" applyFill="1" applyBorder="1" applyProtection="1"/>
    <xf numFmtId="165" fontId="14" fillId="13" borderId="27" xfId="0" applyNumberFormat="1" applyFont="1" applyFill="1" applyBorder="1" applyProtection="1"/>
    <xf numFmtId="0" fontId="14" fillId="14" borderId="30" xfId="0" applyNumberFormat="1" applyFont="1" applyFill="1" applyBorder="1" applyAlignment="1" applyProtection="1">
      <alignment horizontal="center" textRotation="90" wrapText="1"/>
    </xf>
    <xf numFmtId="165" fontId="14" fillId="14" borderId="26" xfId="0" applyNumberFormat="1" applyFont="1" applyFill="1" applyBorder="1" applyProtection="1"/>
    <xf numFmtId="165" fontId="14" fillId="14" borderId="27" xfId="0" applyNumberFormat="1" applyFont="1" applyFill="1" applyBorder="1" applyProtection="1"/>
    <xf numFmtId="0" fontId="0" fillId="20" borderId="57" xfId="0" applyFill="1" applyBorder="1" applyProtection="1"/>
    <xf numFmtId="0" fontId="0" fillId="20" borderId="53" xfId="0" applyFill="1" applyBorder="1" applyProtection="1"/>
    <xf numFmtId="0" fontId="0" fillId="20" borderId="54" xfId="0" applyFill="1" applyBorder="1" applyProtection="1"/>
    <xf numFmtId="0" fontId="0" fillId="20" borderId="44" xfId="0" applyFill="1" applyBorder="1" applyProtection="1"/>
    <xf numFmtId="0" fontId="0" fillId="20" borderId="0" xfId="0" applyFill="1" applyBorder="1" applyProtection="1"/>
    <xf numFmtId="0" fontId="0" fillId="20" borderId="55" xfId="0" applyFill="1" applyBorder="1" applyProtection="1"/>
    <xf numFmtId="165" fontId="17" fillId="20" borderId="44" xfId="0" applyNumberFormat="1" applyFont="1" applyFill="1" applyBorder="1" applyProtection="1"/>
    <xf numFmtId="165" fontId="17" fillId="20" borderId="0" xfId="0" applyNumberFormat="1" applyFont="1" applyFill="1" applyBorder="1" applyProtection="1"/>
    <xf numFmtId="165" fontId="17" fillId="20" borderId="55" xfId="0" applyNumberFormat="1" applyFont="1" applyFill="1" applyBorder="1" applyProtection="1"/>
    <xf numFmtId="165" fontId="17" fillId="20" borderId="58" xfId="0" applyNumberFormat="1" applyFont="1" applyFill="1" applyBorder="1" applyProtection="1"/>
    <xf numFmtId="165" fontId="17" fillId="20" borderId="32" xfId="0" applyNumberFormat="1" applyFont="1" applyFill="1" applyBorder="1" applyProtection="1"/>
    <xf numFmtId="165" fontId="17" fillId="20" borderId="56" xfId="0" applyNumberFormat="1" applyFont="1" applyFill="1" applyBorder="1" applyProtection="1"/>
    <xf numFmtId="0" fontId="14" fillId="19" borderId="30" xfId="0" applyNumberFormat="1" applyFont="1" applyFill="1" applyBorder="1" applyAlignment="1" applyProtection="1">
      <alignment horizontal="center" textRotation="90" wrapText="1"/>
    </xf>
    <xf numFmtId="165" fontId="14" fillId="19" borderId="26" xfId="0" applyNumberFormat="1" applyFont="1" applyFill="1" applyBorder="1" applyProtection="1"/>
    <xf numFmtId="165" fontId="14" fillId="19" borderId="27" xfId="0" applyNumberFormat="1" applyFont="1" applyFill="1" applyBorder="1" applyProtection="1"/>
    <xf numFmtId="0" fontId="0" fillId="5" borderId="57" xfId="0" applyFill="1" applyBorder="1"/>
    <xf numFmtId="0" fontId="0" fillId="5" borderId="53" xfId="0" applyFill="1" applyBorder="1"/>
    <xf numFmtId="0" fontId="0" fillId="5" borderId="54" xfId="0" applyFill="1" applyBorder="1"/>
    <xf numFmtId="0" fontId="0" fillId="5" borderId="44" xfId="0" applyFill="1" applyBorder="1"/>
    <xf numFmtId="0" fontId="0" fillId="5" borderId="0" xfId="0" applyFill="1" applyBorder="1"/>
    <xf numFmtId="0" fontId="0" fillId="5" borderId="55" xfId="0" applyFill="1" applyBorder="1"/>
    <xf numFmtId="165" fontId="17" fillId="5" borderId="44" xfId="0" applyNumberFormat="1" applyFont="1" applyFill="1" applyBorder="1"/>
    <xf numFmtId="165" fontId="17" fillId="5" borderId="0" xfId="0" applyNumberFormat="1" applyFont="1" applyFill="1" applyBorder="1"/>
    <xf numFmtId="165" fontId="17" fillId="5" borderId="55" xfId="0" applyNumberFormat="1" applyFont="1" applyFill="1" applyBorder="1"/>
    <xf numFmtId="165" fontId="17" fillId="5" borderId="58" xfId="0" applyNumberFormat="1" applyFont="1" applyFill="1" applyBorder="1"/>
    <xf numFmtId="165" fontId="17" fillId="5" borderId="32" xfId="0" applyNumberFormat="1" applyFont="1" applyFill="1" applyBorder="1"/>
    <xf numFmtId="165" fontId="17" fillId="5" borderId="56" xfId="0" applyNumberFormat="1" applyFont="1" applyFill="1" applyBorder="1"/>
    <xf numFmtId="0" fontId="0" fillId="9" borderId="57" xfId="0" applyFill="1" applyBorder="1"/>
    <xf numFmtId="0" fontId="0" fillId="9" borderId="53" xfId="0" applyFill="1" applyBorder="1"/>
    <xf numFmtId="0" fontId="0" fillId="9" borderId="54" xfId="0" applyFill="1" applyBorder="1"/>
    <xf numFmtId="0" fontId="0" fillId="9" borderId="44" xfId="0" applyFill="1" applyBorder="1"/>
    <xf numFmtId="0" fontId="0" fillId="9" borderId="0" xfId="0" applyFill="1" applyBorder="1"/>
    <xf numFmtId="0" fontId="0" fillId="9" borderId="55" xfId="0" applyFill="1" applyBorder="1"/>
    <xf numFmtId="165" fontId="17" fillId="9" borderId="44" xfId="0" applyNumberFormat="1" applyFont="1" applyFill="1" applyBorder="1"/>
    <xf numFmtId="165" fontId="17" fillId="9" borderId="0" xfId="0" applyNumberFormat="1" applyFont="1" applyFill="1" applyBorder="1"/>
    <xf numFmtId="165" fontId="17" fillId="9" borderId="55" xfId="0" applyNumberFormat="1" applyFont="1" applyFill="1" applyBorder="1"/>
    <xf numFmtId="165" fontId="17" fillId="9" borderId="58" xfId="0" applyNumberFormat="1" applyFont="1" applyFill="1" applyBorder="1"/>
    <xf numFmtId="165" fontId="17" fillId="9" borderId="32" xfId="0" applyNumberFormat="1" applyFont="1" applyFill="1" applyBorder="1"/>
    <xf numFmtId="165" fontId="17" fillId="9" borderId="56" xfId="0" applyNumberFormat="1" applyFont="1" applyFill="1" applyBorder="1"/>
    <xf numFmtId="0" fontId="0" fillId="6" borderId="57" xfId="0" applyFill="1" applyBorder="1"/>
    <xf numFmtId="0" fontId="0" fillId="6" borderId="53" xfId="0" applyFill="1" applyBorder="1"/>
    <xf numFmtId="0" fontId="0" fillId="6" borderId="54" xfId="0" applyFill="1" applyBorder="1"/>
    <xf numFmtId="0" fontId="0" fillId="6" borderId="44" xfId="0" applyFill="1" applyBorder="1"/>
    <xf numFmtId="0" fontId="0" fillId="6" borderId="0" xfId="0" applyFill="1" applyBorder="1"/>
    <xf numFmtId="0" fontId="0" fillId="6" borderId="55" xfId="0" applyFill="1" applyBorder="1"/>
    <xf numFmtId="165" fontId="17" fillId="6" borderId="44" xfId="0" applyNumberFormat="1" applyFont="1" applyFill="1" applyBorder="1"/>
    <xf numFmtId="165" fontId="17" fillId="6" borderId="0" xfId="0" applyNumberFormat="1" applyFont="1" applyFill="1" applyBorder="1"/>
    <xf numFmtId="165" fontId="17" fillId="6" borderId="55" xfId="0" applyNumberFormat="1" applyFont="1" applyFill="1" applyBorder="1"/>
    <xf numFmtId="165" fontId="17" fillId="6" borderId="58" xfId="0" applyNumberFormat="1" applyFont="1" applyFill="1" applyBorder="1"/>
    <xf numFmtId="165" fontId="17" fillId="6" borderId="32" xfId="0" applyNumberFormat="1" applyFont="1" applyFill="1" applyBorder="1"/>
    <xf numFmtId="165" fontId="17" fillId="6" borderId="56" xfId="0" applyNumberFormat="1" applyFont="1" applyFill="1" applyBorder="1"/>
    <xf numFmtId="0" fontId="0" fillId="8" borderId="57" xfId="0" applyFill="1" applyBorder="1"/>
    <xf numFmtId="0" fontId="0" fillId="8" borderId="53" xfId="0" applyFill="1" applyBorder="1"/>
    <xf numFmtId="0" fontId="0" fillId="8" borderId="54" xfId="0" applyFill="1" applyBorder="1"/>
    <xf numFmtId="0" fontId="0" fillId="8" borderId="44" xfId="0" applyFill="1" applyBorder="1"/>
    <xf numFmtId="0" fontId="0" fillId="8" borderId="0" xfId="0" applyFill="1" applyBorder="1"/>
    <xf numFmtId="0" fontId="0" fillId="8" borderId="55" xfId="0" applyFill="1" applyBorder="1"/>
    <xf numFmtId="165" fontId="17" fillId="8" borderId="44" xfId="0" applyNumberFormat="1" applyFont="1" applyFill="1" applyBorder="1"/>
    <xf numFmtId="165" fontId="17" fillId="8" borderId="0" xfId="0" applyNumberFormat="1" applyFont="1" applyFill="1" applyBorder="1"/>
    <xf numFmtId="165" fontId="17" fillId="8" borderId="55" xfId="0" applyNumberFormat="1" applyFont="1" applyFill="1" applyBorder="1"/>
    <xf numFmtId="165" fontId="17" fillId="8" borderId="58" xfId="0" applyNumberFormat="1" applyFont="1" applyFill="1" applyBorder="1"/>
    <xf numFmtId="165" fontId="17" fillId="8" borderId="32" xfId="0" applyNumberFormat="1" applyFont="1" applyFill="1" applyBorder="1"/>
    <xf numFmtId="165" fontId="17" fillId="8" borderId="56" xfId="0" applyNumberFormat="1" applyFont="1" applyFill="1" applyBorder="1"/>
    <xf numFmtId="0" fontId="0" fillId="7" borderId="57" xfId="0" applyFill="1" applyBorder="1"/>
    <xf numFmtId="0" fontId="0" fillId="7" borderId="53" xfId="0" applyFill="1" applyBorder="1"/>
    <xf numFmtId="0" fontId="0" fillId="7" borderId="54" xfId="0" applyFill="1" applyBorder="1"/>
    <xf numFmtId="0" fontId="0" fillId="7" borderId="44" xfId="0" applyFill="1" applyBorder="1"/>
    <xf numFmtId="0" fontId="0" fillId="7" borderId="0" xfId="0" applyFill="1" applyBorder="1"/>
    <xf numFmtId="0" fontId="0" fillId="7" borderId="55" xfId="0" applyFill="1" applyBorder="1"/>
    <xf numFmtId="165" fontId="17" fillId="7" borderId="44" xfId="0" applyNumberFormat="1" applyFont="1" applyFill="1" applyBorder="1"/>
    <xf numFmtId="165" fontId="17" fillId="7" borderId="0" xfId="0" applyNumberFormat="1" applyFont="1" applyFill="1" applyBorder="1"/>
    <xf numFmtId="165" fontId="17" fillId="7" borderId="55" xfId="0" applyNumberFormat="1" applyFont="1" applyFill="1" applyBorder="1"/>
    <xf numFmtId="165" fontId="17" fillId="7" borderId="58" xfId="0" applyNumberFormat="1" applyFont="1" applyFill="1" applyBorder="1"/>
    <xf numFmtId="165" fontId="17" fillId="7" borderId="32" xfId="0" applyNumberFormat="1" applyFont="1" applyFill="1" applyBorder="1"/>
    <xf numFmtId="165" fontId="17" fillId="7" borderId="56" xfId="0" applyNumberFormat="1" applyFont="1" applyFill="1" applyBorder="1"/>
    <xf numFmtId="0" fontId="0" fillId="20" borderId="57" xfId="0" applyFill="1" applyBorder="1"/>
    <xf numFmtId="0" fontId="0" fillId="20" borderId="53" xfId="0" applyFill="1" applyBorder="1"/>
    <xf numFmtId="0" fontId="0" fillId="20" borderId="54" xfId="0" applyFill="1" applyBorder="1"/>
    <xf numFmtId="0" fontId="0" fillId="20" borderId="44" xfId="0" applyFill="1" applyBorder="1"/>
    <xf numFmtId="0" fontId="0" fillId="20" borderId="0" xfId="0" applyFill="1" applyBorder="1"/>
    <xf numFmtId="0" fontId="0" fillId="20" borderId="55" xfId="0" applyFill="1" applyBorder="1"/>
    <xf numFmtId="165" fontId="17" fillId="20" borderId="44" xfId="0" applyNumberFormat="1" applyFont="1" applyFill="1" applyBorder="1"/>
    <xf numFmtId="165" fontId="17" fillId="20" borderId="0" xfId="0" applyNumberFormat="1" applyFont="1" applyFill="1" applyBorder="1"/>
    <xf numFmtId="165" fontId="17" fillId="20" borderId="55" xfId="0" applyNumberFormat="1" applyFont="1" applyFill="1" applyBorder="1"/>
    <xf numFmtId="165" fontId="17" fillId="20" borderId="58" xfId="0" applyNumberFormat="1" applyFont="1" applyFill="1" applyBorder="1"/>
    <xf numFmtId="165" fontId="17" fillId="20" borderId="32" xfId="0" applyNumberFormat="1" applyFont="1" applyFill="1" applyBorder="1"/>
    <xf numFmtId="165" fontId="17" fillId="20" borderId="56" xfId="0" applyNumberFormat="1" applyFont="1" applyFill="1" applyBorder="1"/>
    <xf numFmtId="165" fontId="18" fillId="13" borderId="43" xfId="0" applyNumberFormat="1" applyFont="1" applyFill="1" applyBorder="1" applyProtection="1"/>
    <xf numFmtId="164" fontId="47" fillId="7" borderId="6" xfId="0" applyNumberFormat="1" applyFont="1" applyFill="1" applyBorder="1" applyAlignment="1" applyProtection="1">
      <alignment horizontal="right"/>
    </xf>
    <xf numFmtId="164" fontId="47" fillId="7" borderId="12" xfId="0" applyNumberFormat="1" applyFont="1" applyFill="1" applyBorder="1" applyAlignment="1" applyProtection="1">
      <alignment horizontal="right"/>
    </xf>
    <xf numFmtId="164" fontId="47" fillId="20" borderId="6" xfId="0" applyNumberFormat="1" applyFont="1" applyFill="1" applyBorder="1" applyAlignment="1" applyProtection="1">
      <alignment horizontal="right"/>
    </xf>
    <xf numFmtId="164" fontId="47" fillId="20" borderId="12" xfId="0" applyNumberFormat="1" applyFont="1" applyFill="1" applyBorder="1" applyAlignment="1" applyProtection="1">
      <alignment horizontal="right"/>
    </xf>
    <xf numFmtId="172" fontId="50" fillId="10" borderId="18" xfId="0" applyNumberFormat="1" applyFont="1" applyFill="1" applyBorder="1" applyProtection="1"/>
    <xf numFmtId="173" fontId="50" fillId="10" borderId="26" xfId="0" applyNumberFormat="1" applyFont="1" applyFill="1" applyBorder="1" applyProtection="1"/>
    <xf numFmtId="174" fontId="50" fillId="10" borderId="16" xfId="0" applyNumberFormat="1" applyFont="1" applyFill="1" applyBorder="1" applyProtection="1"/>
    <xf numFmtId="175" fontId="50" fillId="10" borderId="17" xfId="0" applyNumberFormat="1" applyFont="1" applyFill="1" applyBorder="1" applyProtection="1"/>
    <xf numFmtId="172" fontId="50" fillId="11" borderId="18" xfId="0" applyNumberFormat="1" applyFont="1" applyFill="1" applyBorder="1" applyProtection="1"/>
    <xf numFmtId="173" fontId="50" fillId="11" borderId="26" xfId="0" applyNumberFormat="1" applyFont="1" applyFill="1" applyBorder="1" applyProtection="1"/>
    <xf numFmtId="174" fontId="50" fillId="11" borderId="16" xfId="0" applyNumberFormat="1" applyFont="1" applyFill="1" applyBorder="1" applyProtection="1"/>
    <xf numFmtId="175" fontId="50" fillId="11" borderId="17" xfId="0" applyNumberFormat="1" applyFont="1" applyFill="1" applyBorder="1" applyProtection="1"/>
    <xf numFmtId="172" fontId="50" fillId="12" borderId="18" xfId="0" applyNumberFormat="1" applyFont="1" applyFill="1" applyBorder="1" applyProtection="1"/>
    <xf numFmtId="173" fontId="50" fillId="12" borderId="26" xfId="0" applyNumberFormat="1" applyFont="1" applyFill="1" applyBorder="1" applyProtection="1"/>
    <xf numFmtId="174" fontId="50" fillId="12" borderId="16" xfId="0" applyNumberFormat="1" applyFont="1" applyFill="1" applyBorder="1" applyProtection="1"/>
    <xf numFmtId="175" fontId="50" fillId="12" borderId="17" xfId="0" applyNumberFormat="1" applyFont="1" applyFill="1" applyBorder="1" applyProtection="1"/>
    <xf numFmtId="172" fontId="50" fillId="13" borderId="18" xfId="0" applyNumberFormat="1" applyFont="1" applyFill="1" applyBorder="1" applyProtection="1"/>
    <xf numFmtId="173" fontId="50" fillId="13" borderId="26" xfId="0" applyNumberFormat="1" applyFont="1" applyFill="1" applyBorder="1" applyProtection="1"/>
    <xf numFmtId="174" fontId="50" fillId="13" borderId="16" xfId="0" applyNumberFormat="1" applyFont="1" applyFill="1" applyBorder="1" applyProtection="1"/>
    <xf numFmtId="175" fontId="50" fillId="13" borderId="17" xfId="0" applyNumberFormat="1" applyFont="1" applyFill="1" applyBorder="1" applyProtection="1"/>
    <xf numFmtId="172" fontId="50" fillId="14" borderId="18" xfId="0" applyNumberFormat="1" applyFont="1" applyFill="1" applyBorder="1" applyProtection="1"/>
    <xf numFmtId="173" fontId="50" fillId="14" borderId="26" xfId="0" applyNumberFormat="1" applyFont="1" applyFill="1" applyBorder="1" applyProtection="1"/>
    <xf numFmtId="174" fontId="50" fillId="14" borderId="16" xfId="0" applyNumberFormat="1" applyFont="1" applyFill="1" applyBorder="1" applyProtection="1"/>
    <xf numFmtId="175" fontId="50" fillId="14" borderId="17" xfId="0" applyNumberFormat="1" applyFont="1" applyFill="1" applyBorder="1" applyProtection="1"/>
    <xf numFmtId="172" fontId="50" fillId="19" borderId="18" xfId="0" applyNumberFormat="1" applyFont="1" applyFill="1" applyBorder="1" applyProtection="1"/>
    <xf numFmtId="173" fontId="50" fillId="19" borderId="26" xfId="0" applyNumberFormat="1" applyFont="1" applyFill="1" applyBorder="1" applyProtection="1"/>
    <xf numFmtId="174" fontId="50" fillId="19" borderId="18" xfId="0" applyNumberFormat="1" applyFont="1" applyFill="1" applyBorder="1" applyProtection="1"/>
    <xf numFmtId="175" fontId="50" fillId="19" borderId="19" xfId="0" applyNumberFormat="1" applyFont="1" applyFill="1" applyBorder="1" applyProtection="1"/>
    <xf numFmtId="165" fontId="18" fillId="5" borderId="41" xfId="0" applyNumberFormat="1" applyFont="1" applyFill="1" applyBorder="1" applyProtection="1"/>
    <xf numFmtId="1" fontId="43" fillId="9" borderId="42" xfId="0" applyNumberFormat="1" applyFont="1" applyFill="1" applyBorder="1" applyProtection="1"/>
    <xf numFmtId="176" fontId="0" fillId="0" borderId="58" xfId="1" applyNumberFormat="1" applyFont="1" applyBorder="1" applyAlignment="1" applyProtection="1">
      <alignment horizontal="center"/>
    </xf>
    <xf numFmtId="176" fontId="0" fillId="0" borderId="32" xfId="1" applyNumberFormat="1" applyFont="1" applyBorder="1" applyAlignment="1" applyProtection="1">
      <alignment horizontal="center"/>
    </xf>
    <xf numFmtId="176" fontId="0" fillId="0" borderId="56" xfId="1" applyNumberFormat="1" applyFont="1" applyBorder="1" applyAlignment="1" applyProtection="1">
      <alignment horizontal="center"/>
    </xf>
    <xf numFmtId="0" fontId="16" fillId="4" borderId="4" xfId="0" applyFont="1" applyFill="1" applyBorder="1" applyAlignment="1" applyProtection="1">
      <alignment horizontal="center" textRotation="90"/>
      <protection locked="0"/>
    </xf>
    <xf numFmtId="0" fontId="16" fillId="4" borderId="5" xfId="0" applyFont="1" applyFill="1" applyBorder="1" applyAlignment="1" applyProtection="1">
      <alignment horizontal="center" textRotation="90"/>
      <protection locked="0"/>
    </xf>
    <xf numFmtId="0" fontId="16" fillId="4" borderId="14" xfId="0" applyFont="1" applyFill="1" applyBorder="1" applyAlignment="1" applyProtection="1">
      <alignment horizontal="center" textRotation="90"/>
      <protection locked="0"/>
    </xf>
    <xf numFmtId="0" fontId="16" fillId="4" borderId="35" xfId="0" applyFont="1" applyFill="1" applyBorder="1" applyAlignment="1" applyProtection="1">
      <alignment horizontal="center" textRotation="90"/>
      <protection locked="0"/>
    </xf>
    <xf numFmtId="0" fontId="16" fillId="4" borderId="34" xfId="0" applyFont="1" applyFill="1" applyBorder="1" applyAlignment="1" applyProtection="1">
      <alignment horizontal="center" textRotation="90"/>
      <protection locked="0"/>
    </xf>
    <xf numFmtId="0" fontId="16" fillId="4" borderId="8" xfId="0" applyFont="1" applyFill="1" applyBorder="1" applyAlignment="1" applyProtection="1">
      <alignment horizontal="center" textRotation="90"/>
      <protection locked="0"/>
    </xf>
    <xf numFmtId="0" fontId="16" fillId="4" borderId="13" xfId="0" applyFont="1" applyFill="1" applyBorder="1" applyAlignment="1" applyProtection="1">
      <alignment horizontal="center" textRotation="90"/>
      <protection locked="0"/>
    </xf>
    <xf numFmtId="0" fontId="0" fillId="3" borderId="2" xfId="0" quotePrefix="1" applyFill="1" applyBorder="1" applyAlignment="1" applyProtection="1">
      <alignment horizontal="left" vertical="center"/>
    </xf>
    <xf numFmtId="0" fontId="39" fillId="4" borderId="59" xfId="0" applyFont="1" applyFill="1" applyBorder="1" applyAlignment="1" applyProtection="1">
      <alignment horizontal="center"/>
      <protection locked="0"/>
    </xf>
    <xf numFmtId="0" fontId="39" fillId="4" borderId="60" xfId="0" applyFont="1" applyFill="1" applyBorder="1" applyAlignment="1" applyProtection="1">
      <alignment horizontal="center"/>
      <protection locked="0"/>
    </xf>
    <xf numFmtId="0" fontId="39" fillId="4" borderId="61" xfId="0" applyFont="1" applyFill="1" applyBorder="1" applyAlignment="1" applyProtection="1">
      <alignment horizontal="center"/>
      <protection locked="0"/>
    </xf>
    <xf numFmtId="0" fontId="19" fillId="20" borderId="59" xfId="0" applyFont="1" applyFill="1" applyBorder="1" applyAlignment="1" applyProtection="1">
      <alignment horizontal="center"/>
    </xf>
    <xf numFmtId="0" fontId="19" fillId="20" borderId="60" xfId="0" applyFont="1" applyFill="1" applyBorder="1" applyAlignment="1" applyProtection="1">
      <alignment horizontal="center"/>
    </xf>
    <xf numFmtId="0" fontId="19" fillId="20" borderId="61" xfId="0" applyFont="1" applyFill="1" applyBorder="1" applyAlignment="1" applyProtection="1">
      <alignment horizontal="center"/>
    </xf>
    <xf numFmtId="0" fontId="19" fillId="5" borderId="59" xfId="0" applyFont="1" applyFill="1" applyBorder="1" applyAlignment="1" applyProtection="1">
      <alignment horizontal="center"/>
    </xf>
    <xf numFmtId="0" fontId="19" fillId="5" borderId="60" xfId="0" applyFont="1" applyFill="1" applyBorder="1" applyAlignment="1" applyProtection="1">
      <alignment horizontal="center"/>
    </xf>
    <xf numFmtId="0" fontId="19" fillId="5" borderId="61" xfId="0" applyFont="1" applyFill="1" applyBorder="1" applyAlignment="1" applyProtection="1">
      <alignment horizontal="center"/>
    </xf>
    <xf numFmtId="0" fontId="19" fillId="9" borderId="59" xfId="0" applyFont="1" applyFill="1" applyBorder="1" applyAlignment="1" applyProtection="1">
      <alignment horizontal="center"/>
    </xf>
    <xf numFmtId="0" fontId="19" fillId="9" borderId="60" xfId="0" applyFont="1" applyFill="1" applyBorder="1" applyAlignment="1" applyProtection="1">
      <alignment horizontal="center"/>
    </xf>
    <xf numFmtId="0" fontId="19" fillId="9" borderId="61" xfId="0" applyFont="1" applyFill="1" applyBorder="1" applyAlignment="1" applyProtection="1">
      <alignment horizontal="center"/>
    </xf>
    <xf numFmtId="0" fontId="19" fillId="6" borderId="59" xfId="0" applyFont="1" applyFill="1" applyBorder="1" applyAlignment="1" applyProtection="1">
      <alignment horizontal="center"/>
    </xf>
    <xf numFmtId="0" fontId="19" fillId="6" borderId="60" xfId="0" applyFont="1" applyFill="1" applyBorder="1" applyAlignment="1" applyProtection="1">
      <alignment horizontal="center"/>
    </xf>
    <xf numFmtId="0" fontId="19" fillId="6" borderId="61" xfId="0" applyFont="1" applyFill="1" applyBorder="1" applyAlignment="1" applyProtection="1">
      <alignment horizontal="center"/>
    </xf>
    <xf numFmtId="0" fontId="19" fillId="8" borderId="59" xfId="0" applyFont="1" applyFill="1" applyBorder="1" applyAlignment="1" applyProtection="1">
      <alignment horizontal="center"/>
    </xf>
    <xf numFmtId="0" fontId="19" fillId="8" borderId="60" xfId="0" applyFont="1" applyFill="1" applyBorder="1" applyAlignment="1" applyProtection="1">
      <alignment horizontal="center"/>
    </xf>
    <xf numFmtId="0" fontId="19" fillId="8" borderId="61" xfId="0" applyFont="1" applyFill="1" applyBorder="1" applyAlignment="1" applyProtection="1">
      <alignment horizontal="center"/>
    </xf>
    <xf numFmtId="0" fontId="19" fillId="7" borderId="59" xfId="0" applyFont="1" applyFill="1" applyBorder="1" applyAlignment="1" applyProtection="1">
      <alignment horizontal="center"/>
    </xf>
    <xf numFmtId="0" fontId="19" fillId="7" borderId="60" xfId="0" applyFont="1" applyFill="1" applyBorder="1" applyAlignment="1" applyProtection="1">
      <alignment horizontal="center"/>
    </xf>
    <xf numFmtId="0" fontId="19" fillId="7" borderId="61" xfId="0" applyFont="1" applyFill="1" applyBorder="1" applyAlignment="1" applyProtection="1">
      <alignment horizontal="center"/>
    </xf>
    <xf numFmtId="0" fontId="19" fillId="20" borderId="59" xfId="0" applyFont="1" applyFill="1" applyBorder="1" applyAlignment="1">
      <alignment horizontal="center"/>
    </xf>
    <xf numFmtId="0" fontId="19" fillId="20" borderId="60" xfId="0" applyFont="1" applyFill="1" applyBorder="1" applyAlignment="1">
      <alignment horizontal="center"/>
    </xf>
    <xf numFmtId="0" fontId="19" fillId="20" borderId="61" xfId="0" applyFont="1" applyFill="1" applyBorder="1" applyAlignment="1">
      <alignment horizontal="center"/>
    </xf>
    <xf numFmtId="0" fontId="19" fillId="5" borderId="59" xfId="0" applyFont="1" applyFill="1" applyBorder="1" applyAlignment="1">
      <alignment horizontal="center"/>
    </xf>
    <xf numFmtId="0" fontId="19" fillId="5" borderId="60" xfId="0" applyFont="1" applyFill="1" applyBorder="1" applyAlignment="1">
      <alignment horizontal="center"/>
    </xf>
    <xf numFmtId="0" fontId="19" fillId="5" borderId="61" xfId="0" applyFont="1" applyFill="1" applyBorder="1" applyAlignment="1">
      <alignment horizontal="center"/>
    </xf>
    <xf numFmtId="0" fontId="19" fillId="9" borderId="59" xfId="0" applyFont="1" applyFill="1" applyBorder="1" applyAlignment="1">
      <alignment horizontal="center"/>
    </xf>
    <xf numFmtId="0" fontId="19" fillId="9" borderId="60" xfId="0" applyFont="1" applyFill="1" applyBorder="1" applyAlignment="1">
      <alignment horizontal="center"/>
    </xf>
    <xf numFmtId="0" fontId="19" fillId="9" borderId="61" xfId="0" applyFont="1" applyFill="1" applyBorder="1" applyAlignment="1">
      <alignment horizontal="center"/>
    </xf>
    <xf numFmtId="0" fontId="19" fillId="6" borderId="59" xfId="0" applyFont="1" applyFill="1" applyBorder="1" applyAlignment="1">
      <alignment horizontal="center"/>
    </xf>
    <xf numFmtId="0" fontId="19" fillId="6" borderId="60" xfId="0" applyFont="1" applyFill="1" applyBorder="1" applyAlignment="1">
      <alignment horizontal="center"/>
    </xf>
    <xf numFmtId="0" fontId="19" fillId="6" borderId="61" xfId="0" applyFont="1" applyFill="1" applyBorder="1" applyAlignment="1">
      <alignment horizontal="center"/>
    </xf>
    <xf numFmtId="0" fontId="19" fillId="8" borderId="59" xfId="0" applyFont="1" applyFill="1" applyBorder="1" applyAlignment="1">
      <alignment horizontal="center"/>
    </xf>
    <xf numFmtId="0" fontId="19" fillId="8" borderId="60" xfId="0" applyFont="1" applyFill="1" applyBorder="1" applyAlignment="1">
      <alignment horizontal="center"/>
    </xf>
    <xf numFmtId="0" fontId="19" fillId="8" borderId="61" xfId="0" applyFont="1" applyFill="1" applyBorder="1" applyAlignment="1">
      <alignment horizontal="center"/>
    </xf>
    <xf numFmtId="0" fontId="19" fillId="7" borderId="59" xfId="0" applyFont="1" applyFill="1" applyBorder="1" applyAlignment="1">
      <alignment horizontal="center"/>
    </xf>
    <xf numFmtId="0" fontId="19" fillId="7" borderId="60" xfId="0" applyFont="1" applyFill="1" applyBorder="1" applyAlignment="1">
      <alignment horizontal="center"/>
    </xf>
    <xf numFmtId="0" fontId="19" fillId="7" borderId="61" xfId="0" applyFont="1" applyFill="1" applyBorder="1" applyAlignment="1">
      <alignment horizontal="center"/>
    </xf>
    <xf numFmtId="0" fontId="34" fillId="17" borderId="30" xfId="0" applyFont="1" applyFill="1" applyBorder="1" applyAlignment="1" applyProtection="1">
      <alignment horizontal="center" vertical="center" wrapText="1"/>
    </xf>
    <xf numFmtId="0" fontId="34" fillId="17" borderId="26" xfId="0" applyFont="1" applyFill="1" applyBorder="1" applyAlignment="1" applyProtection="1">
      <alignment horizontal="center" vertical="center" wrapText="1"/>
    </xf>
    <xf numFmtId="0" fontId="34" fillId="17" borderId="27" xfId="0" applyFont="1" applyFill="1" applyBorder="1" applyAlignment="1" applyProtection="1">
      <alignment horizontal="center" vertical="center" wrapText="1"/>
    </xf>
    <xf numFmtId="0" fontId="14" fillId="17" borderId="30" xfId="0" applyFont="1" applyFill="1" applyBorder="1" applyAlignment="1" applyProtection="1">
      <alignment horizontal="center" vertical="center" wrapText="1"/>
    </xf>
    <xf numFmtId="0" fontId="14" fillId="17" borderId="26" xfId="0" applyFont="1" applyFill="1" applyBorder="1" applyAlignment="1" applyProtection="1">
      <alignment horizontal="center" vertical="center"/>
    </xf>
    <xf numFmtId="0" fontId="14" fillId="17" borderId="27" xfId="0" applyFont="1" applyFill="1" applyBorder="1" applyAlignment="1" applyProtection="1">
      <alignment horizontal="center" vertical="center"/>
    </xf>
    <xf numFmtId="0" fontId="34" fillId="15" borderId="30" xfId="0" applyFont="1" applyFill="1" applyBorder="1" applyAlignment="1" applyProtection="1">
      <alignment horizontal="center" vertical="center" wrapText="1"/>
    </xf>
    <xf numFmtId="0" fontId="34" fillId="15" borderId="26" xfId="0" applyFont="1" applyFill="1" applyBorder="1" applyAlignment="1" applyProtection="1">
      <alignment horizontal="center" vertical="center" wrapText="1"/>
    </xf>
    <xf numFmtId="0" fontId="34" fillId="15" borderId="27" xfId="0" applyFont="1" applyFill="1" applyBorder="1" applyAlignment="1" applyProtection="1">
      <alignment horizontal="center" vertical="center" wrapText="1"/>
    </xf>
    <xf numFmtId="0" fontId="38" fillId="5" borderId="59" xfId="0" applyFont="1" applyFill="1" applyBorder="1" applyAlignment="1">
      <alignment horizontal="center"/>
    </xf>
    <xf numFmtId="0" fontId="38" fillId="5" borderId="60" xfId="0" applyFont="1" applyFill="1" applyBorder="1" applyAlignment="1">
      <alignment horizontal="center"/>
    </xf>
    <xf numFmtId="0" fontId="38" fillId="5" borderId="61" xfId="0" applyFont="1" applyFill="1" applyBorder="1" applyAlignment="1">
      <alignment horizontal="center"/>
    </xf>
    <xf numFmtId="0" fontId="38" fillId="9" borderId="59" xfId="0" applyFont="1" applyFill="1" applyBorder="1" applyAlignment="1">
      <alignment horizontal="center"/>
    </xf>
    <xf numFmtId="0" fontId="38" fillId="9" borderId="60" xfId="0" applyFont="1" applyFill="1" applyBorder="1" applyAlignment="1">
      <alignment horizontal="center"/>
    </xf>
    <xf numFmtId="0" fontId="38" fillId="9" borderId="61" xfId="0" applyFont="1" applyFill="1" applyBorder="1" applyAlignment="1">
      <alignment horizontal="center"/>
    </xf>
    <xf numFmtId="0" fontId="38" fillId="6" borderId="59" xfId="0" applyFont="1" applyFill="1" applyBorder="1" applyAlignment="1">
      <alignment horizontal="center"/>
    </xf>
    <xf numFmtId="0" fontId="38" fillId="6" borderId="60" xfId="0" applyFont="1" applyFill="1" applyBorder="1" applyAlignment="1">
      <alignment horizontal="center"/>
    </xf>
    <xf numFmtId="0" fontId="38" fillId="6" borderId="61" xfId="0" applyFont="1" applyFill="1" applyBorder="1" applyAlignment="1">
      <alignment horizontal="center"/>
    </xf>
    <xf numFmtId="0" fontId="38" fillId="8" borderId="59" xfId="0" applyFont="1" applyFill="1" applyBorder="1" applyAlignment="1">
      <alignment horizontal="center"/>
    </xf>
    <xf numFmtId="0" fontId="38" fillId="8" borderId="60" xfId="0" applyFont="1" applyFill="1" applyBorder="1" applyAlignment="1">
      <alignment horizontal="center"/>
    </xf>
    <xf numFmtId="0" fontId="38" fillId="8" borderId="61" xfId="0" applyFont="1" applyFill="1" applyBorder="1" applyAlignment="1">
      <alignment horizontal="center"/>
    </xf>
    <xf numFmtId="0" fontId="38" fillId="7" borderId="59" xfId="0" applyFont="1" applyFill="1" applyBorder="1" applyAlignment="1">
      <alignment horizontal="center"/>
    </xf>
    <xf numFmtId="0" fontId="38" fillId="7" borderId="60" xfId="0" applyFont="1" applyFill="1" applyBorder="1" applyAlignment="1">
      <alignment horizontal="center"/>
    </xf>
    <xf numFmtId="0" fontId="38" fillId="7" borderId="61" xfId="0" applyFont="1" applyFill="1" applyBorder="1" applyAlignment="1">
      <alignment horizontal="center"/>
    </xf>
    <xf numFmtId="0" fontId="19" fillId="5" borderId="32" xfId="0" applyFont="1" applyFill="1" applyBorder="1" applyAlignment="1" applyProtection="1">
      <alignment horizontal="center"/>
    </xf>
    <xf numFmtId="0" fontId="19" fillId="5" borderId="56" xfId="0" applyFont="1" applyFill="1" applyBorder="1" applyAlignment="1" applyProtection="1">
      <alignment horizontal="center"/>
    </xf>
    <xf numFmtId="0" fontId="19" fillId="9" borderId="58" xfId="0" applyFont="1" applyFill="1" applyBorder="1" applyAlignment="1" applyProtection="1">
      <alignment horizontal="center"/>
    </xf>
    <xf numFmtId="0" fontId="19" fillId="9" borderId="32" xfId="0" applyFont="1" applyFill="1" applyBorder="1" applyAlignment="1" applyProtection="1">
      <alignment horizontal="center"/>
    </xf>
    <xf numFmtId="0" fontId="19" fillId="9" borderId="56" xfId="0" applyFont="1" applyFill="1" applyBorder="1" applyAlignment="1" applyProtection="1">
      <alignment horizontal="center"/>
    </xf>
    <xf numFmtId="0" fontId="19" fillId="6" borderId="58" xfId="0" applyFont="1" applyFill="1" applyBorder="1" applyAlignment="1" applyProtection="1">
      <alignment horizontal="center"/>
    </xf>
    <xf numFmtId="0" fontId="19" fillId="6" borderId="32" xfId="0" applyFont="1" applyFill="1" applyBorder="1" applyAlignment="1" applyProtection="1">
      <alignment horizontal="center"/>
    </xf>
    <xf numFmtId="0" fontId="19" fillId="6" borderId="56" xfId="0" applyFont="1" applyFill="1" applyBorder="1" applyAlignment="1" applyProtection="1">
      <alignment horizontal="center"/>
    </xf>
    <xf numFmtId="0" fontId="19" fillId="8" borderId="58" xfId="0" applyFont="1" applyFill="1" applyBorder="1" applyAlignment="1" applyProtection="1">
      <alignment horizontal="center"/>
    </xf>
    <xf numFmtId="0" fontId="19" fillId="8" borderId="32" xfId="0" applyFont="1" applyFill="1" applyBorder="1" applyAlignment="1" applyProtection="1">
      <alignment horizontal="center"/>
    </xf>
    <xf numFmtId="0" fontId="19" fillId="8" borderId="56" xfId="0" applyFont="1" applyFill="1" applyBorder="1" applyAlignment="1" applyProtection="1">
      <alignment horizontal="center"/>
    </xf>
    <xf numFmtId="0" fontId="19" fillId="7" borderId="58" xfId="0" applyFont="1" applyFill="1" applyBorder="1" applyAlignment="1" applyProtection="1">
      <alignment horizontal="center"/>
    </xf>
    <xf numFmtId="0" fontId="19" fillId="7" borderId="32" xfId="0" applyFont="1" applyFill="1" applyBorder="1" applyAlignment="1" applyProtection="1">
      <alignment horizontal="center"/>
    </xf>
    <xf numFmtId="0" fontId="19" fillId="7" borderId="56" xfId="0" applyFont="1" applyFill="1" applyBorder="1" applyAlignment="1" applyProtection="1">
      <alignment horizontal="center"/>
    </xf>
  </cellXfs>
  <cellStyles count="2">
    <cellStyle name="Normal" xfId="0" builtinId="0"/>
    <cellStyle name="Percent" xfId="1" builtinId="5"/>
  </cellStyles>
  <dxfs count="43">
    <dxf>
      <font>
        <color theme="7" tint="0.59996337778862885"/>
      </font>
    </dxf>
    <dxf>
      <font>
        <color theme="9" tint="0.59996337778862885"/>
      </font>
    </dxf>
    <dxf>
      <font>
        <color theme="8" tint="0.59996337778862885"/>
      </font>
    </dxf>
    <dxf>
      <font>
        <color theme="5" tint="0.59996337778862885"/>
      </font>
    </dxf>
    <dxf>
      <font>
        <color theme="6" tint="0.59996337778862885"/>
      </font>
    </dxf>
    <dxf>
      <font>
        <color theme="4" tint="0.59996337778862885"/>
      </font>
    </dxf>
    <dxf>
      <font>
        <condense val="0"/>
        <extend val="0"/>
        <color rgb="FF9C0006"/>
      </font>
      <fill>
        <patternFill>
          <bgColor rgb="FFFFC7CE"/>
        </patternFill>
      </fill>
    </dxf>
    <dxf>
      <fill>
        <patternFill patternType="solid">
          <bgColor rgb="FFFFFFFF"/>
        </patternFill>
      </fill>
    </dxf>
    <dxf>
      <fill>
        <patternFill>
          <bgColor theme="0"/>
        </patternFill>
      </fill>
      <border>
        <top style="thin">
          <color indexed="64"/>
        </top>
        <bottom style="thin">
          <color indexed="64"/>
        </bottom>
      </border>
    </dxf>
    <dxf>
      <fill>
        <patternFill>
          <bgColor theme="0"/>
        </patternFill>
      </fill>
      <border>
        <top style="thin">
          <color indexed="64"/>
        </top>
        <bottom style="thin">
          <color indexed="64"/>
        </bottom>
      </border>
    </dxf>
    <dxf>
      <fill>
        <patternFill>
          <bgColor theme="0"/>
        </patternFill>
      </fill>
      <border>
        <top style="thin">
          <color indexed="64"/>
        </top>
        <bottom style="thin">
          <color indexed="64"/>
        </bottom>
      </border>
    </dxf>
    <dxf>
      <font>
        <color theme="7" tint="0.59996337778862885"/>
      </font>
    </dxf>
    <dxf>
      <font>
        <color theme="9" tint="0.59996337778862885"/>
      </font>
    </dxf>
    <dxf>
      <font>
        <color theme="8" tint="0.59996337778862885"/>
      </font>
    </dxf>
    <dxf>
      <font>
        <color theme="5" tint="0.59996337778862885"/>
      </font>
    </dxf>
    <dxf>
      <font>
        <color theme="6" tint="0.59996337778862885"/>
      </font>
    </dxf>
    <dxf>
      <font>
        <color theme="4" tint="0.59996337778862885"/>
      </font>
    </dxf>
    <dxf>
      <font>
        <color theme="7" tint="0.59996337778862885"/>
      </font>
    </dxf>
    <dxf>
      <font>
        <color theme="9" tint="0.59996337778862885"/>
      </font>
    </dxf>
    <dxf>
      <font>
        <color theme="8" tint="0.59996337778862885"/>
      </font>
    </dxf>
    <dxf>
      <font>
        <color theme="5" tint="0.59996337778862885"/>
      </font>
    </dxf>
    <dxf>
      <font>
        <color theme="6" tint="0.59996337778862885"/>
      </font>
    </dxf>
    <dxf>
      <font>
        <color theme="4" tint="0.59996337778862885"/>
      </font>
    </dxf>
    <dxf>
      <font>
        <color theme="7" tint="0.59996337778862885"/>
      </font>
    </dxf>
    <dxf>
      <font>
        <color theme="9" tint="0.59996337778862885"/>
      </font>
    </dxf>
    <dxf>
      <font>
        <strike/>
        <color theme="8" tint="0.59996337778862885"/>
      </font>
    </dxf>
    <dxf>
      <font>
        <color theme="5" tint="0.59996337778862885"/>
      </font>
    </dxf>
    <dxf>
      <font>
        <strike val="0"/>
        <color theme="6" tint="0.59996337778862885"/>
      </font>
    </dxf>
    <dxf>
      <font>
        <strike val="0"/>
        <color theme="4" tint="0.59996337778862885"/>
      </font>
    </dxf>
    <dxf>
      <font>
        <color theme="7" tint="0.59996337778862885"/>
      </font>
    </dxf>
    <dxf>
      <font>
        <color theme="9" tint="0.59996337778862885"/>
      </font>
    </dxf>
    <dxf>
      <font>
        <color theme="8" tint="0.59996337778862885"/>
      </font>
    </dxf>
    <dxf>
      <font>
        <color theme="5" tint="0.59996337778862885"/>
      </font>
    </dxf>
    <dxf>
      <font>
        <color theme="6" tint="0.59996337778862885"/>
      </font>
    </dxf>
    <dxf>
      <font>
        <color theme="4" tint="0.59996337778862885"/>
      </font>
    </dxf>
    <dxf>
      <font>
        <color rgb="FFFCD5B4"/>
      </font>
    </dxf>
    <dxf>
      <font>
        <color rgb="FFFCD5B4"/>
      </font>
    </dxf>
    <dxf>
      <font>
        <color rgb="FFB8CCE4"/>
      </font>
      <numFmt numFmtId="0" formatCode="General"/>
    </dxf>
    <dxf>
      <font>
        <color rgb="FFFCD5B4"/>
      </font>
    </dxf>
    <dxf>
      <font>
        <color rgb="FFB6DDE8"/>
      </font>
    </dxf>
    <dxf>
      <font>
        <color rgb="FFE6B9B8"/>
      </font>
    </dxf>
    <dxf>
      <font>
        <color rgb="FFD7E4BC"/>
      </font>
    </dxf>
    <dxf>
      <font>
        <color rgb="FFB8CCE4"/>
      </font>
      <numFmt numFmtId="0" formatCode="General"/>
    </dxf>
  </dxfs>
  <tableStyles count="0" defaultTableStyle="TableStyleMedium9" defaultPivotStyle="PivotStyleLight16"/>
  <colors>
    <mruColors>
      <color rgb="FF003300"/>
      <color rgb="FF8064A2"/>
      <color rgb="FFCCC1DA"/>
      <color rgb="FF000000"/>
      <color rgb="FF93CDDD"/>
      <color rgb="FFC2E3EC"/>
      <color rgb="FFF79646"/>
      <color rgb="FFB6DDE8"/>
      <color rgb="FF2B7589"/>
      <color rgb="FFFCD5B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chartsheet" Target="chartsheets/sheet6.xml"/><Relationship Id="rId18" Type="http://schemas.openxmlformats.org/officeDocument/2006/relationships/chartsheet" Target="chartsheets/sheet10.xml"/><Relationship Id="rId26" Type="http://schemas.openxmlformats.org/officeDocument/2006/relationships/chartsheet" Target="chartsheets/sheet17.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hartsheet" Target="chartsheets/sheet12.xml"/><Relationship Id="rId34" Type="http://schemas.openxmlformats.org/officeDocument/2006/relationships/worksheet" Target="worksheets/sheet11.xml"/><Relationship Id="rId7" Type="http://schemas.openxmlformats.org/officeDocument/2006/relationships/chartsheet" Target="chartsheets/sheet1.xml"/><Relationship Id="rId12" Type="http://schemas.openxmlformats.org/officeDocument/2006/relationships/worksheet" Target="worksheets/sheet7.xml"/><Relationship Id="rId17" Type="http://schemas.openxmlformats.org/officeDocument/2006/relationships/worksheet" Target="worksheets/sheet8.xml"/><Relationship Id="rId25" Type="http://schemas.openxmlformats.org/officeDocument/2006/relationships/chartsheet" Target="chartsheets/sheet16.xml"/><Relationship Id="rId33" Type="http://schemas.openxmlformats.org/officeDocument/2006/relationships/chartsheet" Target="chartsheets/sheet2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hartsheet" Target="chartsheets/sheet9.xml"/><Relationship Id="rId20" Type="http://schemas.openxmlformats.org/officeDocument/2006/relationships/worksheet" Target="worksheets/sheet9.xml"/><Relationship Id="rId29" Type="http://schemas.openxmlformats.org/officeDocument/2006/relationships/chartsheet" Target="chart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5.xml"/><Relationship Id="rId24" Type="http://schemas.openxmlformats.org/officeDocument/2006/relationships/chartsheet" Target="chartsheets/sheet15.xml"/><Relationship Id="rId32" Type="http://schemas.openxmlformats.org/officeDocument/2006/relationships/chartsheet" Target="chartsheets/sheet2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hartsheet" Target="chartsheets/sheet8.xml"/><Relationship Id="rId23" Type="http://schemas.openxmlformats.org/officeDocument/2006/relationships/chartsheet" Target="chartsheets/sheet14.xml"/><Relationship Id="rId28" Type="http://schemas.openxmlformats.org/officeDocument/2006/relationships/chartsheet" Target="chartsheets/sheet19.xml"/><Relationship Id="rId36" Type="http://schemas.openxmlformats.org/officeDocument/2006/relationships/styles" Target="styles.xml"/><Relationship Id="rId10" Type="http://schemas.openxmlformats.org/officeDocument/2006/relationships/chartsheet" Target="chartsheets/sheet4.xml"/><Relationship Id="rId19" Type="http://schemas.openxmlformats.org/officeDocument/2006/relationships/chartsheet" Target="chartsheets/sheet11.xml"/><Relationship Id="rId31"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chartsheet" Target="chartsheets/sheet7.xml"/><Relationship Id="rId22" Type="http://schemas.openxmlformats.org/officeDocument/2006/relationships/chartsheet" Target="chartsheets/sheet13.xml"/><Relationship Id="rId27" Type="http://schemas.openxmlformats.org/officeDocument/2006/relationships/chartsheet" Target="chartsheets/sheet18.xml"/><Relationship Id="rId30" Type="http://schemas.openxmlformats.org/officeDocument/2006/relationships/chartsheet" Target="chartsheets/sheet21.xml"/><Relationship Id="rId35" Type="http://schemas.openxmlformats.org/officeDocument/2006/relationships/theme" Target="theme/theme1.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6.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7.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28.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_rels/chart30.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N</a:t>
            </a:r>
            <a:r>
              <a:rPr lang="en-US" sz="1200" baseline="-25000"/>
              <a:t>92</a:t>
            </a:r>
            <a:endParaRPr lang="en-US" sz="1200"/>
          </a:p>
        </c:rich>
      </c:tx>
      <c:overlay val="0"/>
    </c:title>
    <c:autoTitleDeleted val="0"/>
    <c:plotArea>
      <c:layout/>
      <c:scatterChart>
        <c:scatterStyle val="lineMarker"/>
        <c:varyColors val="0"/>
        <c:ser>
          <c:idx val="0"/>
          <c:order val="0"/>
          <c:tx>
            <c:strRef>
              <c:f>Summary!$A$35</c:f>
              <c:strCache>
                <c:ptCount val="1"/>
                <c:pt idx="0">
                  <c:v>N92 
(Gyration@%Gmm = 92)</c:v>
                </c:pt>
              </c:strCache>
            </c:strRef>
          </c:tx>
          <c:spPr>
            <a:ln w="28575">
              <a:noFill/>
            </a:ln>
          </c:spPr>
          <c:xVal>
            <c:numRef>
              <c:f>Summary!$C$2:$H$2</c:f>
              <c:numCache>
                <c:formatCode>0</c:formatCode>
                <c:ptCount val="6"/>
                <c:pt idx="0">
                  <c:v>0</c:v>
                </c:pt>
                <c:pt idx="1">
                  <c:v>0</c:v>
                </c:pt>
                <c:pt idx="2">
                  <c:v>0</c:v>
                </c:pt>
                <c:pt idx="3">
                  <c:v>0</c:v>
                </c:pt>
                <c:pt idx="4">
                  <c:v>0</c:v>
                </c:pt>
                <c:pt idx="5">
                  <c:v>0</c:v>
                </c:pt>
              </c:numCache>
            </c:numRef>
          </c:xVal>
          <c:yVal>
            <c:numRef>
              <c:f>Summary!$C$39:$H$39</c:f>
              <c:numCache>
                <c:formatCode>0</c:formatCode>
                <c:ptCount val="6"/>
                <c:pt idx="0">
                  <c:v>0</c:v>
                </c:pt>
                <c:pt idx="1">
                  <c:v>0</c:v>
                </c:pt>
                <c:pt idx="2">
                  <c:v>0</c:v>
                </c:pt>
                <c:pt idx="3">
                  <c:v>0</c:v>
                </c:pt>
                <c:pt idx="4">
                  <c:v>0</c:v>
                </c:pt>
                <c:pt idx="5" formatCode="General">
                  <c:v>0</c:v>
                </c:pt>
              </c:numCache>
            </c:numRef>
          </c:yVal>
          <c:smooth val="0"/>
        </c:ser>
        <c:dLbls>
          <c:showLegendKey val="0"/>
          <c:showVal val="0"/>
          <c:showCatName val="0"/>
          <c:showSerName val="0"/>
          <c:showPercent val="0"/>
          <c:showBubbleSize val="0"/>
        </c:dLbls>
        <c:axId val="51525504"/>
        <c:axId val="47120384"/>
      </c:scatterChart>
      <c:valAx>
        <c:axId val="51525504"/>
        <c:scaling>
          <c:orientation val="minMax"/>
          <c:min val="50"/>
        </c:scaling>
        <c:delete val="0"/>
        <c:axPos val="b"/>
        <c:title>
          <c:tx>
            <c:rich>
              <a:bodyPr/>
              <a:lstStyle/>
              <a:p>
                <a:pPr>
                  <a:defRPr/>
                </a:pPr>
                <a:r>
                  <a:rPr lang="en-US"/>
                  <a:t>Temperature</a:t>
                </a:r>
              </a:p>
            </c:rich>
          </c:tx>
          <c:overlay val="0"/>
        </c:title>
        <c:numFmt formatCode="0" sourceLinked="1"/>
        <c:majorTickMark val="none"/>
        <c:minorTickMark val="none"/>
        <c:tickLblPos val="nextTo"/>
        <c:crossAx val="47120384"/>
        <c:crosses val="autoZero"/>
        <c:crossBetween val="midCat"/>
      </c:valAx>
      <c:valAx>
        <c:axId val="47120384"/>
        <c:scaling>
          <c:orientation val="minMax"/>
        </c:scaling>
        <c:delete val="0"/>
        <c:axPos val="l"/>
        <c:majorGridlines/>
        <c:title>
          <c:tx>
            <c:rich>
              <a:bodyPr/>
              <a:lstStyle/>
              <a:p>
                <a:pPr>
                  <a:defRPr/>
                </a:pPr>
                <a:r>
                  <a:rPr lang="en-US"/>
                  <a:t>Gyration</a:t>
                </a:r>
              </a:p>
            </c:rich>
          </c:tx>
          <c:overlay val="0"/>
        </c:title>
        <c:numFmt formatCode="0" sourceLinked="1"/>
        <c:majorTickMark val="none"/>
        <c:minorTickMark val="none"/>
        <c:tickLblPos val="nextTo"/>
        <c:crossAx val="51525504"/>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Gmb</a:t>
            </a:r>
          </a:p>
        </c:rich>
      </c:tx>
      <c:overlay val="0"/>
    </c:title>
    <c:autoTitleDeleted val="0"/>
    <c:plotArea>
      <c:layout/>
      <c:scatterChart>
        <c:scatterStyle val="lineMarker"/>
        <c:varyColors val="0"/>
        <c:ser>
          <c:idx val="0"/>
          <c:order val="0"/>
          <c:tx>
            <c:strRef>
              <c:f>Summary!$A$11</c:f>
              <c:strCache>
                <c:ptCount val="1"/>
                <c:pt idx="0">
                  <c:v>Gmb</c:v>
                </c:pt>
              </c:strCache>
            </c:strRef>
          </c:tx>
          <c:spPr>
            <a:ln w="28575">
              <a:noFill/>
            </a:ln>
          </c:spPr>
          <c:xVal>
            <c:numRef>
              <c:f>Summary!$C$2:$H$2</c:f>
              <c:numCache>
                <c:formatCode>0</c:formatCode>
                <c:ptCount val="6"/>
                <c:pt idx="0">
                  <c:v>0</c:v>
                </c:pt>
                <c:pt idx="1">
                  <c:v>0</c:v>
                </c:pt>
                <c:pt idx="2">
                  <c:v>0</c:v>
                </c:pt>
                <c:pt idx="3">
                  <c:v>0</c:v>
                </c:pt>
                <c:pt idx="4">
                  <c:v>0</c:v>
                </c:pt>
                <c:pt idx="5">
                  <c:v>0</c:v>
                </c:pt>
              </c:numCache>
            </c:numRef>
          </c:xVal>
          <c:yVal>
            <c:numRef>
              <c:f>Summary!$C$15:$H$15</c:f>
              <c:numCache>
                <c:formatCode>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47153152"/>
        <c:axId val="47155072"/>
      </c:scatterChart>
      <c:valAx>
        <c:axId val="47153152"/>
        <c:scaling>
          <c:orientation val="minMax"/>
          <c:min val="50"/>
        </c:scaling>
        <c:delete val="0"/>
        <c:axPos val="b"/>
        <c:title>
          <c:tx>
            <c:rich>
              <a:bodyPr/>
              <a:lstStyle/>
              <a:p>
                <a:pPr>
                  <a:defRPr/>
                </a:pPr>
                <a:r>
                  <a:rPr lang="en-US"/>
                  <a:t>Temperature</a:t>
                </a:r>
              </a:p>
            </c:rich>
          </c:tx>
          <c:overlay val="0"/>
        </c:title>
        <c:numFmt formatCode="0" sourceLinked="1"/>
        <c:majorTickMark val="none"/>
        <c:minorTickMark val="none"/>
        <c:tickLblPos val="nextTo"/>
        <c:crossAx val="47155072"/>
        <c:crosses val="autoZero"/>
        <c:crossBetween val="midCat"/>
      </c:valAx>
      <c:valAx>
        <c:axId val="47155072"/>
        <c:scaling>
          <c:orientation val="minMax"/>
          <c:max val="3"/>
          <c:min val="2"/>
        </c:scaling>
        <c:delete val="0"/>
        <c:axPos val="l"/>
        <c:majorGridlines/>
        <c:title>
          <c:tx>
            <c:rich>
              <a:bodyPr/>
              <a:lstStyle/>
              <a:p>
                <a:pPr>
                  <a:defRPr/>
                </a:pPr>
                <a:r>
                  <a:rPr lang="en-US"/>
                  <a:t>Gmb</a:t>
                </a:r>
              </a:p>
            </c:rich>
          </c:tx>
          <c:overlay val="0"/>
        </c:title>
        <c:numFmt formatCode="0.000" sourceLinked="1"/>
        <c:majorTickMark val="none"/>
        <c:minorTickMark val="none"/>
        <c:tickLblPos val="nextTo"/>
        <c:crossAx val="47153152"/>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%Gmm</a:t>
            </a:r>
          </a:p>
        </c:rich>
      </c:tx>
      <c:overlay val="0"/>
    </c:title>
    <c:autoTitleDeleted val="0"/>
    <c:plotArea>
      <c:layout/>
      <c:scatterChart>
        <c:scatterStyle val="lineMarker"/>
        <c:varyColors val="0"/>
        <c:ser>
          <c:idx val="0"/>
          <c:order val="0"/>
          <c:tx>
            <c:strRef>
              <c:f>Summary!$A$23</c:f>
              <c:strCache>
                <c:ptCount val="1"/>
                <c:pt idx="0">
                  <c:v>%Gmm</c:v>
                </c:pt>
              </c:strCache>
            </c:strRef>
          </c:tx>
          <c:spPr>
            <a:ln w="25400">
              <a:noFill/>
            </a:ln>
          </c:spPr>
          <c:xVal>
            <c:numRef>
              <c:f>Summary!$C$2:$H$2</c:f>
              <c:numCache>
                <c:formatCode>0</c:formatCode>
                <c:ptCount val="6"/>
                <c:pt idx="0">
                  <c:v>0</c:v>
                </c:pt>
                <c:pt idx="1">
                  <c:v>0</c:v>
                </c:pt>
                <c:pt idx="2">
                  <c:v>0</c:v>
                </c:pt>
                <c:pt idx="3">
                  <c:v>0</c:v>
                </c:pt>
                <c:pt idx="4">
                  <c:v>0</c:v>
                </c:pt>
                <c:pt idx="5">
                  <c:v>0</c:v>
                </c:pt>
              </c:numCache>
            </c:numRef>
          </c:xVal>
          <c:yVal>
            <c:numRef>
              <c:f>Summary!$C$27:$H$27</c:f>
              <c:numCache>
                <c:formatCode>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47183744"/>
        <c:axId val="51904512"/>
      </c:scatterChart>
      <c:valAx>
        <c:axId val="47183744"/>
        <c:scaling>
          <c:orientation val="minMax"/>
          <c:min val="50"/>
        </c:scaling>
        <c:delete val="0"/>
        <c:axPos val="b"/>
        <c:title>
          <c:tx>
            <c:rich>
              <a:bodyPr/>
              <a:lstStyle/>
              <a:p>
                <a:pPr>
                  <a:defRPr/>
                </a:pPr>
                <a:r>
                  <a:rPr lang="en-US"/>
                  <a:t>Temperature</a:t>
                </a:r>
              </a:p>
            </c:rich>
          </c:tx>
          <c:overlay val="0"/>
        </c:title>
        <c:numFmt formatCode="0" sourceLinked="1"/>
        <c:majorTickMark val="none"/>
        <c:minorTickMark val="none"/>
        <c:tickLblPos val="nextTo"/>
        <c:crossAx val="51904512"/>
        <c:crosses val="autoZero"/>
        <c:crossBetween val="midCat"/>
      </c:valAx>
      <c:valAx>
        <c:axId val="51904512"/>
        <c:scaling>
          <c:orientation val="minMax"/>
          <c:max val="100"/>
          <c:min val="90"/>
        </c:scaling>
        <c:delete val="0"/>
        <c:axPos val="l"/>
        <c:majorGridlines/>
        <c:title>
          <c:tx>
            <c:rich>
              <a:bodyPr/>
              <a:lstStyle/>
              <a:p>
                <a:pPr>
                  <a:defRPr/>
                </a:pPr>
                <a:r>
                  <a:rPr lang="en-US"/>
                  <a:t>%Gmm</a:t>
                </a:r>
              </a:p>
            </c:rich>
          </c:tx>
          <c:overlay val="0"/>
        </c:title>
        <c:numFmt formatCode="0.0" sourceLinked="1"/>
        <c:majorTickMark val="none"/>
        <c:minorTickMark val="none"/>
        <c:tickLblPos val="nextTo"/>
        <c:crossAx val="47183744"/>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CFI</a:t>
            </a:r>
          </a:p>
        </c:rich>
      </c:tx>
      <c:overlay val="0"/>
    </c:title>
    <c:autoTitleDeleted val="0"/>
    <c:plotArea>
      <c:layout/>
      <c:scatterChart>
        <c:scatterStyle val="lineMarker"/>
        <c:varyColors val="0"/>
        <c:ser>
          <c:idx val="0"/>
          <c:order val="0"/>
          <c:tx>
            <c:strRef>
              <c:f>Summary!$A$47</c:f>
              <c:strCache>
                <c:ptCount val="1"/>
                <c:pt idx="0">
                  <c:v>CFI 
(Construction Force Index)
 N=2 to N92</c:v>
                </c:pt>
              </c:strCache>
            </c:strRef>
          </c:tx>
          <c:spPr>
            <a:ln w="28575">
              <a:noFill/>
            </a:ln>
          </c:spPr>
          <c:xVal>
            <c:numRef>
              <c:f>Summary!$C$2:$H$2</c:f>
              <c:numCache>
                <c:formatCode>0</c:formatCode>
                <c:ptCount val="6"/>
                <c:pt idx="0">
                  <c:v>0</c:v>
                </c:pt>
                <c:pt idx="1">
                  <c:v>0</c:v>
                </c:pt>
                <c:pt idx="2">
                  <c:v>0</c:v>
                </c:pt>
                <c:pt idx="3">
                  <c:v>0</c:v>
                </c:pt>
                <c:pt idx="4">
                  <c:v>0</c:v>
                </c:pt>
                <c:pt idx="5">
                  <c:v>0</c:v>
                </c:pt>
              </c:numCache>
            </c:numRef>
          </c:xVal>
          <c:yVal>
            <c:numRef>
              <c:f>Summary!$C$51:$H$51</c:f>
              <c:numCache>
                <c:formatCode>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51924992"/>
        <c:axId val="51926912"/>
      </c:scatterChart>
      <c:valAx>
        <c:axId val="51924992"/>
        <c:scaling>
          <c:orientation val="minMax"/>
          <c:min val="50"/>
        </c:scaling>
        <c:delete val="0"/>
        <c:axPos val="b"/>
        <c:title>
          <c:tx>
            <c:rich>
              <a:bodyPr/>
              <a:lstStyle/>
              <a:p>
                <a:pPr>
                  <a:defRPr/>
                </a:pPr>
                <a:r>
                  <a:rPr lang="en-US"/>
                  <a:t>Temperature</a:t>
                </a:r>
              </a:p>
            </c:rich>
          </c:tx>
          <c:overlay val="0"/>
        </c:title>
        <c:numFmt formatCode="0" sourceLinked="1"/>
        <c:majorTickMark val="none"/>
        <c:minorTickMark val="none"/>
        <c:tickLblPos val="nextTo"/>
        <c:crossAx val="51926912"/>
        <c:crosses val="autoZero"/>
        <c:crossBetween val="midCat"/>
      </c:valAx>
      <c:valAx>
        <c:axId val="51926912"/>
        <c:scaling>
          <c:orientation val="minMax"/>
        </c:scaling>
        <c:delete val="0"/>
        <c:axPos val="l"/>
        <c:majorGridlines/>
        <c:title>
          <c:tx>
            <c:rich>
              <a:bodyPr/>
              <a:lstStyle/>
              <a:p>
                <a:pPr>
                  <a:defRPr/>
                </a:pPr>
                <a:r>
                  <a:rPr lang="en-US"/>
                  <a:t>CFI</a:t>
                </a:r>
              </a:p>
            </c:rich>
          </c:tx>
          <c:overlay val="0"/>
        </c:title>
        <c:numFmt formatCode="0.0" sourceLinked="1"/>
        <c:majorTickMark val="none"/>
        <c:minorTickMark val="none"/>
        <c:tickLblPos val="nextTo"/>
        <c:crossAx val="51924992"/>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TFI</a:t>
            </a:r>
          </a:p>
        </c:rich>
      </c:tx>
      <c:overlay val="0"/>
    </c:title>
    <c:autoTitleDeleted val="0"/>
    <c:plotArea>
      <c:layout/>
      <c:scatterChart>
        <c:scatterStyle val="lineMarker"/>
        <c:varyColors val="0"/>
        <c:ser>
          <c:idx val="0"/>
          <c:order val="0"/>
          <c:tx>
            <c:strRef>
              <c:f>Summary!$A$59</c:f>
              <c:strCache>
                <c:ptCount val="1"/>
                <c:pt idx="0">
                  <c:v>TFI (Traffic Force Index)
N92 to N98</c:v>
                </c:pt>
              </c:strCache>
            </c:strRef>
          </c:tx>
          <c:spPr>
            <a:ln w="28575">
              <a:noFill/>
            </a:ln>
          </c:spPr>
          <c:xVal>
            <c:numRef>
              <c:f>Summary!$C$2:$H$2</c:f>
              <c:numCache>
                <c:formatCode>0</c:formatCode>
                <c:ptCount val="6"/>
                <c:pt idx="0">
                  <c:v>0</c:v>
                </c:pt>
                <c:pt idx="1">
                  <c:v>0</c:v>
                </c:pt>
                <c:pt idx="2">
                  <c:v>0</c:v>
                </c:pt>
                <c:pt idx="3">
                  <c:v>0</c:v>
                </c:pt>
                <c:pt idx="4">
                  <c:v>0</c:v>
                </c:pt>
                <c:pt idx="5">
                  <c:v>0</c:v>
                </c:pt>
              </c:numCache>
            </c:numRef>
          </c:xVal>
          <c:yVal>
            <c:numRef>
              <c:f>Summary!$C$63:$H$63</c:f>
              <c:numCache>
                <c:formatCode>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51951488"/>
        <c:axId val="52633600"/>
      </c:scatterChart>
      <c:valAx>
        <c:axId val="51951488"/>
        <c:scaling>
          <c:orientation val="minMax"/>
          <c:min val="50"/>
        </c:scaling>
        <c:delete val="0"/>
        <c:axPos val="b"/>
        <c:title>
          <c:tx>
            <c:rich>
              <a:bodyPr/>
              <a:lstStyle/>
              <a:p>
                <a:pPr>
                  <a:defRPr/>
                </a:pPr>
                <a:r>
                  <a:rPr lang="en-US"/>
                  <a:t>Temperature</a:t>
                </a:r>
              </a:p>
            </c:rich>
          </c:tx>
          <c:overlay val="0"/>
        </c:title>
        <c:numFmt formatCode="0" sourceLinked="1"/>
        <c:majorTickMark val="none"/>
        <c:minorTickMark val="none"/>
        <c:tickLblPos val="nextTo"/>
        <c:crossAx val="52633600"/>
        <c:crosses val="autoZero"/>
        <c:crossBetween val="midCat"/>
      </c:valAx>
      <c:valAx>
        <c:axId val="52633600"/>
        <c:scaling>
          <c:orientation val="minMax"/>
        </c:scaling>
        <c:delete val="0"/>
        <c:axPos val="l"/>
        <c:majorGridlines/>
        <c:title>
          <c:tx>
            <c:rich>
              <a:bodyPr/>
              <a:lstStyle/>
              <a:p>
                <a:pPr>
                  <a:defRPr/>
                </a:pPr>
                <a:r>
                  <a:rPr lang="en-US"/>
                  <a:t>TFI</a:t>
                </a:r>
              </a:p>
            </c:rich>
          </c:tx>
          <c:overlay val="0"/>
        </c:title>
        <c:numFmt formatCode="0.0" sourceLinked="1"/>
        <c:majorTickMark val="none"/>
        <c:minorTickMark val="none"/>
        <c:tickLblPos val="nextTo"/>
        <c:crossAx val="51951488"/>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NSI</a:t>
            </a:r>
          </a:p>
        </c:rich>
      </c:tx>
      <c:overlay val="0"/>
    </c:title>
    <c:autoTitleDeleted val="0"/>
    <c:plotArea>
      <c:layout/>
      <c:scatterChart>
        <c:scatterStyle val="lineMarker"/>
        <c:varyColors val="0"/>
        <c:ser>
          <c:idx val="0"/>
          <c:order val="0"/>
          <c:tx>
            <c:strRef>
              <c:f>Summary!$A$71</c:f>
              <c:strCache>
                <c:ptCount val="1"/>
                <c:pt idx="0">
                  <c:v>NSI
(Normalized Shear Index)
N=2 to N92</c:v>
                </c:pt>
              </c:strCache>
            </c:strRef>
          </c:tx>
          <c:spPr>
            <a:ln w="28575">
              <a:noFill/>
            </a:ln>
          </c:spPr>
          <c:xVal>
            <c:numRef>
              <c:f>Summary!$C$2:$H$2</c:f>
              <c:numCache>
                <c:formatCode>0</c:formatCode>
                <c:ptCount val="6"/>
                <c:pt idx="0">
                  <c:v>0</c:v>
                </c:pt>
                <c:pt idx="1">
                  <c:v>0</c:v>
                </c:pt>
                <c:pt idx="2">
                  <c:v>0</c:v>
                </c:pt>
                <c:pt idx="3">
                  <c:v>0</c:v>
                </c:pt>
                <c:pt idx="4">
                  <c:v>0</c:v>
                </c:pt>
                <c:pt idx="5">
                  <c:v>0</c:v>
                </c:pt>
              </c:numCache>
            </c:numRef>
          </c:xVal>
          <c:yVal>
            <c:numRef>
              <c:f>Summary!$C$75:$H$75</c:f>
              <c:numCache>
                <c:formatCode>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52646272"/>
        <c:axId val="52648192"/>
      </c:scatterChart>
      <c:valAx>
        <c:axId val="52646272"/>
        <c:scaling>
          <c:orientation val="minMax"/>
          <c:min val="50"/>
        </c:scaling>
        <c:delete val="0"/>
        <c:axPos val="b"/>
        <c:title>
          <c:tx>
            <c:rich>
              <a:bodyPr/>
              <a:lstStyle/>
              <a:p>
                <a:pPr>
                  <a:defRPr/>
                </a:pPr>
                <a:r>
                  <a:rPr lang="en-US"/>
                  <a:t>Temperature</a:t>
                </a:r>
              </a:p>
            </c:rich>
          </c:tx>
          <c:overlay val="0"/>
        </c:title>
        <c:numFmt formatCode="0" sourceLinked="1"/>
        <c:majorTickMark val="none"/>
        <c:minorTickMark val="none"/>
        <c:tickLblPos val="nextTo"/>
        <c:crossAx val="52648192"/>
        <c:crosses val="autoZero"/>
        <c:crossBetween val="midCat"/>
      </c:valAx>
      <c:valAx>
        <c:axId val="52648192"/>
        <c:scaling>
          <c:orientation val="minMax"/>
        </c:scaling>
        <c:delete val="0"/>
        <c:axPos val="l"/>
        <c:majorGridlines/>
        <c:title>
          <c:tx>
            <c:rich>
              <a:bodyPr/>
              <a:lstStyle/>
              <a:p>
                <a:pPr>
                  <a:defRPr/>
                </a:pPr>
                <a:r>
                  <a:rPr lang="en-US"/>
                  <a:t>NSI</a:t>
                </a:r>
              </a:p>
            </c:rich>
          </c:tx>
          <c:overlay val="0"/>
        </c:title>
        <c:numFmt formatCode="0.0" sourceLinked="1"/>
        <c:majorTickMark val="none"/>
        <c:minorTickMark val="none"/>
        <c:tickLblPos val="nextTo"/>
        <c:crossAx val="52646272"/>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CDI</a:t>
            </a:r>
          </a:p>
        </c:rich>
      </c:tx>
      <c:overlay val="0"/>
    </c:title>
    <c:autoTitleDeleted val="0"/>
    <c:plotArea>
      <c:layout/>
      <c:scatterChart>
        <c:scatterStyle val="lineMarker"/>
        <c:varyColors val="0"/>
        <c:ser>
          <c:idx val="0"/>
          <c:order val="0"/>
          <c:tx>
            <c:strRef>
              <c:f>Summary!$A$83</c:f>
              <c:strCache>
                <c:ptCount val="1"/>
                <c:pt idx="0">
                  <c:v>CDI (Construction Densification Index)
 N=8 to N92</c:v>
                </c:pt>
              </c:strCache>
            </c:strRef>
          </c:tx>
          <c:spPr>
            <a:ln w="28575">
              <a:noFill/>
            </a:ln>
          </c:spPr>
          <c:xVal>
            <c:numRef>
              <c:f>Summary!$C$2:$H$2</c:f>
              <c:numCache>
                <c:formatCode>0</c:formatCode>
                <c:ptCount val="6"/>
                <c:pt idx="0">
                  <c:v>0</c:v>
                </c:pt>
                <c:pt idx="1">
                  <c:v>0</c:v>
                </c:pt>
                <c:pt idx="2">
                  <c:v>0</c:v>
                </c:pt>
                <c:pt idx="3">
                  <c:v>0</c:v>
                </c:pt>
                <c:pt idx="4">
                  <c:v>0</c:v>
                </c:pt>
                <c:pt idx="5">
                  <c:v>0</c:v>
                </c:pt>
              </c:numCache>
            </c:numRef>
          </c:xVal>
          <c:yVal>
            <c:numRef>
              <c:f>Summary!$C$87:$H$87</c:f>
              <c:numCache>
                <c:formatCode>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52672768"/>
        <c:axId val="52363648"/>
      </c:scatterChart>
      <c:valAx>
        <c:axId val="52672768"/>
        <c:scaling>
          <c:orientation val="minMax"/>
          <c:min val="50"/>
        </c:scaling>
        <c:delete val="0"/>
        <c:axPos val="b"/>
        <c:title>
          <c:tx>
            <c:rich>
              <a:bodyPr/>
              <a:lstStyle/>
              <a:p>
                <a:pPr>
                  <a:defRPr/>
                </a:pPr>
                <a:r>
                  <a:rPr lang="en-US"/>
                  <a:t>Temperature</a:t>
                </a:r>
              </a:p>
            </c:rich>
          </c:tx>
          <c:overlay val="0"/>
        </c:title>
        <c:numFmt formatCode="0" sourceLinked="1"/>
        <c:majorTickMark val="none"/>
        <c:minorTickMark val="none"/>
        <c:tickLblPos val="nextTo"/>
        <c:crossAx val="52363648"/>
        <c:crosses val="autoZero"/>
        <c:crossBetween val="midCat"/>
      </c:valAx>
      <c:valAx>
        <c:axId val="52363648"/>
        <c:scaling>
          <c:orientation val="minMax"/>
        </c:scaling>
        <c:delete val="0"/>
        <c:axPos val="l"/>
        <c:majorGridlines/>
        <c:title>
          <c:tx>
            <c:rich>
              <a:bodyPr/>
              <a:lstStyle/>
              <a:p>
                <a:pPr>
                  <a:defRPr/>
                </a:pPr>
                <a:r>
                  <a:rPr lang="en-US"/>
                  <a:t>CDI</a:t>
                </a:r>
              </a:p>
            </c:rich>
          </c:tx>
          <c:overlay val="0"/>
        </c:title>
        <c:numFmt formatCode="0.0" sourceLinked="1"/>
        <c:majorTickMark val="none"/>
        <c:minorTickMark val="none"/>
        <c:tickLblPos val="nextTo"/>
        <c:crossAx val="52672768"/>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Locking Point 2-2</a:t>
            </a:r>
          </a:p>
        </c:rich>
      </c:tx>
      <c:overlay val="0"/>
    </c:title>
    <c:autoTitleDeleted val="0"/>
    <c:plotArea>
      <c:layout/>
      <c:scatterChart>
        <c:scatterStyle val="lineMarker"/>
        <c:varyColors val="0"/>
        <c:ser>
          <c:idx val="0"/>
          <c:order val="0"/>
          <c:tx>
            <c:strRef>
              <c:f>Summary!$A$47</c:f>
              <c:strCache>
                <c:ptCount val="1"/>
                <c:pt idx="0">
                  <c:v>CFI 
(Construction Force Index)
 N=2 to N92</c:v>
                </c:pt>
              </c:strCache>
            </c:strRef>
          </c:tx>
          <c:spPr>
            <a:ln w="28575">
              <a:noFill/>
            </a:ln>
          </c:spPr>
          <c:xVal>
            <c:numRef>
              <c:f>Summary!$C$2:$H$2</c:f>
              <c:numCache>
                <c:formatCode>0</c:formatCode>
                <c:ptCount val="6"/>
                <c:pt idx="0">
                  <c:v>0</c:v>
                </c:pt>
                <c:pt idx="1">
                  <c:v>0</c:v>
                </c:pt>
                <c:pt idx="2">
                  <c:v>0</c:v>
                </c:pt>
                <c:pt idx="3">
                  <c:v>0</c:v>
                </c:pt>
                <c:pt idx="4">
                  <c:v>0</c:v>
                </c:pt>
                <c:pt idx="5">
                  <c:v>0</c:v>
                </c:pt>
              </c:numCache>
            </c:numRef>
          </c:xVal>
          <c:yVal>
            <c:numRef>
              <c:f>Summary!$C$99:$H$99</c:f>
              <c:numCache>
                <c:formatCode>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52374912"/>
        <c:axId val="52385280"/>
      </c:scatterChart>
      <c:valAx>
        <c:axId val="52374912"/>
        <c:scaling>
          <c:orientation val="minMax"/>
          <c:min val="50"/>
        </c:scaling>
        <c:delete val="0"/>
        <c:axPos val="b"/>
        <c:title>
          <c:tx>
            <c:rich>
              <a:bodyPr/>
              <a:lstStyle/>
              <a:p>
                <a:pPr>
                  <a:defRPr/>
                </a:pPr>
                <a:r>
                  <a:rPr lang="en-US"/>
                  <a:t>Temperature</a:t>
                </a:r>
              </a:p>
            </c:rich>
          </c:tx>
          <c:overlay val="0"/>
        </c:title>
        <c:numFmt formatCode="0" sourceLinked="1"/>
        <c:majorTickMark val="none"/>
        <c:minorTickMark val="none"/>
        <c:tickLblPos val="nextTo"/>
        <c:crossAx val="52385280"/>
        <c:crosses val="autoZero"/>
        <c:crossBetween val="midCat"/>
      </c:valAx>
      <c:valAx>
        <c:axId val="52385280"/>
        <c:scaling>
          <c:orientation val="minMax"/>
        </c:scaling>
        <c:delete val="0"/>
        <c:axPos val="l"/>
        <c:majorGridlines/>
        <c:title>
          <c:tx>
            <c:rich>
              <a:bodyPr/>
              <a:lstStyle/>
              <a:p>
                <a:pPr>
                  <a:defRPr/>
                </a:pPr>
                <a:r>
                  <a:rPr lang="en-US" baseline="0"/>
                  <a:t>Gyration</a:t>
                </a:r>
              </a:p>
            </c:rich>
          </c:tx>
          <c:overlay val="0"/>
        </c:title>
        <c:numFmt formatCode="0" sourceLinked="1"/>
        <c:majorTickMark val="none"/>
        <c:minorTickMark val="none"/>
        <c:tickLblPos val="nextTo"/>
        <c:crossAx val="52374912"/>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WEI</a:t>
            </a:r>
          </a:p>
        </c:rich>
      </c:tx>
      <c:overlay val="0"/>
    </c:title>
    <c:autoTitleDeleted val="0"/>
    <c:plotArea>
      <c:layout/>
      <c:scatterChart>
        <c:scatterStyle val="lineMarker"/>
        <c:varyColors val="0"/>
        <c:ser>
          <c:idx val="0"/>
          <c:order val="0"/>
          <c:tx>
            <c:strRef>
              <c:f>Summary!$A$107</c:f>
              <c:strCache>
                <c:ptCount val="1"/>
                <c:pt idx="0">
                  <c:v>WEI (Workability Energy Index)
N=0 to N92</c:v>
                </c:pt>
              </c:strCache>
            </c:strRef>
          </c:tx>
          <c:spPr>
            <a:ln w="28575">
              <a:noFill/>
            </a:ln>
          </c:spPr>
          <c:xVal>
            <c:numRef>
              <c:f>Summary!$C$2:$H$2</c:f>
              <c:numCache>
                <c:formatCode>0</c:formatCode>
                <c:ptCount val="6"/>
                <c:pt idx="0">
                  <c:v>0</c:v>
                </c:pt>
                <c:pt idx="1">
                  <c:v>0</c:v>
                </c:pt>
                <c:pt idx="2">
                  <c:v>0</c:v>
                </c:pt>
                <c:pt idx="3">
                  <c:v>0</c:v>
                </c:pt>
                <c:pt idx="4">
                  <c:v>0</c:v>
                </c:pt>
                <c:pt idx="5">
                  <c:v>0</c:v>
                </c:pt>
              </c:numCache>
            </c:numRef>
          </c:xVal>
          <c:yVal>
            <c:numRef>
              <c:f>Summary!$C$111:$H$111</c:f>
              <c:numCache>
                <c:formatCode>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52401664"/>
        <c:axId val="52403584"/>
      </c:scatterChart>
      <c:valAx>
        <c:axId val="52401664"/>
        <c:scaling>
          <c:orientation val="minMax"/>
          <c:min val="50"/>
        </c:scaling>
        <c:delete val="0"/>
        <c:axPos val="b"/>
        <c:title>
          <c:tx>
            <c:rich>
              <a:bodyPr/>
              <a:lstStyle/>
              <a:p>
                <a:pPr>
                  <a:defRPr/>
                </a:pPr>
                <a:r>
                  <a:rPr lang="en-US"/>
                  <a:t>Temperature</a:t>
                </a:r>
              </a:p>
            </c:rich>
          </c:tx>
          <c:overlay val="0"/>
        </c:title>
        <c:numFmt formatCode="0" sourceLinked="1"/>
        <c:majorTickMark val="none"/>
        <c:minorTickMark val="none"/>
        <c:tickLblPos val="nextTo"/>
        <c:crossAx val="52403584"/>
        <c:crosses val="autoZero"/>
        <c:crossBetween val="midCat"/>
      </c:valAx>
      <c:valAx>
        <c:axId val="52403584"/>
        <c:scaling>
          <c:orientation val="minMax"/>
        </c:scaling>
        <c:delete val="0"/>
        <c:axPos val="l"/>
        <c:majorGridlines/>
        <c:title>
          <c:tx>
            <c:rich>
              <a:bodyPr/>
              <a:lstStyle/>
              <a:p>
                <a:pPr>
                  <a:defRPr/>
                </a:pPr>
                <a:r>
                  <a:rPr lang="en-US" baseline="0"/>
                  <a:t>N-m</a:t>
                </a:r>
              </a:p>
            </c:rich>
          </c:tx>
          <c:overlay val="0"/>
        </c:title>
        <c:numFmt formatCode="0.0" sourceLinked="1"/>
        <c:majorTickMark val="none"/>
        <c:minorTickMark val="none"/>
        <c:tickLblPos val="nextTo"/>
        <c:crossAx val="52401664"/>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CEI</a:t>
            </a:r>
          </a:p>
        </c:rich>
      </c:tx>
      <c:overlay val="0"/>
    </c:title>
    <c:autoTitleDeleted val="0"/>
    <c:plotArea>
      <c:layout/>
      <c:scatterChart>
        <c:scatterStyle val="lineMarker"/>
        <c:varyColors val="0"/>
        <c:ser>
          <c:idx val="0"/>
          <c:order val="0"/>
          <c:tx>
            <c:strRef>
              <c:f>Summary!$A$119</c:f>
              <c:strCache>
                <c:ptCount val="1"/>
                <c:pt idx="0">
                  <c:v>CEI (Compactability Energy Index)
N92 to N96</c:v>
                </c:pt>
              </c:strCache>
            </c:strRef>
          </c:tx>
          <c:spPr>
            <a:ln w="28575">
              <a:noFill/>
            </a:ln>
          </c:spPr>
          <c:xVal>
            <c:numRef>
              <c:f>Summary!$C$2:$H$2</c:f>
              <c:numCache>
                <c:formatCode>0</c:formatCode>
                <c:ptCount val="6"/>
                <c:pt idx="0">
                  <c:v>0</c:v>
                </c:pt>
                <c:pt idx="1">
                  <c:v>0</c:v>
                </c:pt>
                <c:pt idx="2">
                  <c:v>0</c:v>
                </c:pt>
                <c:pt idx="3">
                  <c:v>0</c:v>
                </c:pt>
                <c:pt idx="4">
                  <c:v>0</c:v>
                </c:pt>
                <c:pt idx="5">
                  <c:v>0</c:v>
                </c:pt>
              </c:numCache>
            </c:numRef>
          </c:xVal>
          <c:yVal>
            <c:numRef>
              <c:f>Summary!$C$123:$H$123</c:f>
              <c:numCache>
                <c:formatCode>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52436352"/>
        <c:axId val="52459008"/>
      </c:scatterChart>
      <c:valAx>
        <c:axId val="52436352"/>
        <c:scaling>
          <c:orientation val="minMax"/>
          <c:min val="50"/>
        </c:scaling>
        <c:delete val="0"/>
        <c:axPos val="b"/>
        <c:title>
          <c:tx>
            <c:rich>
              <a:bodyPr/>
              <a:lstStyle/>
              <a:p>
                <a:pPr>
                  <a:defRPr/>
                </a:pPr>
                <a:r>
                  <a:rPr lang="en-US"/>
                  <a:t>Temperature</a:t>
                </a:r>
              </a:p>
            </c:rich>
          </c:tx>
          <c:overlay val="0"/>
        </c:title>
        <c:numFmt formatCode="0" sourceLinked="1"/>
        <c:majorTickMark val="none"/>
        <c:minorTickMark val="none"/>
        <c:tickLblPos val="nextTo"/>
        <c:crossAx val="52459008"/>
        <c:crosses val="autoZero"/>
        <c:crossBetween val="midCat"/>
      </c:valAx>
      <c:valAx>
        <c:axId val="52459008"/>
        <c:scaling>
          <c:orientation val="minMax"/>
        </c:scaling>
        <c:delete val="0"/>
        <c:axPos val="l"/>
        <c:majorGridlines/>
        <c:title>
          <c:tx>
            <c:rich>
              <a:bodyPr/>
              <a:lstStyle/>
              <a:p>
                <a:pPr>
                  <a:defRPr/>
                </a:pPr>
                <a:r>
                  <a:rPr lang="en-US" baseline="0"/>
                  <a:t>N-m</a:t>
                </a:r>
              </a:p>
            </c:rich>
          </c:tx>
          <c:overlay val="0"/>
        </c:title>
        <c:numFmt formatCode="0.0" sourceLinked="1"/>
        <c:majorTickMark val="none"/>
        <c:minorTickMark val="none"/>
        <c:tickLblPos val="nextTo"/>
        <c:crossAx val="52436352"/>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%Gmm Vs Gyrations</a:t>
            </a:r>
          </a:p>
        </c:rich>
      </c:tx>
      <c:overlay val="0"/>
    </c:title>
    <c:autoTitleDeleted val="0"/>
    <c:plotArea>
      <c:layout>
        <c:manualLayout>
          <c:layoutTarget val="inner"/>
          <c:xMode val="edge"/>
          <c:yMode val="edge"/>
          <c:x val="7.6725403817914831E-2"/>
          <c:y val="0.10486322188449802"/>
          <c:w val="0.88619676945668058"/>
          <c:h val="0.73758865248228955"/>
        </c:manualLayout>
      </c:layout>
      <c:scatterChart>
        <c:scatterStyle val="lineMarker"/>
        <c:varyColors val="0"/>
        <c:ser>
          <c:idx val="0"/>
          <c:order val="0"/>
          <c:tx>
            <c:strRef>
              <c:f>'%Gmm'!$B$1:$E$1</c:f>
              <c:strCache>
                <c:ptCount val="1"/>
              </c:strCache>
            </c:strRef>
          </c:tx>
          <c:spPr>
            <a:ln w="25400">
              <a:solidFill>
                <a:schemeClr val="tx2">
                  <a:lumMod val="60000"/>
                  <a:lumOff val="40000"/>
                </a:schemeClr>
              </a:solidFill>
            </a:ln>
          </c:spPr>
          <c:marker>
            <c:symbol val="diamond"/>
            <c:size val="5"/>
            <c:spPr>
              <a:solidFill>
                <a:schemeClr val="tx2">
                  <a:lumMod val="60000"/>
                  <a:lumOff val="40000"/>
                </a:schemeClr>
              </a:solidFill>
              <a:ln>
                <a:solidFill>
                  <a:schemeClr val="tx2">
                    <a:lumMod val="75000"/>
                  </a:schemeClr>
                </a:solidFill>
              </a:ln>
            </c:spPr>
          </c:marker>
          <c:xVal>
            <c:numRef>
              <c:f>'%Gmm'!$A$11:$A$161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'%Gmm'!$F$11:$F$161</c:f>
              <c:numCache>
                <c:formatCode>0.00</c:formatCode>
                <c:ptCount val="151"/>
              </c:numCache>
            </c:numRef>
          </c:yVal>
          <c:smooth val="0"/>
        </c:ser>
        <c:ser>
          <c:idx val="1"/>
          <c:order val="1"/>
          <c:tx>
            <c:strRef>
              <c:f>'%Gmm'!$G$1:$J$1</c:f>
              <c:strCache>
                <c:ptCount val="1"/>
              </c:strCache>
            </c:strRef>
          </c:tx>
          <c:spPr>
            <a:ln w="25400">
              <a:solidFill>
                <a:schemeClr val="accent3">
                  <a:lumMod val="60000"/>
                  <a:lumOff val="40000"/>
                </a:schemeClr>
              </a:solidFill>
            </a:ln>
          </c:spPr>
          <c:marker>
            <c:symbol val="triangle"/>
            <c:size val="5"/>
            <c:spPr>
              <a:solidFill>
                <a:schemeClr val="accent3">
                  <a:lumMod val="60000"/>
                  <a:lumOff val="40000"/>
                </a:schemeClr>
              </a:solidFill>
              <a:ln>
                <a:solidFill>
                  <a:schemeClr val="accent3">
                    <a:lumMod val="75000"/>
                  </a:schemeClr>
                </a:solidFill>
              </a:ln>
            </c:spPr>
          </c:marker>
          <c:xVal>
            <c:numRef>
              <c:f>'%Gmm'!$A$11:$A$161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'%Gmm'!$K$11:$K$161</c:f>
              <c:numCache>
                <c:formatCode>0.00</c:formatCode>
                <c:ptCount val="151"/>
              </c:numCache>
            </c:numRef>
          </c:yVal>
          <c:smooth val="0"/>
        </c:ser>
        <c:ser>
          <c:idx val="2"/>
          <c:order val="2"/>
          <c:tx>
            <c:strRef>
              <c:f>'%Gmm'!$L$1:$O$1</c:f>
              <c:strCache>
                <c:ptCount val="1"/>
              </c:strCache>
            </c:strRef>
          </c:tx>
          <c:spPr>
            <a:ln w="25400">
              <a:solidFill>
                <a:schemeClr val="accent2">
                  <a:lumMod val="60000"/>
                  <a:lumOff val="40000"/>
                </a:schemeClr>
              </a:solidFill>
            </a:ln>
          </c:spPr>
          <c:marker>
            <c:symbol val="circle"/>
            <c:size val="4"/>
            <c:spPr>
              <a:solidFill>
                <a:schemeClr val="accent2">
                  <a:lumMod val="75000"/>
                </a:schemeClr>
              </a:solidFill>
              <a:ln>
                <a:solidFill>
                  <a:schemeClr val="accent2">
                    <a:lumMod val="75000"/>
                  </a:schemeClr>
                </a:solidFill>
              </a:ln>
            </c:spPr>
          </c:marker>
          <c:xVal>
            <c:numRef>
              <c:f>'%Gmm'!$A$11:$A$161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'%Gmm'!$P$11:$P$161</c:f>
              <c:numCache>
                <c:formatCode>0.00</c:formatCode>
                <c:ptCount val="151"/>
              </c:numCache>
            </c:numRef>
          </c:yVal>
          <c:smooth val="0"/>
        </c:ser>
        <c:ser>
          <c:idx val="3"/>
          <c:order val="3"/>
          <c:tx>
            <c:strRef>
              <c:f>'%Gmm'!$Q$1:$T$1</c:f>
              <c:strCache>
                <c:ptCount val="1"/>
              </c:strCache>
            </c:strRef>
          </c:tx>
          <c:spPr>
            <a:ln w="25400">
              <a:solidFill>
                <a:schemeClr val="accent5">
                  <a:lumMod val="60000"/>
                  <a:lumOff val="40000"/>
                </a:schemeClr>
              </a:solidFill>
            </a:ln>
          </c:spPr>
          <c:marker>
            <c:symbol val="x"/>
            <c:size val="5"/>
            <c:spPr>
              <a:noFill/>
              <a:ln>
                <a:solidFill>
                  <a:schemeClr val="accent5">
                    <a:lumMod val="75000"/>
                  </a:schemeClr>
                </a:solidFill>
              </a:ln>
            </c:spPr>
          </c:marker>
          <c:xVal>
            <c:numRef>
              <c:f>'%Gmm'!$A$11:$A$161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'%Gmm'!$U$11:$U$161</c:f>
              <c:numCache>
                <c:formatCode>0.00</c:formatCode>
                <c:ptCount val="151"/>
              </c:numCache>
            </c:numRef>
          </c:yVal>
          <c:smooth val="0"/>
        </c:ser>
        <c:ser>
          <c:idx val="4"/>
          <c:order val="4"/>
          <c:tx>
            <c:strRef>
              <c:f>'%Gmm'!$V$1:$Y$1</c:f>
              <c:strCache>
                <c:ptCount val="1"/>
              </c:strCache>
            </c:strRef>
          </c:tx>
          <c:spPr>
            <a:ln>
              <a:solidFill>
                <a:schemeClr val="accent6"/>
              </a:solidFill>
            </a:ln>
          </c:spPr>
          <c:marker>
            <c:symbol val="square"/>
            <c:size val="3"/>
            <c:spPr>
              <a:solidFill>
                <a:schemeClr val="accent6">
                  <a:lumMod val="60000"/>
                  <a:lumOff val="40000"/>
                </a:schemeClr>
              </a:solidFill>
              <a:ln>
                <a:solidFill>
                  <a:schemeClr val="accent6">
                    <a:lumMod val="75000"/>
                  </a:schemeClr>
                </a:solidFill>
              </a:ln>
            </c:spPr>
          </c:marker>
          <c:xVal>
            <c:numRef>
              <c:f>'%Gmm'!$A$11:$A$161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'%Gmm'!$Z$11:$Z$161</c:f>
              <c:numCache>
                <c:formatCode>0.00</c:formatCode>
                <c:ptCount val="151"/>
              </c:numCache>
            </c:numRef>
          </c:yVal>
          <c:smooth val="0"/>
        </c:ser>
        <c:ser>
          <c:idx val="5"/>
          <c:order val="5"/>
          <c:tx>
            <c:strRef>
              <c:f>'%Gmm'!$AA$1:$AD$1</c:f>
              <c:strCache>
                <c:ptCount val="1"/>
              </c:strCache>
            </c:strRef>
          </c:tx>
          <c:spPr>
            <a:ln w="25400">
              <a:solidFill>
                <a:schemeClr val="accent4">
                  <a:lumMod val="40000"/>
                  <a:lumOff val="60000"/>
                </a:schemeClr>
              </a:solidFill>
            </a:ln>
          </c:spPr>
          <c:marker>
            <c:symbol val="star"/>
            <c:size val="5"/>
            <c:spPr>
              <a:ln w="12700">
                <a:solidFill>
                  <a:srgbClr val="8064A2"/>
                </a:solidFill>
              </a:ln>
            </c:spPr>
          </c:marker>
          <c:xVal>
            <c:numRef>
              <c:f>'%Gmm'!$A$11:$A$161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'%Gmm'!$AE$11:$AE$161</c:f>
              <c:numCache>
                <c:formatCode>0.00</c:formatCode>
                <c:ptCount val="151"/>
              </c:numCache>
            </c:numRef>
          </c:yVal>
          <c:smooth val="0"/>
        </c:ser>
        <c:dLbls>
          <c:showLegendKey val="0"/>
          <c:showVal val="0"/>
          <c:showCatName val="0"/>
          <c:showSerName val="0"/>
          <c:showPercent val="0"/>
          <c:showBubbleSize val="0"/>
        </c:dLbls>
        <c:axId val="51994624"/>
        <c:axId val="51996928"/>
      </c:scatterChart>
      <c:valAx>
        <c:axId val="51994624"/>
        <c:scaling>
          <c:orientation val="minMax"/>
          <c:max val="150"/>
          <c:min val="0"/>
        </c:scaling>
        <c:delete val="0"/>
        <c:axPos val="b"/>
        <c:title>
          <c:tx>
            <c:rich>
              <a:bodyPr/>
              <a:lstStyle/>
              <a:p>
                <a:pPr>
                  <a:defRPr sz="1000" b="1" i="0" u="none" strike="noStrike" baseline="0">
                    <a:solidFill>
                      <a:srgbClr val="000000"/>
                    </a:solidFill>
                    <a:latin typeface="Calibri"/>
                    <a:ea typeface="Calibri"/>
                    <a:cs typeface="Calibri"/>
                  </a:defRPr>
                </a:pPr>
                <a:r>
                  <a:rPr lang="en-US"/>
                  <a:t>Gyration</a:t>
                </a:r>
              </a:p>
            </c:rich>
          </c:tx>
          <c:overlay val="0"/>
        </c:title>
        <c:numFmt formatCode="General" sourceLinked="1"/>
        <c:majorTickMark val="none"/>
        <c:minorTickMark val="in"/>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996928"/>
        <c:crosses val="autoZero"/>
        <c:crossBetween val="midCat"/>
        <c:majorUnit val="10"/>
        <c:minorUnit val="5"/>
      </c:valAx>
      <c:valAx>
        <c:axId val="51996928"/>
        <c:scaling>
          <c:orientation val="minMax"/>
          <c:max val="100"/>
          <c:min val="7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%Gmm</a:t>
                </a:r>
              </a:p>
            </c:rich>
          </c:tx>
          <c:overlay val="0"/>
        </c:title>
        <c:numFmt formatCode="0.00"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994624"/>
        <c:crosses val="autoZero"/>
        <c:crossBetween val="midCat"/>
      </c:valAx>
    </c:plotArea>
    <c:legend>
      <c:legendPos val="b"/>
      <c:layout>
        <c:manualLayout>
          <c:xMode val="edge"/>
          <c:yMode val="edge"/>
          <c:x val="7.8538721121398924E-2"/>
          <c:y val="0.93093544638261405"/>
          <c:w val="0.88578633876751256"/>
          <c:h val="3.6575472058711443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Construction Densification Index (CDI)</a:t>
            </a:r>
            <a:endParaRPr lang="en-US" baseline="-25000"/>
          </a:p>
        </c:rich>
      </c:tx>
      <c:layout>
        <c:manualLayout>
          <c:xMode val="edge"/>
          <c:yMode val="edge"/>
          <c:x val="0.27956796822685348"/>
          <c:y val="1.8516503618866247E-2"/>
        </c:manualLayout>
      </c:layout>
      <c:overlay val="1"/>
    </c:title>
    <c:autoTitleDeleted val="0"/>
    <c:plotArea>
      <c:layout>
        <c:manualLayout>
          <c:layoutTarget val="inner"/>
          <c:xMode val="edge"/>
          <c:yMode val="edge"/>
          <c:x val="8.3034898415486016E-2"/>
          <c:y val="9.4351652761620747E-2"/>
          <c:w val="0.87529933758284451"/>
          <c:h val="0.79257312621775156"/>
        </c:manualLayout>
      </c:layout>
      <c:barChart>
        <c:barDir val="col"/>
        <c:grouping val="clustered"/>
        <c:varyColors val="0"/>
        <c:ser>
          <c:idx val="0"/>
          <c:order val="0"/>
          <c:tx>
            <c:strRef>
              <c:f>'%Gmm'!$B$1:$E$1</c:f>
              <c:strCache>
                <c:ptCount val="1"/>
              </c:strCache>
            </c:strRef>
          </c:tx>
          <c:spPr>
            <a:solidFill>
              <a:schemeClr val="tx2">
                <a:lumMod val="40000"/>
                <a:lumOff val="60000"/>
              </a:schemeClr>
            </a:solidFill>
            <a:ln>
              <a:solidFill>
                <a:schemeClr val="tx1"/>
              </a:solidFill>
            </a:ln>
          </c:spPr>
          <c:invertIfNegative val="0"/>
          <c:dLbls>
            <c:spPr>
              <a:ln w="9525"/>
              <a:effectLst/>
            </c:spPr>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'%Gmm'!$F$3</c:f>
                <c:numCache>
                  <c:formatCode>General</c:formatCode>
                  <c:ptCount val="1"/>
                </c:numCache>
              </c:numRef>
            </c:plus>
            <c:minus>
              <c:numRef>
                <c:f>'%Gmm'!$F$3</c:f>
                <c:numCache>
                  <c:formatCode>General</c:formatCode>
                  <c:ptCount val="1"/>
                </c:numCache>
              </c:numRef>
            </c:minus>
            <c:spPr>
              <a:ln w="15875"/>
            </c:spPr>
          </c:errBars>
          <c:val>
            <c:numRef>
              <c:f>'%Gmm'!$F$4</c:f>
              <c:numCache>
                <c:formatCode>\x\̅\ 0.0</c:formatCode>
                <c:ptCount val="1"/>
              </c:numCache>
            </c:numRef>
          </c:val>
        </c:ser>
        <c:ser>
          <c:idx val="1"/>
          <c:order val="1"/>
          <c:tx>
            <c:strRef>
              <c:f>'%Gmm'!$G$1:$J$1</c:f>
              <c:strCache>
                <c:ptCount val="1"/>
              </c:strCache>
            </c:strRef>
          </c:tx>
          <c:spPr>
            <a:solidFill>
              <a:schemeClr val="accent3">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'%Gmm'!$K$3</c:f>
                <c:numCache>
                  <c:formatCode>General</c:formatCode>
                  <c:ptCount val="1"/>
                </c:numCache>
              </c:numRef>
            </c:plus>
            <c:minus>
              <c:numRef>
                <c:f>'%Gmm'!$K$3</c:f>
                <c:numCache>
                  <c:formatCode>General</c:formatCode>
                  <c:ptCount val="1"/>
                </c:numCache>
              </c:numRef>
            </c:minus>
            <c:spPr>
              <a:ln w="15875"/>
            </c:spPr>
          </c:errBars>
          <c:val>
            <c:numRef>
              <c:f>'%Gmm'!$K$4</c:f>
              <c:numCache>
                <c:formatCode>\x\̅\ 0.0</c:formatCode>
                <c:ptCount val="1"/>
              </c:numCache>
            </c:numRef>
          </c:val>
        </c:ser>
        <c:ser>
          <c:idx val="2"/>
          <c:order val="2"/>
          <c:tx>
            <c:strRef>
              <c:f>'%Gmm'!$L$1:$O$1</c:f>
              <c:strCache>
                <c:ptCount val="1"/>
              </c:strCache>
            </c:strRef>
          </c:tx>
          <c:spPr>
            <a:solidFill>
              <a:schemeClr val="accent2">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'%Gmm'!$P$3</c:f>
                <c:numCache>
                  <c:formatCode>General</c:formatCode>
                  <c:ptCount val="1"/>
                  <c:pt idx="0">
                    <c:v>0</c:v>
                  </c:pt>
                </c:numCache>
              </c:numRef>
            </c:plus>
            <c:minus>
              <c:numRef>
                <c:f>'%Gmm'!$P$3</c:f>
                <c:numCache>
                  <c:formatCode>General</c:formatCode>
                  <c:ptCount val="1"/>
                  <c:pt idx="0">
                    <c:v>0</c:v>
                  </c:pt>
                </c:numCache>
              </c:numRef>
            </c:minus>
            <c:spPr>
              <a:ln w="15875"/>
            </c:spPr>
          </c:errBars>
          <c:val>
            <c:numRef>
              <c:f>'%Gmm'!$P$4</c:f>
              <c:numCache>
                <c:formatCode>\x\̅\ 0.0</c:formatCode>
                <c:ptCount val="1"/>
              </c:numCache>
            </c:numRef>
          </c:val>
        </c:ser>
        <c:ser>
          <c:idx val="3"/>
          <c:order val="3"/>
          <c:tx>
            <c:strRef>
              <c:f>'%Gmm'!$Q$1:$T$1</c:f>
              <c:strCache>
                <c:ptCount val="1"/>
              </c:strCache>
            </c:strRef>
          </c:tx>
          <c:spPr>
            <a:solidFill>
              <a:schemeClr val="accent5">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'%Gmm'!$U$3</c:f>
                <c:numCache>
                  <c:formatCode>General</c:formatCode>
                  <c:ptCount val="1"/>
                  <c:pt idx="0">
                    <c:v>0</c:v>
                  </c:pt>
                </c:numCache>
              </c:numRef>
            </c:plus>
            <c:minus>
              <c:numRef>
                <c:f>'%Gmm'!$U$3</c:f>
                <c:numCache>
                  <c:formatCode>General</c:formatCode>
                  <c:ptCount val="1"/>
                  <c:pt idx="0">
                    <c:v>0</c:v>
                  </c:pt>
                </c:numCache>
              </c:numRef>
            </c:minus>
            <c:spPr>
              <a:ln w="15875"/>
            </c:spPr>
          </c:errBars>
          <c:val>
            <c:numRef>
              <c:f>'%Gmm'!$U$4</c:f>
              <c:numCache>
                <c:formatCode>\x\̅\ 0.0</c:formatCode>
                <c:ptCount val="1"/>
              </c:numCache>
            </c:numRef>
          </c:val>
        </c:ser>
        <c:ser>
          <c:idx val="4"/>
          <c:order val="4"/>
          <c:tx>
            <c:strRef>
              <c:f>'%Gmm'!$V$1:$Y$1</c:f>
              <c:strCache>
                <c:ptCount val="1"/>
              </c:strCache>
            </c:strRef>
          </c:tx>
          <c:spPr>
            <a:solidFill>
              <a:srgbClr val="F79646">
                <a:lumMod val="60000"/>
                <a:lumOff val="40000"/>
              </a:srgbClr>
            </a:solidFill>
            <a:ln>
              <a:solidFill>
                <a:schemeClr val="tx1"/>
              </a:solidFill>
            </a:ln>
          </c:spPr>
          <c:invertIfNegative val="0"/>
          <c:dLbls>
            <c:txPr>
              <a:bodyPr rot="-5400000" vert="horz" anchor="ctr" anchorCtr="1"/>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'%Gmm'!$Z$3</c:f>
                <c:numCache>
                  <c:formatCode>General</c:formatCode>
                  <c:ptCount val="1"/>
                  <c:pt idx="0">
                    <c:v>0</c:v>
                  </c:pt>
                </c:numCache>
              </c:numRef>
            </c:plus>
            <c:minus>
              <c:numRef>
                <c:f>'%Gmm'!$Z$3</c:f>
                <c:numCache>
                  <c:formatCode>General</c:formatCode>
                  <c:ptCount val="1"/>
                  <c:pt idx="0">
                    <c:v>0</c:v>
                  </c:pt>
                </c:numCache>
              </c:numRef>
            </c:minus>
            <c:spPr>
              <a:ln w="15875">
                <a:solidFill>
                  <a:schemeClr val="tx1"/>
                </a:solidFill>
              </a:ln>
            </c:spPr>
          </c:errBars>
          <c:val>
            <c:numRef>
              <c:f>'%Gmm'!$Z$4</c:f>
              <c:numCache>
                <c:formatCode>\x\̅\ 0.0</c:formatCode>
                <c:ptCount val="1"/>
              </c:numCache>
            </c:numRef>
          </c:val>
        </c:ser>
        <c:ser>
          <c:idx val="5"/>
          <c:order val="5"/>
          <c:tx>
            <c:strRef>
              <c:f>'%Gmm'!$AA$1:$AD$1</c:f>
              <c:strCache>
                <c:ptCount val="1"/>
              </c:strCache>
            </c:strRef>
          </c:tx>
          <c:spPr>
            <a:solidFill>
              <a:schemeClr val="accent4">
                <a:lumMod val="60000"/>
                <a:lumOff val="4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'%Gmm'!$AE$3</c:f>
                <c:numCache>
                  <c:formatCode>General</c:formatCode>
                  <c:ptCount val="1"/>
                  <c:pt idx="0">
                    <c:v>0</c:v>
                  </c:pt>
                </c:numCache>
              </c:numRef>
            </c:plus>
            <c:minus>
              <c:numRef>
                <c:f>'%Gmm'!$AE$3</c:f>
                <c:numCache>
                  <c:formatCode>General</c:formatCode>
                  <c:ptCount val="1"/>
                  <c:pt idx="0">
                    <c:v>0</c:v>
                  </c:pt>
                </c:numCache>
              </c:numRef>
            </c:minus>
            <c:spPr>
              <a:ln w="15875">
                <a:solidFill>
                  <a:srgbClr val="000000"/>
                </a:solidFill>
              </a:ln>
            </c:spPr>
          </c:errBars>
          <c:val>
            <c:numRef>
              <c:f>'%Gmm'!$AE$4</c:f>
              <c:numCache>
                <c:formatCode>\x\̅\ 0.0</c:formatCode>
                <c:ptCount val="1"/>
              </c:numCache>
            </c:numRef>
          </c:val>
        </c:ser>
        <c:dLbls>
          <c:showLegendKey val="0"/>
          <c:showVal val="1"/>
          <c:showCatName val="0"/>
          <c:showSerName val="0"/>
          <c:showPercent val="0"/>
          <c:showBubbleSize val="0"/>
        </c:dLbls>
        <c:gapWidth val="150"/>
        <c:overlap val="-20"/>
        <c:axId val="52195712"/>
        <c:axId val="52197248"/>
      </c:barChart>
      <c:catAx>
        <c:axId val="52195712"/>
        <c:scaling>
          <c:orientation val="minMax"/>
        </c:scaling>
        <c:delete val="1"/>
        <c:axPos val="b"/>
        <c:majorTickMark val="out"/>
        <c:minorTickMark val="none"/>
        <c:tickLblPos val="none"/>
        <c:crossAx val="52197248"/>
        <c:crosses val="autoZero"/>
        <c:auto val="0"/>
        <c:lblAlgn val="ctr"/>
        <c:lblOffset val="100"/>
        <c:noMultiLvlLbl val="0"/>
      </c:catAx>
      <c:valAx>
        <c:axId val="52197248"/>
        <c:scaling>
          <c:orientation val="minMax"/>
          <c:min val="0"/>
        </c:scaling>
        <c:delete val="0"/>
        <c:axPos val="l"/>
        <c:majorGridlines/>
        <c:numFmt formatCode="#,##0" sourceLinked="0"/>
        <c:majorTickMark val="out"/>
        <c:minorTickMark val="none"/>
        <c:tickLblPos val="nextTo"/>
        <c:crossAx val="52195712"/>
        <c:crosses val="autoZero"/>
        <c:crossBetween val="between"/>
      </c:valAx>
    </c:plotArea>
    <c:legend>
      <c:legendPos val="r"/>
      <c:layout>
        <c:manualLayout>
          <c:xMode val="edge"/>
          <c:yMode val="edge"/>
          <c:x val="8.3680016450408498E-2"/>
          <c:y val="0.9278090997120505"/>
          <c:w val="0.87572548149791163"/>
          <c:h val="3.5783133297658185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Locking Point Gyration (2-2)</a:t>
            </a:r>
            <a:endParaRPr lang="en-US" baseline="-25000"/>
          </a:p>
        </c:rich>
      </c:tx>
      <c:layout>
        <c:manualLayout>
          <c:xMode val="edge"/>
          <c:yMode val="edge"/>
          <c:x val="0.33095241395882852"/>
          <c:y val="2.2559437351884409E-2"/>
        </c:manualLayout>
      </c:layout>
      <c:overlay val="1"/>
    </c:title>
    <c:autoTitleDeleted val="0"/>
    <c:plotArea>
      <c:layout>
        <c:manualLayout>
          <c:layoutTarget val="inner"/>
          <c:xMode val="edge"/>
          <c:yMode val="edge"/>
          <c:x val="8.3034898415486016E-2"/>
          <c:y val="9.4351652761620747E-2"/>
          <c:w val="0.87529933758284451"/>
          <c:h val="0.79257312621775156"/>
        </c:manualLayout>
      </c:layout>
      <c:barChart>
        <c:barDir val="col"/>
        <c:grouping val="clustered"/>
        <c:varyColors val="0"/>
        <c:ser>
          <c:idx val="0"/>
          <c:order val="0"/>
          <c:tx>
            <c:strRef>
              <c:f>'%Gmm'!$B$1</c:f>
              <c:strCache>
                <c:ptCount val="1"/>
              </c:strCache>
            </c:strRef>
          </c:tx>
          <c:spPr>
            <a:solidFill>
              <a:srgbClr val="1F497D">
                <a:lumMod val="40000"/>
                <a:lumOff val="60000"/>
              </a:srgbClr>
            </a:solidFill>
          </c:spPr>
          <c:invertIfNegative val="0"/>
          <c:dPt>
            <c:idx val="0"/>
            <c:invertIfNegative val="0"/>
            <c:bubble3D val="0"/>
            <c:spPr>
              <a:solidFill>
                <a:srgbClr val="1F497D">
                  <a:lumMod val="40000"/>
                  <a:lumOff val="60000"/>
                </a:srgbClr>
              </a:solidFill>
              <a:ln>
                <a:solidFill>
                  <a:schemeClr val="dk1">
                    <a:shade val="95000"/>
                    <a:satMod val="105000"/>
                  </a:schemeClr>
                </a:solidFill>
              </a:ln>
            </c:spPr>
          </c:dPt>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val>
            <c:numRef>
              <c:f>Height!$F$6</c:f>
              <c:numCache>
                <c:formatCode>0</c:formatCode>
                <c:ptCount val="1"/>
              </c:numCache>
            </c:numRef>
          </c:val>
        </c:ser>
        <c:ser>
          <c:idx val="1"/>
          <c:order val="1"/>
          <c:tx>
            <c:strRef>
              <c:f>'%Gmm'!$G$1</c:f>
              <c:strCache>
                <c:ptCount val="1"/>
              </c:strCache>
            </c:strRef>
          </c:tx>
          <c:spPr>
            <a:solidFill>
              <a:schemeClr val="accent3">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val>
            <c:numRef>
              <c:f>Height!$K$6</c:f>
              <c:numCache>
                <c:formatCode>0</c:formatCode>
                <c:ptCount val="1"/>
              </c:numCache>
            </c:numRef>
          </c:val>
        </c:ser>
        <c:ser>
          <c:idx val="2"/>
          <c:order val="2"/>
          <c:tx>
            <c:strRef>
              <c:f>'%Gmm'!$L$1</c:f>
              <c:strCache>
                <c:ptCount val="1"/>
              </c:strCache>
            </c:strRef>
          </c:tx>
          <c:spPr>
            <a:solidFill>
              <a:schemeClr val="accent2">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val>
            <c:numRef>
              <c:f>Height!$P$6</c:f>
              <c:numCache>
                <c:formatCode>0</c:formatCode>
                <c:ptCount val="1"/>
              </c:numCache>
            </c:numRef>
          </c:val>
        </c:ser>
        <c:ser>
          <c:idx val="3"/>
          <c:order val="3"/>
          <c:tx>
            <c:strRef>
              <c:f>'%Gmm'!$Q$1</c:f>
              <c:strCache>
                <c:ptCount val="1"/>
              </c:strCache>
            </c:strRef>
          </c:tx>
          <c:spPr>
            <a:solidFill>
              <a:schemeClr val="accent5">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val>
            <c:numRef>
              <c:f>Height!$U$6</c:f>
              <c:numCache>
                <c:formatCode>0</c:formatCode>
                <c:ptCount val="1"/>
              </c:numCache>
            </c:numRef>
          </c:val>
        </c:ser>
        <c:ser>
          <c:idx val="4"/>
          <c:order val="4"/>
          <c:tx>
            <c:strRef>
              <c:f>'%Gmm'!$V$1:$Y$1</c:f>
              <c:strCache>
                <c:ptCount val="1"/>
              </c:strCache>
            </c:strRef>
          </c:tx>
          <c:spPr>
            <a:solidFill>
              <a:schemeClr val="accent6">
                <a:lumMod val="60000"/>
                <a:lumOff val="40000"/>
              </a:schemeClr>
            </a:solidFill>
            <a:ln>
              <a:solidFill>
                <a:schemeClr val="tx1"/>
              </a:solidFill>
            </a:ln>
          </c:spPr>
          <c:invertIfNegative val="0"/>
          <c:dLbls>
            <c:dLbl>
              <c:idx val="0"/>
              <c:spPr/>
              <c:txPr>
                <a:bodyPr rot="-5400000" vert="horz"/>
                <a:lstStyle/>
                <a:p>
                  <a:pPr>
                    <a:defRPr/>
                  </a:pPr>
                  <a:endParaRPr lang="en-US"/>
                </a:p>
              </c:txPr>
              <c:dLblPos val="ctr"/>
              <c:showLegendKey val="0"/>
              <c:showVal val="1"/>
              <c:showCatName val="0"/>
              <c:showSerName val="1"/>
              <c:showPercent val="0"/>
              <c:showBubbleSize val="0"/>
              <c:separator>
</c:separator>
            </c:dLbl>
            <c:showLegendKey val="0"/>
            <c:showVal val="1"/>
            <c:showCatName val="0"/>
            <c:showSerName val="0"/>
            <c:showPercent val="0"/>
            <c:showBubbleSize val="0"/>
            <c:showLeaderLines val="0"/>
          </c:dLbls>
          <c:val>
            <c:numRef>
              <c:f>Height!$Z$6</c:f>
              <c:numCache>
                <c:formatCode>0</c:formatCode>
                <c:ptCount val="1"/>
              </c:numCache>
            </c:numRef>
          </c:val>
        </c:ser>
        <c:ser>
          <c:idx val="5"/>
          <c:order val="5"/>
          <c:tx>
            <c:strRef>
              <c:f>Height!$AA$1</c:f>
              <c:strCache>
                <c:ptCount val="1"/>
                <c:pt idx="0">
                  <c:v>Group 6</c:v>
                </c:pt>
              </c:strCache>
            </c:strRef>
          </c:tx>
          <c:spPr>
            <a:solidFill>
              <a:schemeClr val="accent4">
                <a:lumMod val="60000"/>
                <a:lumOff val="40000"/>
              </a:schemeClr>
            </a:solidFill>
            <a:ln>
              <a:solidFill>
                <a:srgbClr val="000000"/>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val>
            <c:numRef>
              <c:f>Height!$AE$6</c:f>
              <c:numCache>
                <c:formatCode>0</c:formatCode>
                <c:ptCount val="1"/>
              </c:numCache>
            </c:numRef>
          </c:val>
        </c:ser>
        <c:dLbls>
          <c:showLegendKey val="0"/>
          <c:showVal val="1"/>
          <c:showCatName val="0"/>
          <c:showSerName val="0"/>
          <c:showPercent val="0"/>
          <c:showBubbleSize val="0"/>
        </c:dLbls>
        <c:gapWidth val="150"/>
        <c:overlap val="-20"/>
        <c:axId val="54081408"/>
        <c:axId val="54082944"/>
      </c:barChart>
      <c:catAx>
        <c:axId val="54081408"/>
        <c:scaling>
          <c:orientation val="minMax"/>
        </c:scaling>
        <c:delete val="1"/>
        <c:axPos val="b"/>
        <c:majorTickMark val="out"/>
        <c:minorTickMark val="none"/>
        <c:tickLblPos val="none"/>
        <c:crossAx val="54082944"/>
        <c:crosses val="autoZero"/>
        <c:auto val="0"/>
        <c:lblAlgn val="ctr"/>
        <c:lblOffset val="100"/>
        <c:noMultiLvlLbl val="0"/>
      </c:catAx>
      <c:valAx>
        <c:axId val="54082944"/>
        <c:scaling>
          <c:orientation val="minMax"/>
          <c:min val="0"/>
        </c:scaling>
        <c:delete val="0"/>
        <c:axPos val="l"/>
        <c:majorGridlines/>
        <c:numFmt formatCode="#,##0.0" sourceLinked="0"/>
        <c:majorTickMark val="out"/>
        <c:minorTickMark val="none"/>
        <c:tickLblPos val="nextTo"/>
        <c:crossAx val="54081408"/>
        <c:crosses val="autoZero"/>
        <c:crossBetween val="between"/>
      </c:valAx>
    </c:plotArea>
    <c:legend>
      <c:legendPos val="r"/>
      <c:layout>
        <c:manualLayout>
          <c:xMode val="edge"/>
          <c:yMode val="edge"/>
          <c:x val="8.3263095634172765E-2"/>
          <c:y val="0.93590974823535411"/>
          <c:w val="0.87865975379839134"/>
          <c:h val="2.9705138496037512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Workability Energy Index (WEI)</a:t>
            </a:r>
            <a:endParaRPr lang="en-US" b="1" baseline="-25000"/>
          </a:p>
        </c:rich>
      </c:tx>
      <c:layout>
        <c:manualLayout>
          <c:xMode val="edge"/>
          <c:yMode val="edge"/>
          <c:x val="0.32061938560497266"/>
          <c:y val="2.0539172591290292E-2"/>
        </c:manualLayout>
      </c:layout>
      <c:overlay val="1"/>
    </c:title>
    <c:autoTitleDeleted val="0"/>
    <c:plotArea>
      <c:layout>
        <c:manualLayout>
          <c:layoutTarget val="inner"/>
          <c:xMode val="edge"/>
          <c:yMode val="edge"/>
          <c:x val="8.3034898415486072E-2"/>
          <c:y val="9.4351652761620747E-2"/>
          <c:w val="0.87529933758284473"/>
          <c:h val="0.79257312621775156"/>
        </c:manualLayout>
      </c:layout>
      <c:barChart>
        <c:barDir val="col"/>
        <c:grouping val="clustered"/>
        <c:varyColors val="0"/>
        <c:ser>
          <c:idx val="0"/>
          <c:order val="0"/>
          <c:tx>
            <c:strRef>
              <c:f>Pressure!$B$1</c:f>
              <c:strCache>
                <c:ptCount val="1"/>
              </c:strCache>
            </c:strRef>
          </c:tx>
          <c:spPr>
            <a:solidFill>
              <a:schemeClr val="tx2">
                <a:lumMod val="40000"/>
                <a:lumOff val="6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Pressure!$F$6</c:f>
                <c:numCache>
                  <c:formatCode>General</c:formatCode>
                  <c:ptCount val="1"/>
                </c:numCache>
              </c:numRef>
            </c:plus>
            <c:minus>
              <c:numRef>
                <c:f>Pressure!$F$6</c:f>
                <c:numCache>
                  <c:formatCode>General</c:formatCode>
                  <c:ptCount val="1"/>
                </c:numCache>
              </c:numRef>
            </c:minus>
            <c:spPr>
              <a:ln w="15875"/>
            </c:spPr>
          </c:errBars>
          <c:val>
            <c:numRef>
              <c:f>Pressure!$F$5</c:f>
              <c:numCache>
                <c:formatCode>"WEI "\x\̅\ 0.00</c:formatCode>
                <c:ptCount val="1"/>
              </c:numCache>
            </c:numRef>
          </c:val>
        </c:ser>
        <c:ser>
          <c:idx val="1"/>
          <c:order val="1"/>
          <c:tx>
            <c:strRef>
              <c:f>Pressure!$G$1</c:f>
              <c:strCache>
                <c:ptCount val="1"/>
              </c:strCache>
            </c:strRef>
          </c:tx>
          <c:spPr>
            <a:solidFill>
              <a:schemeClr val="accent3">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Pressure!$K$6</c:f>
                <c:numCache>
                  <c:formatCode>General</c:formatCode>
                  <c:ptCount val="1"/>
                </c:numCache>
              </c:numRef>
            </c:plus>
            <c:minus>
              <c:numRef>
                <c:f>Pressure!$K$6</c:f>
                <c:numCache>
                  <c:formatCode>General</c:formatCode>
                  <c:ptCount val="1"/>
                </c:numCache>
              </c:numRef>
            </c:minus>
            <c:spPr>
              <a:ln w="15875"/>
            </c:spPr>
          </c:errBars>
          <c:val>
            <c:numRef>
              <c:f>Pressure!$K$5</c:f>
              <c:numCache>
                <c:formatCode>"WEI "\x\̅\ 0.00</c:formatCode>
                <c:ptCount val="1"/>
              </c:numCache>
            </c:numRef>
          </c:val>
        </c:ser>
        <c:ser>
          <c:idx val="2"/>
          <c:order val="2"/>
          <c:tx>
            <c:strRef>
              <c:f>Pressure!$L$1</c:f>
              <c:strCache>
                <c:ptCount val="1"/>
              </c:strCache>
            </c:strRef>
          </c:tx>
          <c:spPr>
            <a:solidFill>
              <a:schemeClr val="accent2">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Pressure!$P$6</c:f>
                <c:numCache>
                  <c:formatCode>General</c:formatCode>
                  <c:ptCount val="1"/>
                </c:numCache>
              </c:numRef>
            </c:plus>
            <c:minus>
              <c:numRef>
                <c:f>Pressure!$P$6</c:f>
                <c:numCache>
                  <c:formatCode>General</c:formatCode>
                  <c:ptCount val="1"/>
                </c:numCache>
              </c:numRef>
            </c:minus>
            <c:spPr>
              <a:ln w="15875"/>
            </c:spPr>
          </c:errBars>
          <c:val>
            <c:numRef>
              <c:f>Pressure!$P$5</c:f>
              <c:numCache>
                <c:formatCode>"WEI "\x\̅\ 0.00</c:formatCode>
                <c:ptCount val="1"/>
              </c:numCache>
            </c:numRef>
          </c:val>
        </c:ser>
        <c:ser>
          <c:idx val="3"/>
          <c:order val="3"/>
          <c:tx>
            <c:strRef>
              <c:f>Pressure!$Q$1</c:f>
              <c:strCache>
                <c:ptCount val="1"/>
              </c:strCache>
            </c:strRef>
          </c:tx>
          <c:spPr>
            <a:solidFill>
              <a:schemeClr val="accent5">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Pressure!$U$6</c:f>
                <c:numCache>
                  <c:formatCode>General</c:formatCode>
                  <c:ptCount val="1"/>
                </c:numCache>
              </c:numRef>
            </c:plus>
            <c:minus>
              <c:numRef>
                <c:f>Pressure!$U$6</c:f>
                <c:numCache>
                  <c:formatCode>General</c:formatCode>
                  <c:ptCount val="1"/>
                </c:numCache>
              </c:numRef>
            </c:minus>
            <c:spPr>
              <a:ln w="15875"/>
            </c:spPr>
          </c:errBars>
          <c:val>
            <c:numRef>
              <c:f>Pressure!$U$5</c:f>
              <c:numCache>
                <c:formatCode>"WEI "\x\̅\ 0.00</c:formatCode>
                <c:ptCount val="1"/>
              </c:numCache>
            </c:numRef>
          </c:val>
        </c:ser>
        <c:ser>
          <c:idx val="4"/>
          <c:order val="4"/>
          <c:tx>
            <c:strRef>
              <c:f>Pressure!$V$1</c:f>
              <c:strCache>
                <c:ptCount val="1"/>
              </c:strCache>
            </c:strRef>
          </c:tx>
          <c:spPr>
            <a:solidFill>
              <a:schemeClr val="accent6">
                <a:lumMod val="60000"/>
                <a:lumOff val="4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Pressure!$Z$6</c:f>
                <c:numCache>
                  <c:formatCode>General</c:formatCode>
                  <c:ptCount val="1"/>
                </c:numCache>
              </c:numRef>
            </c:plus>
            <c:minus>
              <c:numRef>
                <c:f>Pressure!$Z$6</c:f>
                <c:numCache>
                  <c:formatCode>General</c:formatCode>
                  <c:ptCount val="1"/>
                </c:numCache>
              </c:numRef>
            </c:minus>
            <c:spPr>
              <a:ln w="15875"/>
            </c:spPr>
          </c:errBars>
          <c:val>
            <c:numRef>
              <c:f>Pressure!$Z$5</c:f>
              <c:numCache>
                <c:formatCode>"WEI "\x\̅\ 0.00</c:formatCode>
                <c:ptCount val="1"/>
              </c:numCache>
            </c:numRef>
          </c:val>
        </c:ser>
        <c:ser>
          <c:idx val="5"/>
          <c:order val="5"/>
          <c:tx>
            <c:strRef>
              <c:f>Pressure!$AA$1</c:f>
              <c:strCache>
                <c:ptCount val="1"/>
              </c:strCache>
            </c:strRef>
          </c:tx>
          <c:spPr>
            <a:solidFill>
              <a:srgbClr val="CCC1DA"/>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Pressure!$AE$6</c:f>
                <c:numCache>
                  <c:formatCode>General</c:formatCode>
                  <c:ptCount val="1"/>
                </c:numCache>
              </c:numRef>
            </c:plus>
            <c:minus>
              <c:numRef>
                <c:f>Pressure!$AE$6</c:f>
                <c:numCache>
                  <c:formatCode>General</c:formatCode>
                  <c:ptCount val="1"/>
                </c:numCache>
              </c:numRef>
            </c:minus>
            <c:spPr>
              <a:ln w="15875"/>
            </c:spPr>
          </c:errBars>
          <c:val>
            <c:numRef>
              <c:f>Pressure!$AE$5</c:f>
              <c:numCache>
                <c:formatCode>"WEI "\x\̅\ 0.00</c:formatCode>
                <c:ptCount val="1"/>
              </c:numCache>
            </c:numRef>
          </c:val>
        </c:ser>
        <c:dLbls>
          <c:showLegendKey val="0"/>
          <c:showVal val="1"/>
          <c:showCatName val="0"/>
          <c:showSerName val="0"/>
          <c:showPercent val="0"/>
          <c:showBubbleSize val="0"/>
        </c:dLbls>
        <c:gapWidth val="150"/>
        <c:overlap val="-20"/>
        <c:axId val="53900416"/>
        <c:axId val="53901952"/>
      </c:barChart>
      <c:catAx>
        <c:axId val="53900416"/>
        <c:scaling>
          <c:orientation val="minMax"/>
        </c:scaling>
        <c:delete val="1"/>
        <c:axPos val="b"/>
        <c:majorTickMark val="out"/>
        <c:minorTickMark val="none"/>
        <c:tickLblPos val="none"/>
        <c:crossAx val="53901952"/>
        <c:crosses val="autoZero"/>
        <c:auto val="0"/>
        <c:lblAlgn val="ctr"/>
        <c:lblOffset val="100"/>
        <c:noMultiLvlLbl val="0"/>
      </c:catAx>
      <c:valAx>
        <c:axId val="53901952"/>
        <c:scaling>
          <c:orientation val="minMax"/>
          <c:min val="0"/>
        </c:scaling>
        <c:delete val="0"/>
        <c:axPos val="l"/>
        <c:majorGridlines/>
        <c:numFmt formatCode="#,##0" sourceLinked="0"/>
        <c:majorTickMark val="out"/>
        <c:minorTickMark val="none"/>
        <c:tickLblPos val="nextTo"/>
        <c:crossAx val="53900416"/>
        <c:crosses val="autoZero"/>
        <c:crossBetween val="between"/>
      </c:valAx>
    </c:plotArea>
    <c:legend>
      <c:legendPos val="r"/>
      <c:layout>
        <c:manualLayout>
          <c:xMode val="edge"/>
          <c:yMode val="edge"/>
          <c:x val="7.9251229159735967E-2"/>
          <c:y val="0.92981837525163658"/>
          <c:w val="0.87425834534767677"/>
          <c:h val="4.1864472644802891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Compactability Energy Index (CEI)</a:t>
            </a:r>
            <a:endParaRPr lang="en-US" b="1" baseline="-25000"/>
          </a:p>
        </c:rich>
      </c:tx>
      <c:layout>
        <c:manualLayout>
          <c:xMode val="edge"/>
          <c:yMode val="edge"/>
          <c:x val="0.32061938560497277"/>
          <c:y val="2.0539172591290292E-2"/>
        </c:manualLayout>
      </c:layout>
      <c:overlay val="1"/>
    </c:title>
    <c:autoTitleDeleted val="0"/>
    <c:plotArea>
      <c:layout>
        <c:manualLayout>
          <c:layoutTarget val="inner"/>
          <c:xMode val="edge"/>
          <c:yMode val="edge"/>
          <c:x val="8.3034898415486127E-2"/>
          <c:y val="9.4351652761620747E-2"/>
          <c:w val="0.87529933758284484"/>
          <c:h val="0.79257312621775156"/>
        </c:manualLayout>
      </c:layout>
      <c:barChart>
        <c:barDir val="col"/>
        <c:grouping val="clustered"/>
        <c:varyColors val="0"/>
        <c:ser>
          <c:idx val="0"/>
          <c:order val="0"/>
          <c:tx>
            <c:strRef>
              <c:f>Pressure!$B$1</c:f>
              <c:strCache>
                <c:ptCount val="1"/>
              </c:strCache>
            </c:strRef>
          </c:tx>
          <c:spPr>
            <a:solidFill>
              <a:schemeClr val="tx2">
                <a:lumMod val="40000"/>
                <a:lumOff val="6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Pressure!$F$8</c:f>
                <c:numCache>
                  <c:formatCode>General</c:formatCode>
                  <c:ptCount val="1"/>
                </c:numCache>
              </c:numRef>
            </c:plus>
            <c:minus>
              <c:numRef>
                <c:f>Pressure!$F$8</c:f>
                <c:numCache>
                  <c:formatCode>General</c:formatCode>
                  <c:ptCount val="1"/>
                </c:numCache>
              </c:numRef>
            </c:minus>
            <c:spPr>
              <a:ln w="15875"/>
            </c:spPr>
          </c:errBars>
          <c:val>
            <c:numRef>
              <c:f>Pressure!$F$7</c:f>
              <c:numCache>
                <c:formatCode>"CEI "\x\̅\ 0.00</c:formatCode>
                <c:ptCount val="1"/>
              </c:numCache>
            </c:numRef>
          </c:val>
        </c:ser>
        <c:ser>
          <c:idx val="1"/>
          <c:order val="1"/>
          <c:tx>
            <c:strRef>
              <c:f>Pressure!$G$1</c:f>
              <c:strCache>
                <c:ptCount val="1"/>
              </c:strCache>
            </c:strRef>
          </c:tx>
          <c:spPr>
            <a:solidFill>
              <a:schemeClr val="accent3">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Pressure!$K$8</c:f>
                <c:numCache>
                  <c:formatCode>General</c:formatCode>
                  <c:ptCount val="1"/>
                </c:numCache>
              </c:numRef>
            </c:plus>
            <c:minus>
              <c:numRef>
                <c:f>Pressure!$K$8</c:f>
                <c:numCache>
                  <c:formatCode>General</c:formatCode>
                  <c:ptCount val="1"/>
                </c:numCache>
              </c:numRef>
            </c:minus>
            <c:spPr>
              <a:ln w="15875"/>
            </c:spPr>
          </c:errBars>
          <c:val>
            <c:numRef>
              <c:f>Pressure!$K$7</c:f>
              <c:numCache>
                <c:formatCode>"CEI "\x\̅\ 0.00</c:formatCode>
                <c:ptCount val="1"/>
              </c:numCache>
            </c:numRef>
          </c:val>
        </c:ser>
        <c:ser>
          <c:idx val="2"/>
          <c:order val="2"/>
          <c:tx>
            <c:strRef>
              <c:f>Pressure!$L$1</c:f>
              <c:strCache>
                <c:ptCount val="1"/>
              </c:strCache>
            </c:strRef>
          </c:tx>
          <c:spPr>
            <a:solidFill>
              <a:schemeClr val="accent2">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Pressure!$P$8</c:f>
                <c:numCache>
                  <c:formatCode>General</c:formatCode>
                  <c:ptCount val="1"/>
                </c:numCache>
              </c:numRef>
            </c:plus>
            <c:minus>
              <c:numRef>
                <c:f>Pressure!$P$8</c:f>
                <c:numCache>
                  <c:formatCode>General</c:formatCode>
                  <c:ptCount val="1"/>
                </c:numCache>
              </c:numRef>
            </c:minus>
            <c:spPr>
              <a:ln w="15875"/>
            </c:spPr>
          </c:errBars>
          <c:val>
            <c:numRef>
              <c:f>Pressure!$P$7</c:f>
              <c:numCache>
                <c:formatCode>"CEI "\x\̅\ 0.00</c:formatCode>
                <c:ptCount val="1"/>
              </c:numCache>
            </c:numRef>
          </c:val>
        </c:ser>
        <c:ser>
          <c:idx val="3"/>
          <c:order val="3"/>
          <c:tx>
            <c:strRef>
              <c:f>Pressure!$Q$1</c:f>
              <c:strCache>
                <c:ptCount val="1"/>
              </c:strCache>
            </c:strRef>
          </c:tx>
          <c:spPr>
            <a:solidFill>
              <a:schemeClr val="accent5">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Pressure!$U$8</c:f>
                <c:numCache>
                  <c:formatCode>General</c:formatCode>
                  <c:ptCount val="1"/>
                </c:numCache>
              </c:numRef>
            </c:plus>
            <c:minus>
              <c:numRef>
                <c:f>Pressure!$U$8</c:f>
                <c:numCache>
                  <c:formatCode>General</c:formatCode>
                  <c:ptCount val="1"/>
                </c:numCache>
              </c:numRef>
            </c:minus>
            <c:spPr>
              <a:ln w="15875"/>
            </c:spPr>
          </c:errBars>
          <c:val>
            <c:numRef>
              <c:f>Pressure!$U$7</c:f>
              <c:numCache>
                <c:formatCode>"CEI "\x\̅\ 0.00</c:formatCode>
                <c:ptCount val="1"/>
              </c:numCache>
            </c:numRef>
          </c:val>
        </c:ser>
        <c:ser>
          <c:idx val="4"/>
          <c:order val="4"/>
          <c:tx>
            <c:strRef>
              <c:f>Pressure!$V$1</c:f>
              <c:strCache>
                <c:ptCount val="1"/>
              </c:strCache>
            </c:strRef>
          </c:tx>
          <c:spPr>
            <a:solidFill>
              <a:schemeClr val="accent6">
                <a:lumMod val="60000"/>
                <a:lumOff val="4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Pressure!$Z$8</c:f>
                <c:numCache>
                  <c:formatCode>General</c:formatCode>
                  <c:ptCount val="1"/>
                </c:numCache>
              </c:numRef>
            </c:plus>
            <c:minus>
              <c:numRef>
                <c:f>Pressure!$Z$8</c:f>
                <c:numCache>
                  <c:formatCode>General</c:formatCode>
                  <c:ptCount val="1"/>
                </c:numCache>
              </c:numRef>
            </c:minus>
            <c:spPr>
              <a:ln w="15875"/>
            </c:spPr>
          </c:errBars>
          <c:val>
            <c:numRef>
              <c:f>Pressure!$Z$7</c:f>
              <c:numCache>
                <c:formatCode>"CEI "\x\̅\ 0.00</c:formatCode>
                <c:ptCount val="1"/>
              </c:numCache>
            </c:numRef>
          </c:val>
        </c:ser>
        <c:ser>
          <c:idx val="5"/>
          <c:order val="5"/>
          <c:tx>
            <c:strRef>
              <c:f>Pressure!$AA$1</c:f>
              <c:strCache>
                <c:ptCount val="1"/>
              </c:strCache>
            </c:strRef>
          </c:tx>
          <c:spPr>
            <a:solidFill>
              <a:srgbClr val="CCC1DA"/>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Pressure!$AE$8</c:f>
                <c:numCache>
                  <c:formatCode>General</c:formatCode>
                  <c:ptCount val="1"/>
                </c:numCache>
              </c:numRef>
            </c:plus>
            <c:minus>
              <c:numRef>
                <c:f>Pressure!$AE$8</c:f>
                <c:numCache>
                  <c:formatCode>General</c:formatCode>
                  <c:ptCount val="1"/>
                </c:numCache>
              </c:numRef>
            </c:minus>
            <c:spPr>
              <a:ln w="15875"/>
            </c:spPr>
          </c:errBars>
          <c:val>
            <c:numRef>
              <c:f>Pressure!$AE$7</c:f>
              <c:numCache>
                <c:formatCode>"CEI "\x\̅\ 0.00</c:formatCode>
                <c:ptCount val="1"/>
              </c:numCache>
            </c:numRef>
          </c:val>
        </c:ser>
        <c:dLbls>
          <c:showLegendKey val="0"/>
          <c:showVal val="1"/>
          <c:showCatName val="0"/>
          <c:showSerName val="0"/>
          <c:showPercent val="0"/>
          <c:showBubbleSize val="0"/>
        </c:dLbls>
        <c:gapWidth val="150"/>
        <c:overlap val="-20"/>
        <c:axId val="53981568"/>
        <c:axId val="53983104"/>
      </c:barChart>
      <c:catAx>
        <c:axId val="53981568"/>
        <c:scaling>
          <c:orientation val="minMax"/>
        </c:scaling>
        <c:delete val="1"/>
        <c:axPos val="b"/>
        <c:majorTickMark val="out"/>
        <c:minorTickMark val="none"/>
        <c:tickLblPos val="none"/>
        <c:crossAx val="53983104"/>
        <c:crosses val="autoZero"/>
        <c:auto val="0"/>
        <c:lblAlgn val="ctr"/>
        <c:lblOffset val="100"/>
        <c:noMultiLvlLbl val="0"/>
      </c:catAx>
      <c:valAx>
        <c:axId val="53983104"/>
        <c:scaling>
          <c:orientation val="minMax"/>
          <c:min val="0"/>
        </c:scaling>
        <c:delete val="0"/>
        <c:axPos val="l"/>
        <c:majorGridlines/>
        <c:numFmt formatCode="#,##0" sourceLinked="0"/>
        <c:majorTickMark val="out"/>
        <c:minorTickMark val="none"/>
        <c:tickLblPos val="nextTo"/>
        <c:crossAx val="53981568"/>
        <c:crosses val="autoZero"/>
        <c:crossBetween val="between"/>
      </c:valAx>
    </c:plotArea>
    <c:legend>
      <c:legendPos val="r"/>
      <c:layout>
        <c:manualLayout>
          <c:xMode val="edge"/>
          <c:yMode val="edge"/>
          <c:x val="7.9251229159735981E-2"/>
          <c:y val="0.92981837525163658"/>
          <c:w val="0.87425834534767677"/>
          <c:h val="4.1864472644802891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Resistive Effort - w (kPa)</a:t>
            </a:r>
          </a:p>
        </c:rich>
      </c:tx>
      <c:overlay val="0"/>
    </c:title>
    <c:autoTitleDeleted val="0"/>
    <c:plotArea>
      <c:layout>
        <c:manualLayout>
          <c:layoutTarget val="inner"/>
          <c:xMode val="edge"/>
          <c:yMode val="edge"/>
          <c:x val="7.6725403817914831E-2"/>
          <c:y val="0.10486322188449802"/>
          <c:w val="0.88619676945668058"/>
          <c:h val="0.73758865248228955"/>
        </c:manualLayout>
      </c:layout>
      <c:scatterChart>
        <c:scatterStyle val="lineMarker"/>
        <c:varyColors val="0"/>
        <c:ser>
          <c:idx val="0"/>
          <c:order val="0"/>
          <c:tx>
            <c:strRef>
              <c:f>'Resistive Effort (w)'!$B$1</c:f>
              <c:strCache>
                <c:ptCount val="1"/>
              </c:strCache>
            </c:strRef>
          </c:tx>
          <c:spPr>
            <a:ln w="25400">
              <a:solidFill>
                <a:schemeClr val="tx2">
                  <a:lumMod val="60000"/>
                  <a:lumOff val="40000"/>
                </a:schemeClr>
              </a:solidFill>
            </a:ln>
          </c:spPr>
          <c:marker>
            <c:symbol val="diamond"/>
            <c:size val="5"/>
            <c:spPr>
              <a:solidFill>
                <a:schemeClr val="tx2">
                  <a:lumMod val="60000"/>
                  <a:lumOff val="40000"/>
                </a:schemeClr>
              </a:solidFill>
              <a:ln>
                <a:solidFill>
                  <a:schemeClr val="tx2">
                    <a:lumMod val="75000"/>
                  </a:schemeClr>
                </a:solidFill>
              </a:ln>
            </c:spPr>
          </c:marker>
          <c:xVal>
            <c:numRef>
              <c:f>'Resistive Effort (w)'!$A$11:$A$161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'Resistive Effort (w)'!$F$11:$F$161</c:f>
              <c:numCache>
                <c:formatCode>0.0</c:formatCode>
                <c:ptCount val="151"/>
              </c:numCache>
            </c:numRef>
          </c:yVal>
          <c:smooth val="0"/>
        </c:ser>
        <c:ser>
          <c:idx val="1"/>
          <c:order val="1"/>
          <c:tx>
            <c:strRef>
              <c:f>'Resistive Effort (w)'!$G$1</c:f>
              <c:strCache>
                <c:ptCount val="1"/>
              </c:strCache>
            </c:strRef>
          </c:tx>
          <c:spPr>
            <a:ln w="25400">
              <a:solidFill>
                <a:schemeClr val="accent3">
                  <a:lumMod val="60000"/>
                  <a:lumOff val="40000"/>
                </a:schemeClr>
              </a:solidFill>
            </a:ln>
          </c:spPr>
          <c:marker>
            <c:symbol val="triangle"/>
            <c:size val="5"/>
            <c:spPr>
              <a:solidFill>
                <a:schemeClr val="accent3">
                  <a:lumMod val="60000"/>
                  <a:lumOff val="40000"/>
                </a:schemeClr>
              </a:solidFill>
              <a:ln>
                <a:solidFill>
                  <a:schemeClr val="accent3">
                    <a:lumMod val="75000"/>
                  </a:schemeClr>
                </a:solidFill>
              </a:ln>
            </c:spPr>
          </c:marker>
          <c:xVal>
            <c:numRef>
              <c:f>'Resistive Effort (w)'!$A$11:$A$161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'Resistive Effort (w)'!$K$11:$K$161</c:f>
              <c:numCache>
                <c:formatCode>0.0</c:formatCode>
                <c:ptCount val="151"/>
              </c:numCache>
            </c:numRef>
          </c:yVal>
          <c:smooth val="0"/>
        </c:ser>
        <c:ser>
          <c:idx val="2"/>
          <c:order val="2"/>
          <c:tx>
            <c:strRef>
              <c:f>'Resistive Effort (w)'!$L$1</c:f>
              <c:strCache>
                <c:ptCount val="1"/>
              </c:strCache>
            </c:strRef>
          </c:tx>
          <c:spPr>
            <a:ln w="25400">
              <a:solidFill>
                <a:schemeClr val="accent2">
                  <a:lumMod val="60000"/>
                  <a:lumOff val="40000"/>
                </a:schemeClr>
              </a:solidFill>
            </a:ln>
          </c:spPr>
          <c:marker>
            <c:symbol val="circle"/>
            <c:size val="4"/>
            <c:spPr>
              <a:solidFill>
                <a:schemeClr val="accent2">
                  <a:lumMod val="75000"/>
                </a:schemeClr>
              </a:solidFill>
              <a:ln>
                <a:solidFill>
                  <a:schemeClr val="accent2">
                    <a:lumMod val="75000"/>
                  </a:schemeClr>
                </a:solidFill>
              </a:ln>
            </c:spPr>
          </c:marker>
          <c:xVal>
            <c:numRef>
              <c:f>'Resistive Effort (w)'!$A$11:$A$161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'Resistive Effort (w)'!$P$11:$P$161</c:f>
              <c:numCache>
                <c:formatCode>0.0</c:formatCode>
                <c:ptCount val="151"/>
              </c:numCache>
            </c:numRef>
          </c:yVal>
          <c:smooth val="0"/>
        </c:ser>
        <c:ser>
          <c:idx val="3"/>
          <c:order val="3"/>
          <c:tx>
            <c:strRef>
              <c:f>'Resistive Effort (w)'!$Q$1</c:f>
              <c:strCache>
                <c:ptCount val="1"/>
              </c:strCache>
            </c:strRef>
          </c:tx>
          <c:spPr>
            <a:ln w="25400">
              <a:solidFill>
                <a:schemeClr val="accent5">
                  <a:lumMod val="60000"/>
                  <a:lumOff val="40000"/>
                </a:schemeClr>
              </a:solidFill>
            </a:ln>
          </c:spPr>
          <c:marker>
            <c:symbol val="x"/>
            <c:size val="5"/>
            <c:spPr>
              <a:noFill/>
              <a:ln>
                <a:solidFill>
                  <a:schemeClr val="accent5">
                    <a:lumMod val="75000"/>
                  </a:schemeClr>
                </a:solidFill>
              </a:ln>
            </c:spPr>
          </c:marker>
          <c:xVal>
            <c:numRef>
              <c:f>'Resistive Effort (w)'!$A$11:$A$161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'Resistive Effort (w)'!$U$11:$U$161</c:f>
              <c:numCache>
                <c:formatCode>0.0</c:formatCode>
                <c:ptCount val="151"/>
              </c:numCache>
            </c:numRef>
          </c:yVal>
          <c:smooth val="0"/>
        </c:ser>
        <c:ser>
          <c:idx val="4"/>
          <c:order val="4"/>
          <c:tx>
            <c:strRef>
              <c:f>'Resistive Effort (w)'!$V$1:$Y$1</c:f>
              <c:strCache>
                <c:ptCount val="1"/>
              </c:strCache>
            </c:strRef>
          </c:tx>
          <c:spPr>
            <a:ln>
              <a:solidFill>
                <a:srgbClr val="F79646"/>
              </a:solidFill>
            </a:ln>
          </c:spPr>
          <c:marker>
            <c:symbol val="square"/>
            <c:size val="3"/>
            <c:spPr>
              <a:solidFill>
                <a:schemeClr val="accent6">
                  <a:lumMod val="60000"/>
                  <a:lumOff val="40000"/>
                </a:schemeClr>
              </a:solidFill>
              <a:ln>
                <a:solidFill>
                  <a:schemeClr val="accent6">
                    <a:lumMod val="75000"/>
                  </a:schemeClr>
                </a:solidFill>
              </a:ln>
            </c:spPr>
          </c:marker>
          <c:xVal>
            <c:numRef>
              <c:f>'Resistive Effort (w)'!$A$11:$A$161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'Resistive Effort (w)'!$Z$11:$Z$161</c:f>
              <c:numCache>
                <c:formatCode>0.0</c:formatCode>
                <c:ptCount val="151"/>
              </c:numCache>
            </c:numRef>
          </c:yVal>
          <c:smooth val="0"/>
        </c:ser>
        <c:ser>
          <c:idx val="5"/>
          <c:order val="5"/>
          <c:tx>
            <c:strRef>
              <c:f>'Resistive Effort (w)'!$AA$1:$AD$1</c:f>
              <c:strCache>
                <c:ptCount val="1"/>
              </c:strCache>
            </c:strRef>
          </c:tx>
          <c:spPr>
            <a:ln w="25400">
              <a:solidFill>
                <a:srgbClr val="CCC1DA"/>
              </a:solidFill>
            </a:ln>
          </c:spPr>
          <c:marker>
            <c:symbol val="star"/>
            <c:size val="5"/>
            <c:spPr>
              <a:ln w="12700">
                <a:solidFill>
                  <a:srgbClr val="8064A2"/>
                </a:solidFill>
              </a:ln>
            </c:spPr>
          </c:marker>
          <c:xVal>
            <c:numRef>
              <c:f>'Resistive Effort (w)'!$A$11:$A$161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'Resistive Effort (w)'!$AE$11:$AE$161</c:f>
              <c:numCache>
                <c:formatCode>0.0</c:formatCode>
                <c:ptCount val="151"/>
              </c:numCache>
            </c:numRef>
          </c:yVal>
          <c:smooth val="0"/>
        </c:ser>
        <c:dLbls>
          <c:showLegendKey val="0"/>
          <c:showVal val="0"/>
          <c:showCatName val="0"/>
          <c:showSerName val="0"/>
          <c:showPercent val="0"/>
          <c:showBubbleSize val="0"/>
        </c:dLbls>
        <c:axId val="54180864"/>
        <c:axId val="54658560"/>
      </c:scatterChart>
      <c:valAx>
        <c:axId val="54180864"/>
        <c:scaling>
          <c:orientation val="minMax"/>
          <c:max val="150"/>
          <c:min val="0"/>
        </c:scaling>
        <c:delete val="0"/>
        <c:axPos val="b"/>
        <c:title>
          <c:tx>
            <c:rich>
              <a:bodyPr/>
              <a:lstStyle/>
              <a:p>
                <a:pPr>
                  <a:defRPr sz="1000" b="1" i="0" u="none" strike="noStrike" baseline="0">
                    <a:solidFill>
                      <a:srgbClr val="000000"/>
                    </a:solidFill>
                    <a:latin typeface="Calibri"/>
                    <a:ea typeface="Calibri"/>
                    <a:cs typeface="Calibri"/>
                  </a:defRPr>
                </a:pPr>
                <a:r>
                  <a:rPr lang="en-US"/>
                  <a:t>Gyration</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658560"/>
        <c:crosses val="autoZero"/>
        <c:crossBetween val="midCat"/>
      </c:valAx>
      <c:valAx>
        <c:axId val="54658560"/>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Resistive Effort (kPa)</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180864"/>
        <c:crosses val="autoZero"/>
        <c:crossBetween val="midCat"/>
      </c:valAx>
    </c:plotArea>
    <c:legend>
      <c:legendPos val="b"/>
      <c:layout>
        <c:manualLayout>
          <c:xMode val="edge"/>
          <c:yMode val="edge"/>
          <c:x val="7.8538693131649767E-2"/>
          <c:y val="0.92900940723921765"/>
          <c:w val="0.88578633876751256"/>
          <c:h val="3.6575472058711443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sz="1800" b="0" i="0" baseline="-50000">
                <a:effectLst/>
              </a:rPr>
              <a:t>N1</a:t>
            </a:r>
            <a:r>
              <a:rPr lang="el-GR" sz="2400" b="0" i="0" baseline="0">
                <a:effectLst/>
              </a:rPr>
              <a:t>∑</a:t>
            </a:r>
            <a:r>
              <a:rPr lang="en-US" sz="1800" b="0" i="0" baseline="80000">
                <a:effectLst/>
              </a:rPr>
              <a:t>N2</a:t>
            </a:r>
            <a:r>
              <a:rPr lang="en-US" sz="1800" b="0" i="0" baseline="50000">
                <a:effectLst/>
              </a:rPr>
              <a:t> </a:t>
            </a:r>
            <a:r>
              <a:rPr lang="en-US" sz="1800" b="0" i="0" baseline="0">
                <a:effectLst/>
              </a:rPr>
              <a:t>w</a:t>
            </a:r>
            <a:endParaRPr lang="en-US" b="0">
              <a:effectLst/>
            </a:endParaRPr>
          </a:p>
        </c:rich>
      </c:tx>
      <c:layout>
        <c:manualLayout>
          <c:xMode val="edge"/>
          <c:yMode val="edge"/>
          <c:x val="0.44236696425271588"/>
          <c:y val="2.0579147873506766E-2"/>
        </c:manualLayout>
      </c:layout>
      <c:overlay val="1"/>
    </c:title>
    <c:autoTitleDeleted val="0"/>
    <c:plotArea>
      <c:layout>
        <c:manualLayout>
          <c:layoutTarget val="inner"/>
          <c:xMode val="edge"/>
          <c:yMode val="edge"/>
          <c:x val="8.3034898415486127E-2"/>
          <c:y val="0.12058832550125102"/>
          <c:w val="0.87529933758284528"/>
          <c:h val="0.76633633188387762"/>
        </c:manualLayout>
      </c:layout>
      <c:barChart>
        <c:barDir val="col"/>
        <c:grouping val="clustered"/>
        <c:varyColors val="0"/>
        <c:ser>
          <c:idx val="0"/>
          <c:order val="0"/>
          <c:tx>
            <c:strRef>
              <c:f>'Resistive Effort (w)'!$B$1</c:f>
              <c:strCache>
                <c:ptCount val="1"/>
              </c:strCache>
            </c:strRef>
          </c:tx>
          <c:spPr>
            <a:solidFill>
              <a:schemeClr val="tx2">
                <a:lumMod val="40000"/>
                <a:lumOff val="6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(w)'!$F$6</c:f>
                <c:numCache>
                  <c:formatCode>General</c:formatCode>
                  <c:ptCount val="1"/>
                </c:numCache>
              </c:numRef>
            </c:plus>
            <c:minus>
              <c:numRef>
                <c:f>'Resistive Effort (w)'!$F$6</c:f>
                <c:numCache>
                  <c:formatCode>General</c:formatCode>
                  <c:ptCount val="1"/>
                </c:numCache>
              </c:numRef>
            </c:minus>
            <c:spPr>
              <a:ln w="15875"/>
            </c:spPr>
          </c:errBars>
          <c:val>
            <c:numRef>
              <c:f>'Resistive Effort (w)'!$F$7</c:f>
              <c:numCache>
                <c:formatCode>\x\̅\ 0.0</c:formatCode>
                <c:ptCount val="1"/>
              </c:numCache>
            </c:numRef>
          </c:val>
        </c:ser>
        <c:ser>
          <c:idx val="1"/>
          <c:order val="1"/>
          <c:tx>
            <c:strRef>
              <c:f>'Resistive Effort (w)'!$G$1</c:f>
              <c:strCache>
                <c:ptCount val="1"/>
              </c:strCache>
            </c:strRef>
          </c:tx>
          <c:spPr>
            <a:solidFill>
              <a:schemeClr val="accent3">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(w)'!$K$6</c:f>
                <c:numCache>
                  <c:formatCode>General</c:formatCode>
                  <c:ptCount val="1"/>
                </c:numCache>
              </c:numRef>
            </c:plus>
            <c:minus>
              <c:numRef>
                <c:f>'Resistive Effort (w)'!$K$6</c:f>
                <c:numCache>
                  <c:formatCode>General</c:formatCode>
                  <c:ptCount val="1"/>
                </c:numCache>
              </c:numRef>
            </c:minus>
            <c:spPr>
              <a:ln w="15875" cap="rnd"/>
            </c:spPr>
          </c:errBars>
          <c:val>
            <c:numRef>
              <c:f>'Resistive Effort (w)'!$K$7</c:f>
              <c:numCache>
                <c:formatCode>\x\̅\ 0.0</c:formatCode>
                <c:ptCount val="1"/>
              </c:numCache>
            </c:numRef>
          </c:val>
        </c:ser>
        <c:ser>
          <c:idx val="2"/>
          <c:order val="2"/>
          <c:tx>
            <c:strRef>
              <c:f>'Resistive Effort (w)'!$L$1</c:f>
              <c:strCache>
                <c:ptCount val="1"/>
              </c:strCache>
            </c:strRef>
          </c:tx>
          <c:spPr>
            <a:solidFill>
              <a:schemeClr val="accent2">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(w)'!$P$6</c:f>
                <c:numCache>
                  <c:formatCode>General</c:formatCode>
                  <c:ptCount val="1"/>
                </c:numCache>
              </c:numRef>
            </c:plus>
            <c:minus>
              <c:numRef>
                <c:f>'Resistive Effort (w)'!$P$6</c:f>
                <c:numCache>
                  <c:formatCode>General</c:formatCode>
                  <c:ptCount val="1"/>
                </c:numCache>
              </c:numRef>
            </c:minus>
            <c:spPr>
              <a:ln w="15875"/>
            </c:spPr>
          </c:errBars>
          <c:val>
            <c:numRef>
              <c:f>'Resistive Effort (w)'!$P$7</c:f>
              <c:numCache>
                <c:formatCode>\x\̅\ 0.0</c:formatCode>
                <c:ptCount val="1"/>
              </c:numCache>
            </c:numRef>
          </c:val>
        </c:ser>
        <c:ser>
          <c:idx val="3"/>
          <c:order val="3"/>
          <c:tx>
            <c:strRef>
              <c:f>'Resistive Effort (w)'!$Q$1</c:f>
              <c:strCache>
                <c:ptCount val="1"/>
              </c:strCache>
            </c:strRef>
          </c:tx>
          <c:spPr>
            <a:solidFill>
              <a:schemeClr val="accent5">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(w)'!$U$6</c:f>
                <c:numCache>
                  <c:formatCode>General</c:formatCode>
                  <c:ptCount val="1"/>
                </c:numCache>
              </c:numRef>
            </c:plus>
            <c:minus>
              <c:numRef>
                <c:f>'Resistive Effort (w)'!$U$6</c:f>
                <c:numCache>
                  <c:formatCode>General</c:formatCode>
                  <c:ptCount val="1"/>
                </c:numCache>
              </c:numRef>
            </c:minus>
            <c:spPr>
              <a:ln w="15875"/>
            </c:spPr>
          </c:errBars>
          <c:val>
            <c:numRef>
              <c:f>'Resistive Effort (w)'!$U$7</c:f>
              <c:numCache>
                <c:formatCode>\x\̅\ 0.0</c:formatCode>
                <c:ptCount val="1"/>
              </c:numCache>
            </c:numRef>
          </c:val>
        </c:ser>
        <c:ser>
          <c:idx val="4"/>
          <c:order val="4"/>
          <c:tx>
            <c:strRef>
              <c:f>'Resistive Effort (w)'!$V$1:$Y$1</c:f>
              <c:strCache>
                <c:ptCount val="1"/>
              </c:strCache>
            </c:strRef>
          </c:tx>
          <c:spPr>
            <a:solidFill>
              <a:schemeClr val="accent6">
                <a:lumMod val="60000"/>
                <a:lumOff val="4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(w)'!$Z$6</c:f>
                <c:numCache>
                  <c:formatCode>General</c:formatCode>
                  <c:ptCount val="1"/>
                </c:numCache>
              </c:numRef>
            </c:plus>
            <c:minus>
              <c:numRef>
                <c:f>'Resistive Effort (w)'!$Z$6</c:f>
                <c:numCache>
                  <c:formatCode>General</c:formatCode>
                  <c:ptCount val="1"/>
                </c:numCache>
              </c:numRef>
            </c:minus>
            <c:spPr>
              <a:ln w="15875">
                <a:solidFill>
                  <a:schemeClr val="tx1"/>
                </a:solidFill>
              </a:ln>
            </c:spPr>
          </c:errBars>
          <c:val>
            <c:numRef>
              <c:f>'Resistive Effort (w)'!$Z$7</c:f>
              <c:numCache>
                <c:formatCode>\x\̅\ 0.0</c:formatCode>
                <c:ptCount val="1"/>
              </c:numCache>
            </c:numRef>
          </c:val>
        </c:ser>
        <c:ser>
          <c:idx val="5"/>
          <c:order val="5"/>
          <c:tx>
            <c:strRef>
              <c:f>'Resistive Effort (w)'!$AA$1:$AD$1</c:f>
              <c:strCache>
                <c:ptCount val="1"/>
              </c:strCache>
            </c:strRef>
          </c:tx>
          <c:spPr>
            <a:solidFill>
              <a:schemeClr val="accent4"/>
            </a:solidFill>
            <a:ln>
              <a:solidFill>
                <a:srgbClr val="000000"/>
              </a:solidFill>
            </a:ln>
          </c:spPr>
          <c:invertIfNegative val="0"/>
          <c:dPt>
            <c:idx val="0"/>
            <c:invertIfNegative val="0"/>
            <c:bubble3D val="0"/>
            <c:spPr>
              <a:solidFill>
                <a:schemeClr val="accent4">
                  <a:lumMod val="60000"/>
                  <a:lumOff val="40000"/>
                </a:schemeClr>
              </a:solidFill>
              <a:ln>
                <a:solidFill>
                  <a:srgbClr val="000000"/>
                </a:solidFill>
              </a:ln>
            </c:spPr>
          </c:dPt>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(w)'!$AE$6</c:f>
                <c:numCache>
                  <c:formatCode>General</c:formatCode>
                  <c:ptCount val="1"/>
                </c:numCache>
              </c:numRef>
            </c:plus>
            <c:minus>
              <c:numRef>
                <c:f>'Resistive Effort (w)'!$AE$6</c:f>
                <c:numCache>
                  <c:formatCode>General</c:formatCode>
                  <c:ptCount val="1"/>
                </c:numCache>
              </c:numRef>
            </c:minus>
            <c:spPr>
              <a:ln w="15875"/>
            </c:spPr>
          </c:errBars>
          <c:val>
            <c:numRef>
              <c:f>'Resistive Effort (w)'!$AE$7</c:f>
              <c:numCache>
                <c:formatCode>\x\̅\ 0.0</c:formatCode>
                <c:ptCount val="1"/>
              </c:numCache>
            </c:numRef>
          </c:val>
        </c:ser>
        <c:dLbls>
          <c:showLegendKey val="0"/>
          <c:showVal val="1"/>
          <c:showCatName val="0"/>
          <c:showSerName val="0"/>
          <c:showPercent val="0"/>
          <c:showBubbleSize val="0"/>
        </c:dLbls>
        <c:gapWidth val="150"/>
        <c:overlap val="-20"/>
        <c:axId val="54763520"/>
        <c:axId val="54765056"/>
      </c:barChart>
      <c:catAx>
        <c:axId val="54763520"/>
        <c:scaling>
          <c:orientation val="minMax"/>
        </c:scaling>
        <c:delete val="1"/>
        <c:axPos val="b"/>
        <c:majorTickMark val="out"/>
        <c:minorTickMark val="none"/>
        <c:tickLblPos val="none"/>
        <c:crossAx val="54765056"/>
        <c:crosses val="autoZero"/>
        <c:auto val="0"/>
        <c:lblAlgn val="ctr"/>
        <c:lblOffset val="100"/>
        <c:noMultiLvlLbl val="0"/>
      </c:catAx>
      <c:valAx>
        <c:axId val="54765056"/>
        <c:scaling>
          <c:orientation val="minMax"/>
          <c:min val="0"/>
        </c:scaling>
        <c:delete val="0"/>
        <c:axPos val="l"/>
        <c:majorGridlines/>
        <c:numFmt formatCode="#,##0" sourceLinked="0"/>
        <c:majorTickMark val="out"/>
        <c:minorTickMark val="none"/>
        <c:tickLblPos val="nextTo"/>
        <c:crossAx val="54763520"/>
        <c:crosses val="autoZero"/>
        <c:crossBetween val="between"/>
      </c:valAx>
    </c:plotArea>
    <c:legend>
      <c:legendPos val="r"/>
      <c:layout>
        <c:manualLayout>
          <c:xMode val="edge"/>
          <c:yMode val="edge"/>
          <c:x val="7.7447344830135934E-2"/>
          <c:y val="0.9156421208878015"/>
          <c:w val="0.88159402609885062"/>
          <c:h val="4.1882150956858592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Compaction Force Index (</a:t>
            </a:r>
            <a:r>
              <a:rPr lang="en-US" sz="1800" b="1" i="0" u="none" strike="noStrike" baseline="0">
                <a:effectLst/>
              </a:rPr>
              <a:t>CFI) = </a:t>
            </a:r>
            <a:r>
              <a:rPr lang="en-US" sz="1800" b="1" i="0" baseline="-50000">
                <a:effectLst/>
              </a:rPr>
              <a:t>N=2</a:t>
            </a:r>
            <a:r>
              <a:rPr lang="el-GR" sz="1800" b="1" i="0" baseline="0">
                <a:effectLst/>
              </a:rPr>
              <a:t>∑</a:t>
            </a:r>
            <a:r>
              <a:rPr lang="en-US" sz="1800" b="1" i="0" baseline="50000">
                <a:effectLst/>
              </a:rPr>
              <a:t>N92 </a:t>
            </a:r>
            <a:r>
              <a:rPr lang="en-US" sz="1800" b="1" i="0" baseline="0">
                <a:effectLst/>
              </a:rPr>
              <a:t>w</a:t>
            </a:r>
            <a:r>
              <a:rPr lang="en-US" sz="1800" b="1" i="0" u="none" strike="noStrike" baseline="0">
                <a:effectLst/>
              </a:rPr>
              <a:t>  </a:t>
            </a:r>
            <a:endParaRPr lang="en-US" b="1" baseline="-25000"/>
          </a:p>
        </c:rich>
      </c:tx>
      <c:layout>
        <c:manualLayout>
          <c:xMode val="edge"/>
          <c:yMode val="edge"/>
          <c:x val="0.25606539499463982"/>
          <c:y val="1.8516518869607607E-2"/>
        </c:manualLayout>
      </c:layout>
      <c:overlay val="1"/>
    </c:title>
    <c:autoTitleDeleted val="0"/>
    <c:plotArea>
      <c:layout>
        <c:manualLayout>
          <c:layoutTarget val="inner"/>
          <c:xMode val="edge"/>
          <c:yMode val="edge"/>
          <c:x val="8.3034898415486016E-2"/>
          <c:y val="9.4351652761620747E-2"/>
          <c:w val="0.87529933758284451"/>
          <c:h val="0.79257312621775156"/>
        </c:manualLayout>
      </c:layout>
      <c:barChart>
        <c:barDir val="col"/>
        <c:grouping val="clustered"/>
        <c:varyColors val="0"/>
        <c:ser>
          <c:idx val="0"/>
          <c:order val="0"/>
          <c:tx>
            <c:strRef>
              <c:f>'Resistive Effort (w)'!$B$1:$E$1</c:f>
              <c:strCache>
                <c:ptCount val="1"/>
              </c:strCache>
            </c:strRef>
          </c:tx>
          <c:spPr>
            <a:solidFill>
              <a:schemeClr val="tx2">
                <a:lumMod val="40000"/>
                <a:lumOff val="6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(w)'!$F$3</c:f>
                <c:numCache>
                  <c:formatCode>General</c:formatCode>
                  <c:ptCount val="1"/>
                </c:numCache>
              </c:numRef>
            </c:plus>
            <c:minus>
              <c:numRef>
                <c:f>'Resistive Effort (w)'!$F$3</c:f>
                <c:numCache>
                  <c:formatCode>General</c:formatCode>
                  <c:ptCount val="1"/>
                </c:numCache>
              </c:numRef>
            </c:minus>
            <c:spPr>
              <a:ln w="15875"/>
            </c:spPr>
          </c:errBars>
          <c:val>
            <c:numRef>
              <c:f>'Resistive Effort (w)'!$F$8</c:f>
              <c:numCache>
                <c:formatCode>0.0</c:formatCode>
                <c:ptCount val="1"/>
              </c:numCache>
            </c:numRef>
          </c:val>
        </c:ser>
        <c:ser>
          <c:idx val="1"/>
          <c:order val="1"/>
          <c:tx>
            <c:strRef>
              <c:f>'Resistive Effort (w)'!$G$1:$J$1</c:f>
              <c:strCache>
                <c:ptCount val="1"/>
              </c:strCache>
            </c:strRef>
          </c:tx>
          <c:spPr>
            <a:solidFill>
              <a:schemeClr val="accent3">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(w)'!$K$3</c:f>
                <c:numCache>
                  <c:formatCode>General</c:formatCode>
                  <c:ptCount val="1"/>
                </c:numCache>
              </c:numRef>
            </c:plus>
            <c:minus>
              <c:numRef>
                <c:f>'Resistive Effort (w)'!$K$3</c:f>
                <c:numCache>
                  <c:formatCode>General</c:formatCode>
                  <c:ptCount val="1"/>
                </c:numCache>
              </c:numRef>
            </c:minus>
            <c:spPr>
              <a:ln w="15875"/>
            </c:spPr>
          </c:errBars>
          <c:val>
            <c:numRef>
              <c:f>'Resistive Effort (w)'!$K$8</c:f>
              <c:numCache>
                <c:formatCode>0.0</c:formatCode>
                <c:ptCount val="1"/>
              </c:numCache>
            </c:numRef>
          </c:val>
        </c:ser>
        <c:ser>
          <c:idx val="2"/>
          <c:order val="2"/>
          <c:tx>
            <c:strRef>
              <c:f>'Resistive Effort (w)'!$L$1:$O$1</c:f>
              <c:strCache>
                <c:ptCount val="1"/>
              </c:strCache>
            </c:strRef>
          </c:tx>
          <c:spPr>
            <a:solidFill>
              <a:schemeClr val="accent2">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(w)'!$P$3</c:f>
                <c:numCache>
                  <c:formatCode>General</c:formatCode>
                  <c:ptCount val="1"/>
                  <c:pt idx="0">
                    <c:v>0</c:v>
                  </c:pt>
                </c:numCache>
              </c:numRef>
            </c:plus>
            <c:minus>
              <c:numRef>
                <c:f>'Resistive Effort (w)'!$P$3</c:f>
                <c:numCache>
                  <c:formatCode>General</c:formatCode>
                  <c:ptCount val="1"/>
                  <c:pt idx="0">
                    <c:v>0</c:v>
                  </c:pt>
                </c:numCache>
              </c:numRef>
            </c:minus>
            <c:spPr>
              <a:ln w="15875"/>
            </c:spPr>
          </c:errBars>
          <c:val>
            <c:numRef>
              <c:f>'Resistive Effort (w)'!$P$8</c:f>
              <c:numCache>
                <c:formatCode>0.0</c:formatCode>
                <c:ptCount val="1"/>
              </c:numCache>
            </c:numRef>
          </c:val>
        </c:ser>
        <c:ser>
          <c:idx val="3"/>
          <c:order val="3"/>
          <c:tx>
            <c:strRef>
              <c:f>'Resistive Effort (w)'!$Q$1:$T$1</c:f>
              <c:strCache>
                <c:ptCount val="1"/>
              </c:strCache>
            </c:strRef>
          </c:tx>
          <c:spPr>
            <a:solidFill>
              <a:schemeClr val="accent5">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(w)'!$U$3</c:f>
                <c:numCache>
                  <c:formatCode>General</c:formatCode>
                  <c:ptCount val="1"/>
                  <c:pt idx="0">
                    <c:v>0</c:v>
                  </c:pt>
                </c:numCache>
              </c:numRef>
            </c:plus>
            <c:minus>
              <c:numRef>
                <c:f>'Resistive Effort (w)'!$U$3</c:f>
                <c:numCache>
                  <c:formatCode>General</c:formatCode>
                  <c:ptCount val="1"/>
                  <c:pt idx="0">
                    <c:v>0</c:v>
                  </c:pt>
                </c:numCache>
              </c:numRef>
            </c:minus>
            <c:spPr>
              <a:ln w="15875"/>
            </c:spPr>
          </c:errBars>
          <c:val>
            <c:numRef>
              <c:f>'Resistive Effort (w)'!$U$8</c:f>
              <c:numCache>
                <c:formatCode>0.0</c:formatCode>
                <c:ptCount val="1"/>
              </c:numCache>
            </c:numRef>
          </c:val>
        </c:ser>
        <c:ser>
          <c:idx val="4"/>
          <c:order val="4"/>
          <c:tx>
            <c:strRef>
              <c:f>'Resistive Effort (w)'!$V$1:$Y$1</c:f>
              <c:strCache>
                <c:ptCount val="1"/>
              </c:strCache>
            </c:strRef>
          </c:tx>
          <c:spPr>
            <a:solidFill>
              <a:schemeClr val="accent6">
                <a:lumMod val="60000"/>
                <a:lumOff val="4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(w)'!$Z$3</c:f>
                <c:numCache>
                  <c:formatCode>General</c:formatCode>
                  <c:ptCount val="1"/>
                  <c:pt idx="0">
                    <c:v>0</c:v>
                  </c:pt>
                </c:numCache>
              </c:numRef>
            </c:plus>
            <c:minus>
              <c:numRef>
                <c:f>'Resistive Effort (w)'!$Z$3</c:f>
                <c:numCache>
                  <c:formatCode>General</c:formatCode>
                  <c:ptCount val="1"/>
                  <c:pt idx="0">
                    <c:v>0</c:v>
                  </c:pt>
                </c:numCache>
              </c:numRef>
            </c:minus>
            <c:spPr>
              <a:ln w="15875">
                <a:solidFill>
                  <a:schemeClr val="tx1"/>
                </a:solidFill>
              </a:ln>
            </c:spPr>
          </c:errBars>
          <c:val>
            <c:numRef>
              <c:f>'Resistive Effort (w)'!$Z$8</c:f>
              <c:numCache>
                <c:formatCode>0.0</c:formatCode>
                <c:ptCount val="1"/>
              </c:numCache>
            </c:numRef>
          </c:val>
        </c:ser>
        <c:ser>
          <c:idx val="5"/>
          <c:order val="5"/>
          <c:tx>
            <c:strRef>
              <c:f>'Resistive Effort (w)'!$AA$1:$AD$1</c:f>
              <c:strCache>
                <c:ptCount val="1"/>
              </c:strCache>
            </c:strRef>
          </c:tx>
          <c:spPr>
            <a:solidFill>
              <a:srgbClr val="CCC1DA"/>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(w)'!$AE$3</c:f>
                <c:numCache>
                  <c:formatCode>General</c:formatCode>
                  <c:ptCount val="1"/>
                  <c:pt idx="0">
                    <c:v>0</c:v>
                  </c:pt>
                </c:numCache>
              </c:numRef>
            </c:plus>
            <c:minus>
              <c:numRef>
                <c:f>'Resistive Effort (w)'!$AE$3</c:f>
                <c:numCache>
                  <c:formatCode>General</c:formatCode>
                  <c:ptCount val="1"/>
                  <c:pt idx="0">
                    <c:v>0</c:v>
                  </c:pt>
                </c:numCache>
              </c:numRef>
            </c:minus>
            <c:spPr>
              <a:ln w="15875"/>
            </c:spPr>
          </c:errBars>
          <c:val>
            <c:numRef>
              <c:f>'Resistive Effort (w)'!$AE$8</c:f>
              <c:numCache>
                <c:formatCode>0.0</c:formatCode>
                <c:ptCount val="1"/>
              </c:numCache>
            </c:numRef>
          </c:val>
        </c:ser>
        <c:dLbls>
          <c:showLegendKey val="0"/>
          <c:showVal val="1"/>
          <c:showCatName val="0"/>
          <c:showSerName val="0"/>
          <c:showPercent val="0"/>
          <c:showBubbleSize val="0"/>
        </c:dLbls>
        <c:gapWidth val="150"/>
        <c:overlap val="-20"/>
        <c:axId val="54414336"/>
        <c:axId val="54436608"/>
      </c:barChart>
      <c:catAx>
        <c:axId val="54414336"/>
        <c:scaling>
          <c:orientation val="minMax"/>
        </c:scaling>
        <c:delete val="1"/>
        <c:axPos val="b"/>
        <c:majorTickMark val="out"/>
        <c:minorTickMark val="none"/>
        <c:tickLblPos val="none"/>
        <c:crossAx val="54436608"/>
        <c:crosses val="autoZero"/>
        <c:auto val="0"/>
        <c:lblAlgn val="ctr"/>
        <c:lblOffset val="100"/>
        <c:noMultiLvlLbl val="0"/>
      </c:catAx>
      <c:valAx>
        <c:axId val="54436608"/>
        <c:scaling>
          <c:orientation val="minMax"/>
          <c:min val="0"/>
        </c:scaling>
        <c:delete val="0"/>
        <c:axPos val="l"/>
        <c:majorGridlines/>
        <c:numFmt formatCode="#,##0" sourceLinked="0"/>
        <c:majorTickMark val="out"/>
        <c:minorTickMark val="none"/>
        <c:tickLblPos val="nextTo"/>
        <c:crossAx val="54414336"/>
        <c:crosses val="autoZero"/>
        <c:crossBetween val="between"/>
      </c:valAx>
    </c:plotArea>
    <c:legend>
      <c:legendPos val="r"/>
      <c:layout>
        <c:manualLayout>
          <c:xMode val="edge"/>
          <c:yMode val="edge"/>
          <c:x val="7.9251229159735953E-2"/>
          <c:y val="0.92981837525163658"/>
          <c:w val="0.87425834534767677"/>
          <c:h val="4.1864472644802891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Traffic Force Index (TFI)</a:t>
            </a:r>
            <a:r>
              <a:rPr lang="en-US" sz="1800" b="1" i="0" u="none" strike="noStrike" baseline="0">
                <a:effectLst/>
              </a:rPr>
              <a:t> = </a:t>
            </a:r>
            <a:r>
              <a:rPr lang="en-US" sz="1800" b="1" i="0" u="none" strike="noStrike" baseline="-50000">
                <a:effectLst/>
              </a:rPr>
              <a:t>N92</a:t>
            </a:r>
            <a:r>
              <a:rPr lang="el-GR" sz="1800" b="1" i="0" u="none" strike="noStrike" baseline="0">
                <a:effectLst/>
              </a:rPr>
              <a:t>∑</a:t>
            </a:r>
            <a:r>
              <a:rPr lang="en-US" sz="1800" b="1" i="0" u="none" strike="noStrike" baseline="50000">
                <a:effectLst/>
              </a:rPr>
              <a:t>N98 </a:t>
            </a:r>
            <a:r>
              <a:rPr lang="en-US" sz="1800" b="1" i="0" u="none" strike="noStrike" baseline="0">
                <a:effectLst/>
              </a:rPr>
              <a:t>w  </a:t>
            </a:r>
            <a:endParaRPr lang="en-US" baseline="-25000"/>
          </a:p>
        </c:rich>
      </c:tx>
      <c:layout>
        <c:manualLayout>
          <c:xMode val="edge"/>
          <c:yMode val="edge"/>
          <c:x val="0.29565565967986895"/>
          <c:y val="2.6607133756338712E-2"/>
        </c:manualLayout>
      </c:layout>
      <c:overlay val="1"/>
    </c:title>
    <c:autoTitleDeleted val="0"/>
    <c:plotArea>
      <c:layout>
        <c:manualLayout>
          <c:layoutTarget val="inner"/>
          <c:xMode val="edge"/>
          <c:yMode val="edge"/>
          <c:x val="8.3034898415486016E-2"/>
          <c:y val="9.4351652761620747E-2"/>
          <c:w val="0.87529933758284528"/>
          <c:h val="0.79257312621775156"/>
        </c:manualLayout>
      </c:layout>
      <c:barChart>
        <c:barDir val="col"/>
        <c:grouping val="clustered"/>
        <c:varyColors val="0"/>
        <c:ser>
          <c:idx val="0"/>
          <c:order val="0"/>
          <c:tx>
            <c:strRef>
              <c:f>'Resistive Effort (w)'!$B$1:$E$1</c:f>
              <c:strCache>
                <c:ptCount val="1"/>
              </c:strCache>
            </c:strRef>
          </c:tx>
          <c:spPr>
            <a:solidFill>
              <a:schemeClr val="tx2">
                <a:lumMod val="40000"/>
                <a:lumOff val="6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(w)'!$F$4</c:f>
                <c:numCache>
                  <c:formatCode>General</c:formatCode>
                  <c:ptCount val="1"/>
                </c:numCache>
              </c:numRef>
            </c:plus>
            <c:minus>
              <c:numRef>
                <c:f>'Resistive Effort (w)'!$F$4</c:f>
                <c:numCache>
                  <c:formatCode>General</c:formatCode>
                  <c:ptCount val="1"/>
                </c:numCache>
              </c:numRef>
            </c:minus>
            <c:spPr>
              <a:ln w="15875"/>
            </c:spPr>
          </c:errBars>
          <c:val>
            <c:numRef>
              <c:f>'Resistive Effort (w)'!$F$9</c:f>
              <c:numCache>
                <c:formatCode>0.0</c:formatCode>
                <c:ptCount val="1"/>
              </c:numCache>
            </c:numRef>
          </c:val>
        </c:ser>
        <c:ser>
          <c:idx val="1"/>
          <c:order val="1"/>
          <c:tx>
            <c:strRef>
              <c:f>'Resistive Effort (w)'!$G$1:$J$1</c:f>
              <c:strCache>
                <c:ptCount val="1"/>
              </c:strCache>
            </c:strRef>
          </c:tx>
          <c:spPr>
            <a:solidFill>
              <a:schemeClr val="accent3">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(w)'!$K$4</c:f>
                <c:numCache>
                  <c:formatCode>General</c:formatCode>
                  <c:ptCount val="1"/>
                </c:numCache>
              </c:numRef>
            </c:plus>
            <c:minus>
              <c:numRef>
                <c:f>'Resistive Effort (w)'!$K$4</c:f>
                <c:numCache>
                  <c:formatCode>General</c:formatCode>
                  <c:ptCount val="1"/>
                </c:numCache>
              </c:numRef>
            </c:minus>
            <c:spPr>
              <a:ln w="15875"/>
            </c:spPr>
          </c:errBars>
          <c:val>
            <c:numRef>
              <c:f>'Resistive Effort (w)'!$K$9</c:f>
              <c:numCache>
                <c:formatCode>0.0</c:formatCode>
                <c:ptCount val="1"/>
              </c:numCache>
            </c:numRef>
          </c:val>
        </c:ser>
        <c:ser>
          <c:idx val="2"/>
          <c:order val="2"/>
          <c:tx>
            <c:strRef>
              <c:f>'Resistive Effort (w)'!$L$1:$O$1</c:f>
              <c:strCache>
                <c:ptCount val="1"/>
              </c:strCache>
            </c:strRef>
          </c:tx>
          <c:spPr>
            <a:solidFill>
              <a:schemeClr val="accent2">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(w)'!$P$4</c:f>
                <c:numCache>
                  <c:formatCode>General</c:formatCode>
                  <c:ptCount val="1"/>
                </c:numCache>
              </c:numRef>
            </c:plus>
            <c:minus>
              <c:numRef>
                <c:f>'Resistive Effort (w)'!$P$4</c:f>
                <c:numCache>
                  <c:formatCode>General</c:formatCode>
                  <c:ptCount val="1"/>
                </c:numCache>
              </c:numRef>
            </c:minus>
            <c:spPr>
              <a:ln w="15875"/>
            </c:spPr>
          </c:errBars>
          <c:val>
            <c:numRef>
              <c:f>'Resistive Effort (w)'!$P$9</c:f>
              <c:numCache>
                <c:formatCode>0.0</c:formatCode>
                <c:ptCount val="1"/>
              </c:numCache>
            </c:numRef>
          </c:val>
        </c:ser>
        <c:ser>
          <c:idx val="3"/>
          <c:order val="3"/>
          <c:tx>
            <c:strRef>
              <c:f>'Resistive Effort (w)'!$Q$1:$T$1</c:f>
              <c:strCache>
                <c:ptCount val="1"/>
              </c:strCache>
            </c:strRef>
          </c:tx>
          <c:spPr>
            <a:solidFill>
              <a:schemeClr val="accent5">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(w)'!$U$4</c:f>
                <c:numCache>
                  <c:formatCode>General</c:formatCode>
                  <c:ptCount val="1"/>
                </c:numCache>
              </c:numRef>
            </c:plus>
            <c:minus>
              <c:numRef>
                <c:f>'Resistive Effort (w)'!$U$4</c:f>
                <c:numCache>
                  <c:formatCode>General</c:formatCode>
                  <c:ptCount val="1"/>
                </c:numCache>
              </c:numRef>
            </c:minus>
            <c:spPr>
              <a:ln w="15875"/>
            </c:spPr>
          </c:errBars>
          <c:val>
            <c:numRef>
              <c:f>'Resistive Effort (w)'!$U$9</c:f>
              <c:numCache>
                <c:formatCode>0.0</c:formatCode>
                <c:ptCount val="1"/>
              </c:numCache>
            </c:numRef>
          </c:val>
        </c:ser>
        <c:ser>
          <c:idx val="4"/>
          <c:order val="4"/>
          <c:tx>
            <c:strRef>
              <c:f>'Resistive Effort (w)'!$V$1:$Y$1</c:f>
              <c:strCache>
                <c:ptCount val="1"/>
              </c:strCache>
            </c:strRef>
          </c:tx>
          <c:spPr>
            <a:solidFill>
              <a:schemeClr val="accent6">
                <a:lumMod val="60000"/>
                <a:lumOff val="4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(w)'!$Z$4</c:f>
                <c:numCache>
                  <c:formatCode>General</c:formatCode>
                  <c:ptCount val="1"/>
                </c:numCache>
              </c:numRef>
            </c:plus>
            <c:minus>
              <c:numRef>
                <c:f>'Resistive Effort (w)'!$Z$4</c:f>
                <c:numCache>
                  <c:formatCode>General</c:formatCode>
                  <c:ptCount val="1"/>
                </c:numCache>
              </c:numRef>
            </c:minus>
            <c:spPr>
              <a:ln w="15875">
                <a:solidFill>
                  <a:schemeClr val="tx1"/>
                </a:solidFill>
              </a:ln>
            </c:spPr>
          </c:errBars>
          <c:val>
            <c:numRef>
              <c:f>'Resistive Effort (w)'!$Z$9</c:f>
              <c:numCache>
                <c:formatCode>0.0</c:formatCode>
                <c:ptCount val="1"/>
              </c:numCache>
            </c:numRef>
          </c:val>
        </c:ser>
        <c:ser>
          <c:idx val="5"/>
          <c:order val="5"/>
          <c:tx>
            <c:strRef>
              <c:f>'Resistive Effort (w)'!$AA$1:$AD$1</c:f>
              <c:strCache>
                <c:ptCount val="1"/>
              </c:strCache>
            </c:strRef>
          </c:tx>
          <c:spPr>
            <a:solidFill>
              <a:schemeClr val="accent4">
                <a:lumMod val="40000"/>
                <a:lumOff val="6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'Resistive Effort (w)'!$AE$4</c:f>
                <c:numCache>
                  <c:formatCode>General</c:formatCode>
                  <c:ptCount val="1"/>
                </c:numCache>
              </c:numRef>
            </c:plus>
            <c:minus>
              <c:numRef>
                <c:f>'Resistive Effort (w)'!$AE$4</c:f>
                <c:numCache>
                  <c:formatCode>General</c:formatCode>
                  <c:ptCount val="1"/>
                </c:numCache>
              </c:numRef>
            </c:minus>
            <c:spPr>
              <a:ln w="15875"/>
            </c:spPr>
          </c:errBars>
          <c:val>
            <c:numRef>
              <c:f>'Resistive Effort (w)'!$AE$9</c:f>
              <c:numCache>
                <c:formatCode>0.0</c:formatCode>
                <c:ptCount val="1"/>
              </c:numCache>
            </c:numRef>
          </c:val>
        </c:ser>
        <c:dLbls>
          <c:showLegendKey val="0"/>
          <c:showVal val="1"/>
          <c:showCatName val="0"/>
          <c:showSerName val="0"/>
          <c:showPercent val="0"/>
          <c:showBubbleSize val="0"/>
        </c:dLbls>
        <c:gapWidth val="150"/>
        <c:overlap val="-20"/>
        <c:axId val="54556928"/>
        <c:axId val="54579200"/>
      </c:barChart>
      <c:catAx>
        <c:axId val="54556928"/>
        <c:scaling>
          <c:orientation val="minMax"/>
        </c:scaling>
        <c:delete val="1"/>
        <c:axPos val="b"/>
        <c:majorTickMark val="out"/>
        <c:minorTickMark val="none"/>
        <c:tickLblPos val="none"/>
        <c:crossAx val="54579200"/>
        <c:crosses val="autoZero"/>
        <c:auto val="0"/>
        <c:lblAlgn val="ctr"/>
        <c:lblOffset val="100"/>
        <c:noMultiLvlLbl val="0"/>
      </c:catAx>
      <c:valAx>
        <c:axId val="54579200"/>
        <c:scaling>
          <c:orientation val="minMax"/>
          <c:min val="0"/>
        </c:scaling>
        <c:delete val="0"/>
        <c:axPos val="l"/>
        <c:majorGridlines/>
        <c:numFmt formatCode="#,##0" sourceLinked="0"/>
        <c:majorTickMark val="out"/>
        <c:minorTickMark val="none"/>
        <c:tickLblPos val="nextTo"/>
        <c:crossAx val="54556928"/>
        <c:crosses val="autoZero"/>
        <c:crossBetween val="between"/>
      </c:valAx>
    </c:plotArea>
    <c:legend>
      <c:legendPos val="r"/>
      <c:layout>
        <c:manualLayout>
          <c:xMode val="edge"/>
          <c:yMode val="edge"/>
          <c:x val="8.7712561457986754E-2"/>
          <c:y val="0.92172776036490589"/>
          <c:w val="0.86252125614580788"/>
          <c:h val="3.7819165201437202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Gyratory Shear Sg (kPa)</a:t>
            </a:r>
          </a:p>
        </c:rich>
      </c:tx>
      <c:overlay val="0"/>
    </c:title>
    <c:autoTitleDeleted val="0"/>
    <c:plotArea>
      <c:layout>
        <c:manualLayout>
          <c:layoutTarget val="inner"/>
          <c:xMode val="edge"/>
          <c:yMode val="edge"/>
          <c:x val="7.2320117474302503E-2"/>
          <c:y val="0.10486322188449802"/>
          <c:w val="0.87334801762120551"/>
          <c:h val="0.73611190103513202"/>
        </c:manualLayout>
      </c:layout>
      <c:scatterChart>
        <c:scatterStyle val="lineMarker"/>
        <c:varyColors val="0"/>
        <c:ser>
          <c:idx val="0"/>
          <c:order val="0"/>
          <c:tx>
            <c:strRef>
              <c:f>'Sg(kPa)'!$B$1</c:f>
              <c:strCache>
                <c:ptCount val="1"/>
              </c:strCache>
            </c:strRef>
          </c:tx>
          <c:spPr>
            <a:ln>
              <a:solidFill>
                <a:schemeClr val="tx2">
                  <a:lumMod val="75000"/>
                </a:schemeClr>
              </a:solidFill>
            </a:ln>
          </c:spPr>
          <c:marker>
            <c:symbol val="diamond"/>
            <c:size val="5"/>
            <c:spPr>
              <a:solidFill>
                <a:schemeClr val="tx2">
                  <a:lumMod val="60000"/>
                  <a:lumOff val="40000"/>
                </a:schemeClr>
              </a:solidFill>
              <a:ln>
                <a:solidFill>
                  <a:schemeClr val="tx2">
                    <a:lumMod val="75000"/>
                  </a:schemeClr>
                </a:solidFill>
              </a:ln>
            </c:spPr>
          </c:marker>
          <c:xVal>
            <c:numRef>
              <c:f>'Sg(kPa)'!$A$11:$A$161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'Sg(kPa)'!$F$11:$F$161</c:f>
              <c:numCache>
                <c:formatCode>0.0</c:formatCode>
                <c:ptCount val="151"/>
              </c:numCache>
            </c:numRef>
          </c:yVal>
          <c:smooth val="0"/>
        </c:ser>
        <c:ser>
          <c:idx val="1"/>
          <c:order val="1"/>
          <c:tx>
            <c:strRef>
              <c:f>'Sg(kPa)'!$G$1</c:f>
              <c:strCache>
                <c:ptCount val="1"/>
              </c:strCache>
            </c:strRef>
          </c:tx>
          <c:spPr>
            <a:ln w="25400">
              <a:solidFill>
                <a:schemeClr val="accent3">
                  <a:lumMod val="60000"/>
                  <a:lumOff val="40000"/>
                </a:schemeClr>
              </a:solidFill>
            </a:ln>
          </c:spPr>
          <c:marker>
            <c:symbol val="triangle"/>
            <c:size val="5"/>
            <c:spPr>
              <a:solidFill>
                <a:schemeClr val="accent3">
                  <a:lumMod val="60000"/>
                  <a:lumOff val="40000"/>
                </a:schemeClr>
              </a:solidFill>
              <a:ln>
                <a:solidFill>
                  <a:schemeClr val="accent3">
                    <a:lumMod val="75000"/>
                  </a:schemeClr>
                </a:solidFill>
              </a:ln>
            </c:spPr>
          </c:marker>
          <c:xVal>
            <c:numRef>
              <c:f>'Sg(kPa)'!$A$11:$A$161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'Sg(kPa)'!$K$11:$K$161</c:f>
              <c:numCache>
                <c:formatCode>0.0</c:formatCode>
                <c:ptCount val="151"/>
              </c:numCache>
            </c:numRef>
          </c:yVal>
          <c:smooth val="0"/>
        </c:ser>
        <c:ser>
          <c:idx val="2"/>
          <c:order val="2"/>
          <c:tx>
            <c:strRef>
              <c:f>'Sg(kPa)'!$L$1</c:f>
              <c:strCache>
                <c:ptCount val="1"/>
              </c:strCache>
            </c:strRef>
          </c:tx>
          <c:spPr>
            <a:ln w="25400">
              <a:solidFill>
                <a:schemeClr val="accent2">
                  <a:lumMod val="60000"/>
                  <a:lumOff val="40000"/>
                </a:schemeClr>
              </a:solidFill>
            </a:ln>
          </c:spPr>
          <c:marker>
            <c:symbol val="circle"/>
            <c:size val="4"/>
            <c:spPr>
              <a:solidFill>
                <a:schemeClr val="accent2">
                  <a:lumMod val="75000"/>
                </a:schemeClr>
              </a:solidFill>
              <a:ln>
                <a:solidFill>
                  <a:schemeClr val="accent2">
                    <a:lumMod val="75000"/>
                  </a:schemeClr>
                </a:solidFill>
              </a:ln>
            </c:spPr>
          </c:marker>
          <c:xVal>
            <c:numRef>
              <c:f>'Sg(kPa)'!$A$11:$A$161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'Sg(kPa)'!$P$11:$P$161</c:f>
              <c:numCache>
                <c:formatCode>0.0</c:formatCode>
                <c:ptCount val="151"/>
              </c:numCache>
            </c:numRef>
          </c:yVal>
          <c:smooth val="0"/>
        </c:ser>
        <c:ser>
          <c:idx val="3"/>
          <c:order val="3"/>
          <c:tx>
            <c:strRef>
              <c:f>'Sg(kPa)'!$Q$1</c:f>
              <c:strCache>
                <c:ptCount val="1"/>
              </c:strCache>
            </c:strRef>
          </c:tx>
          <c:spPr>
            <a:ln w="25400">
              <a:solidFill>
                <a:schemeClr val="accent1">
                  <a:lumMod val="60000"/>
                  <a:lumOff val="40000"/>
                </a:schemeClr>
              </a:solidFill>
            </a:ln>
          </c:spPr>
          <c:marker>
            <c:symbol val="x"/>
            <c:size val="5"/>
            <c:spPr>
              <a:noFill/>
              <a:ln>
                <a:solidFill>
                  <a:schemeClr val="accent5">
                    <a:lumMod val="75000"/>
                  </a:schemeClr>
                </a:solidFill>
              </a:ln>
            </c:spPr>
          </c:marker>
          <c:xVal>
            <c:numRef>
              <c:f>'Sg(kPa)'!$A$11:$A$161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'Sg(kPa)'!$U$11:$U$161</c:f>
              <c:numCache>
                <c:formatCode>0.0</c:formatCode>
                <c:ptCount val="151"/>
              </c:numCache>
            </c:numRef>
          </c:yVal>
          <c:smooth val="0"/>
        </c:ser>
        <c:ser>
          <c:idx val="4"/>
          <c:order val="4"/>
          <c:tx>
            <c:strRef>
              <c:f>'Sg(kPa)'!$V$1:$Y$1</c:f>
              <c:strCache>
                <c:ptCount val="1"/>
              </c:strCache>
            </c:strRef>
          </c:tx>
          <c:spPr>
            <a:ln>
              <a:solidFill>
                <a:schemeClr val="accent6"/>
              </a:solidFill>
            </a:ln>
          </c:spPr>
          <c:marker>
            <c:symbol val="square"/>
            <c:size val="3"/>
            <c:spPr>
              <a:solidFill>
                <a:schemeClr val="accent6">
                  <a:lumMod val="60000"/>
                  <a:lumOff val="40000"/>
                </a:schemeClr>
              </a:solidFill>
              <a:ln>
                <a:solidFill>
                  <a:schemeClr val="accent6">
                    <a:lumMod val="75000"/>
                  </a:schemeClr>
                </a:solidFill>
              </a:ln>
            </c:spPr>
          </c:marker>
          <c:xVal>
            <c:numRef>
              <c:f>'Sg(kPa)'!$A$11:$A$161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'Sg(kPa)'!$Z$11:$Z$161</c:f>
              <c:numCache>
                <c:formatCode>0.0</c:formatCode>
                <c:ptCount val="151"/>
              </c:numCache>
            </c:numRef>
          </c:yVal>
          <c:smooth val="0"/>
        </c:ser>
        <c:ser>
          <c:idx val="5"/>
          <c:order val="5"/>
          <c:tx>
            <c:strRef>
              <c:f>'Sg(kPa)'!$AA$1:$AD$1</c:f>
              <c:strCache>
                <c:ptCount val="1"/>
              </c:strCache>
            </c:strRef>
          </c:tx>
          <c:spPr>
            <a:ln w="25400">
              <a:solidFill>
                <a:srgbClr val="CCC1DA"/>
              </a:solidFill>
            </a:ln>
          </c:spPr>
          <c:marker>
            <c:symbol val="star"/>
            <c:size val="5"/>
            <c:spPr>
              <a:noFill/>
              <a:ln>
                <a:solidFill>
                  <a:srgbClr val="8064A2"/>
                </a:solidFill>
              </a:ln>
            </c:spPr>
          </c:marker>
          <c:xVal>
            <c:numRef>
              <c:f>'Sg(kPa)'!$A$11:$A$161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'Sg(kPa)'!$AE$11:$AE$161</c:f>
              <c:numCache>
                <c:formatCode>0.0</c:formatCode>
                <c:ptCount val="151"/>
              </c:numCache>
            </c:numRef>
          </c:yVal>
          <c:smooth val="0"/>
        </c:ser>
        <c:dLbls>
          <c:showLegendKey val="0"/>
          <c:showVal val="0"/>
          <c:showCatName val="0"/>
          <c:showSerName val="0"/>
          <c:showPercent val="0"/>
          <c:showBubbleSize val="0"/>
        </c:dLbls>
        <c:axId val="55108352"/>
        <c:axId val="55110656"/>
      </c:scatterChart>
      <c:valAx>
        <c:axId val="55108352"/>
        <c:scaling>
          <c:orientation val="minMax"/>
          <c:max val="150"/>
          <c:min val="0"/>
        </c:scaling>
        <c:delete val="0"/>
        <c:axPos val="b"/>
        <c:title>
          <c:tx>
            <c:rich>
              <a:bodyPr/>
              <a:lstStyle/>
              <a:p>
                <a:pPr>
                  <a:defRPr sz="1000" b="1" i="0" u="none" strike="noStrike" baseline="0">
                    <a:solidFill>
                      <a:srgbClr val="000000"/>
                    </a:solidFill>
                    <a:latin typeface="Calibri"/>
                    <a:ea typeface="Calibri"/>
                    <a:cs typeface="Calibri"/>
                  </a:defRPr>
                </a:pPr>
                <a:r>
                  <a:rPr lang="en-US"/>
                  <a:t>Gyration</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5110656"/>
        <c:crosses val="autoZero"/>
        <c:crossBetween val="midCat"/>
      </c:valAx>
      <c:valAx>
        <c:axId val="55110656"/>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Sg - kPa</a:t>
                </a:r>
              </a:p>
            </c:rich>
          </c:tx>
          <c:overlay val="0"/>
        </c:title>
        <c:numFmt formatCode="0"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5108352"/>
        <c:crosses val="autoZero"/>
        <c:crossBetween val="midCat"/>
      </c:valAx>
    </c:plotArea>
    <c:legend>
      <c:legendPos val="b"/>
      <c:layout>
        <c:manualLayout>
          <c:xMode val="edge"/>
          <c:yMode val="edge"/>
          <c:x val="6.6471114187649602E-2"/>
          <c:y val="0.92699405835993964"/>
          <c:w val="0.88285206646704351"/>
          <c:h val="3.6575472058711436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Sg (kPa) vs %Gmm</a:t>
            </a:r>
          </a:p>
        </c:rich>
      </c:tx>
      <c:overlay val="0"/>
    </c:title>
    <c:autoTitleDeleted val="0"/>
    <c:plotArea>
      <c:layout>
        <c:manualLayout>
          <c:layoutTarget val="inner"/>
          <c:xMode val="edge"/>
          <c:yMode val="edge"/>
          <c:x val="7.2320117474302503E-2"/>
          <c:y val="0.10486322188449802"/>
          <c:w val="0.87334801762120551"/>
          <c:h val="0.73611190103513202"/>
        </c:manualLayout>
      </c:layout>
      <c:scatterChart>
        <c:scatterStyle val="lineMarker"/>
        <c:varyColors val="0"/>
        <c:ser>
          <c:idx val="0"/>
          <c:order val="0"/>
          <c:tx>
            <c:strRef>
              <c:f>'Sg(kPa)'!$B$1</c:f>
              <c:strCache>
                <c:ptCount val="1"/>
              </c:strCache>
            </c:strRef>
          </c:tx>
          <c:spPr>
            <a:ln>
              <a:solidFill>
                <a:schemeClr val="tx2">
                  <a:lumMod val="75000"/>
                </a:schemeClr>
              </a:solidFill>
            </a:ln>
          </c:spPr>
          <c:marker>
            <c:symbol val="diamond"/>
            <c:size val="5"/>
            <c:spPr>
              <a:solidFill>
                <a:schemeClr val="tx2">
                  <a:lumMod val="60000"/>
                  <a:lumOff val="40000"/>
                </a:schemeClr>
              </a:solidFill>
              <a:ln>
                <a:solidFill>
                  <a:schemeClr val="tx2">
                    <a:lumMod val="75000"/>
                  </a:schemeClr>
                </a:solidFill>
              </a:ln>
            </c:spPr>
          </c:marker>
          <c:xVal>
            <c:numRef>
              <c:f>'%Gmm'!$F$11:$F$161</c:f>
              <c:numCache>
                <c:formatCode>0.00</c:formatCode>
                <c:ptCount val="151"/>
              </c:numCache>
            </c:numRef>
          </c:xVal>
          <c:yVal>
            <c:numRef>
              <c:f>'Sg(kPa)'!$F$11:$F$161</c:f>
              <c:numCache>
                <c:formatCode>0.0</c:formatCode>
                <c:ptCount val="151"/>
              </c:numCache>
            </c:numRef>
          </c:yVal>
          <c:smooth val="0"/>
        </c:ser>
        <c:ser>
          <c:idx val="1"/>
          <c:order val="1"/>
          <c:tx>
            <c:strRef>
              <c:f>'Sg(kPa)'!$G$1</c:f>
              <c:strCache>
                <c:ptCount val="1"/>
              </c:strCache>
            </c:strRef>
          </c:tx>
          <c:spPr>
            <a:ln w="25400">
              <a:solidFill>
                <a:schemeClr val="accent3">
                  <a:lumMod val="60000"/>
                  <a:lumOff val="40000"/>
                </a:schemeClr>
              </a:solidFill>
            </a:ln>
          </c:spPr>
          <c:marker>
            <c:symbol val="triangle"/>
            <c:size val="5"/>
            <c:spPr>
              <a:solidFill>
                <a:schemeClr val="accent3">
                  <a:lumMod val="60000"/>
                  <a:lumOff val="40000"/>
                </a:schemeClr>
              </a:solidFill>
              <a:ln>
                <a:solidFill>
                  <a:schemeClr val="accent3">
                    <a:lumMod val="75000"/>
                  </a:schemeClr>
                </a:solidFill>
              </a:ln>
            </c:spPr>
          </c:marker>
          <c:xVal>
            <c:numRef>
              <c:f>'%Gmm'!$K$11:$K$161</c:f>
              <c:numCache>
                <c:formatCode>0.00</c:formatCode>
                <c:ptCount val="151"/>
              </c:numCache>
            </c:numRef>
          </c:xVal>
          <c:yVal>
            <c:numRef>
              <c:f>'Sg(kPa)'!$K$11:$K$161</c:f>
              <c:numCache>
                <c:formatCode>0.0</c:formatCode>
                <c:ptCount val="151"/>
              </c:numCache>
            </c:numRef>
          </c:yVal>
          <c:smooth val="0"/>
        </c:ser>
        <c:ser>
          <c:idx val="2"/>
          <c:order val="2"/>
          <c:tx>
            <c:strRef>
              <c:f>'Sg(kPa)'!$L$1</c:f>
              <c:strCache>
                <c:ptCount val="1"/>
              </c:strCache>
            </c:strRef>
          </c:tx>
          <c:spPr>
            <a:ln w="25400">
              <a:solidFill>
                <a:schemeClr val="accent2">
                  <a:lumMod val="60000"/>
                  <a:lumOff val="40000"/>
                </a:schemeClr>
              </a:solidFill>
            </a:ln>
          </c:spPr>
          <c:marker>
            <c:symbol val="circle"/>
            <c:size val="4"/>
            <c:spPr>
              <a:solidFill>
                <a:schemeClr val="accent2">
                  <a:lumMod val="75000"/>
                </a:schemeClr>
              </a:solidFill>
              <a:ln>
                <a:solidFill>
                  <a:schemeClr val="accent2">
                    <a:lumMod val="75000"/>
                  </a:schemeClr>
                </a:solidFill>
              </a:ln>
            </c:spPr>
          </c:marker>
          <c:xVal>
            <c:numRef>
              <c:f>'%Gmm'!$P$11:$P$161</c:f>
              <c:numCache>
                <c:formatCode>0.00</c:formatCode>
                <c:ptCount val="151"/>
              </c:numCache>
            </c:numRef>
          </c:xVal>
          <c:yVal>
            <c:numRef>
              <c:f>'Sg(kPa)'!$P$11:$P$161</c:f>
              <c:numCache>
                <c:formatCode>0.0</c:formatCode>
                <c:ptCount val="151"/>
              </c:numCache>
            </c:numRef>
          </c:yVal>
          <c:smooth val="0"/>
        </c:ser>
        <c:ser>
          <c:idx val="3"/>
          <c:order val="3"/>
          <c:tx>
            <c:strRef>
              <c:f>'Sg(kPa)'!$Q$1</c:f>
              <c:strCache>
                <c:ptCount val="1"/>
              </c:strCache>
            </c:strRef>
          </c:tx>
          <c:spPr>
            <a:ln w="25400">
              <a:solidFill>
                <a:schemeClr val="accent1">
                  <a:lumMod val="60000"/>
                  <a:lumOff val="40000"/>
                </a:schemeClr>
              </a:solidFill>
            </a:ln>
          </c:spPr>
          <c:marker>
            <c:symbol val="x"/>
            <c:size val="5"/>
            <c:spPr>
              <a:noFill/>
              <a:ln>
                <a:solidFill>
                  <a:schemeClr val="accent5">
                    <a:lumMod val="75000"/>
                  </a:schemeClr>
                </a:solidFill>
              </a:ln>
            </c:spPr>
          </c:marker>
          <c:xVal>
            <c:numRef>
              <c:f>'%Gmm'!$U$11:$U$161</c:f>
              <c:numCache>
                <c:formatCode>0.00</c:formatCode>
                <c:ptCount val="151"/>
              </c:numCache>
            </c:numRef>
          </c:xVal>
          <c:yVal>
            <c:numRef>
              <c:f>'Sg(kPa)'!$U$11:$U$161</c:f>
              <c:numCache>
                <c:formatCode>0.0</c:formatCode>
                <c:ptCount val="151"/>
              </c:numCache>
            </c:numRef>
          </c:yVal>
          <c:smooth val="0"/>
        </c:ser>
        <c:ser>
          <c:idx val="4"/>
          <c:order val="4"/>
          <c:tx>
            <c:strRef>
              <c:f>'Sg(kPa)'!$V$1:$Y$1</c:f>
              <c:strCache>
                <c:ptCount val="1"/>
              </c:strCache>
            </c:strRef>
          </c:tx>
          <c:spPr>
            <a:ln>
              <a:solidFill>
                <a:schemeClr val="accent6"/>
              </a:solidFill>
            </a:ln>
          </c:spPr>
          <c:marker>
            <c:symbol val="square"/>
            <c:size val="3"/>
            <c:spPr>
              <a:solidFill>
                <a:schemeClr val="accent6">
                  <a:lumMod val="60000"/>
                  <a:lumOff val="40000"/>
                </a:schemeClr>
              </a:solidFill>
              <a:ln>
                <a:solidFill>
                  <a:schemeClr val="accent6">
                    <a:lumMod val="75000"/>
                  </a:schemeClr>
                </a:solidFill>
              </a:ln>
            </c:spPr>
          </c:marker>
          <c:xVal>
            <c:numRef>
              <c:f>'%Gmm'!$Z$11:$Z$161</c:f>
              <c:numCache>
                <c:formatCode>0.00</c:formatCode>
                <c:ptCount val="151"/>
              </c:numCache>
            </c:numRef>
          </c:xVal>
          <c:yVal>
            <c:numRef>
              <c:f>'Sg(kPa)'!$Z$11:$Z$161</c:f>
              <c:numCache>
                <c:formatCode>0.0</c:formatCode>
                <c:ptCount val="151"/>
              </c:numCache>
            </c:numRef>
          </c:yVal>
          <c:smooth val="0"/>
        </c:ser>
        <c:ser>
          <c:idx val="5"/>
          <c:order val="5"/>
          <c:tx>
            <c:strRef>
              <c:f>'Sg(kPa)'!$AA$1:$AD$1</c:f>
              <c:strCache>
                <c:ptCount val="1"/>
              </c:strCache>
            </c:strRef>
          </c:tx>
          <c:spPr>
            <a:ln w="25400">
              <a:solidFill>
                <a:srgbClr val="CCC1DA"/>
              </a:solidFill>
            </a:ln>
          </c:spPr>
          <c:marker>
            <c:symbol val="star"/>
            <c:size val="5"/>
            <c:spPr>
              <a:noFill/>
              <a:ln>
                <a:solidFill>
                  <a:srgbClr val="8064A2"/>
                </a:solidFill>
              </a:ln>
            </c:spPr>
          </c:marker>
          <c:xVal>
            <c:numRef>
              <c:f>'%Gmm'!$AE$11:$AE$161</c:f>
              <c:numCache>
                <c:formatCode>0.00</c:formatCode>
                <c:ptCount val="151"/>
              </c:numCache>
            </c:numRef>
          </c:xVal>
          <c:yVal>
            <c:numRef>
              <c:f>'Sg(kPa)'!$AE$11:$AE$161</c:f>
              <c:numCache>
                <c:formatCode>0.0</c:formatCode>
                <c:ptCount val="151"/>
              </c:numCache>
            </c:numRef>
          </c:yVal>
          <c:smooth val="0"/>
        </c:ser>
        <c:dLbls>
          <c:showLegendKey val="0"/>
          <c:showVal val="0"/>
          <c:showCatName val="0"/>
          <c:showSerName val="0"/>
          <c:showPercent val="0"/>
          <c:showBubbleSize val="0"/>
        </c:dLbls>
        <c:axId val="51577216"/>
        <c:axId val="51579520"/>
      </c:scatterChart>
      <c:valAx>
        <c:axId val="51577216"/>
        <c:scaling>
          <c:orientation val="minMax"/>
          <c:max val="100"/>
          <c:min val="75"/>
        </c:scaling>
        <c:delete val="0"/>
        <c:axPos val="b"/>
        <c:title>
          <c:tx>
            <c:rich>
              <a:bodyPr/>
              <a:lstStyle/>
              <a:p>
                <a:pPr>
                  <a:defRPr sz="1000" b="1" i="0" u="none" strike="noStrike" baseline="0">
                    <a:solidFill>
                      <a:srgbClr val="000000"/>
                    </a:solidFill>
                    <a:latin typeface="Calibri"/>
                    <a:ea typeface="Calibri"/>
                    <a:cs typeface="Calibri"/>
                  </a:defRPr>
                </a:pPr>
                <a:r>
                  <a:rPr lang="en-US"/>
                  <a:t>%Gmm</a:t>
                </a:r>
              </a:p>
            </c:rich>
          </c:tx>
          <c:overlay val="0"/>
        </c:title>
        <c:numFmt formatCode="0.00"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579520"/>
        <c:crosses val="autoZero"/>
        <c:crossBetween val="midCat"/>
      </c:valAx>
      <c:valAx>
        <c:axId val="51579520"/>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Sg - kPa</a:t>
                </a:r>
              </a:p>
            </c:rich>
          </c:tx>
          <c:overlay val="0"/>
        </c:title>
        <c:numFmt formatCode="0"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577216"/>
        <c:crosses val="autoZero"/>
        <c:crossBetween val="midCat"/>
      </c:valAx>
    </c:plotArea>
    <c:legend>
      <c:legendPos val="b"/>
      <c:layout>
        <c:manualLayout>
          <c:xMode val="edge"/>
          <c:yMode val="edge"/>
          <c:x val="6.6471165725684345E-2"/>
          <c:y val="0.92699405835993964"/>
          <c:w val="0.8843192026172787"/>
          <c:h val="3.6575472058711436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0" i="0" u="none" strike="noStrike" spc="-200" baseline="0">
                <a:effectLst/>
              </a:rPr>
              <a:t>NSI = </a:t>
            </a:r>
            <a:r>
              <a:rPr lang="en-US" sz="1800" b="0" i="0" u="none" strike="noStrike" spc="-200" baseline="-50000">
                <a:effectLst/>
              </a:rPr>
              <a:t>N=2</a:t>
            </a:r>
            <a:r>
              <a:rPr lang="el-GR" sz="2400" b="0" i="0" u="none" strike="noStrike" baseline="0">
                <a:effectLst/>
              </a:rPr>
              <a:t>∑</a:t>
            </a:r>
            <a:r>
              <a:rPr lang="en-US" sz="1800" b="0" i="0" u="none" strike="noStrike" spc="-200" baseline="80000">
                <a:effectLst/>
              </a:rPr>
              <a:t>N92 </a:t>
            </a:r>
            <a:r>
              <a:rPr lang="en-US"/>
              <a:t>Sg</a:t>
            </a:r>
            <a:r>
              <a:rPr lang="en-US" baseline="-25000"/>
              <a:t>norm</a:t>
            </a:r>
          </a:p>
        </c:rich>
      </c:tx>
      <c:layout>
        <c:manualLayout>
          <c:xMode val="edge"/>
          <c:yMode val="edge"/>
          <c:x val="0.40869434124431631"/>
          <c:y val="1.8516518869607607E-2"/>
        </c:manualLayout>
      </c:layout>
      <c:overlay val="1"/>
    </c:title>
    <c:autoTitleDeleted val="0"/>
    <c:plotArea>
      <c:layout>
        <c:manualLayout>
          <c:layoutTarget val="inner"/>
          <c:xMode val="edge"/>
          <c:yMode val="edge"/>
          <c:x val="8.5969210934900703E-2"/>
          <c:y val="9.4351699666182565E-2"/>
          <c:w val="0.87529933758284451"/>
          <c:h val="0.79257312621775156"/>
        </c:manualLayout>
      </c:layout>
      <c:barChart>
        <c:barDir val="col"/>
        <c:grouping val="clustered"/>
        <c:varyColors val="0"/>
        <c:ser>
          <c:idx val="0"/>
          <c:order val="0"/>
          <c:tx>
            <c:strRef>
              <c:f>'Normalized Sg'!$B$1:$E$1</c:f>
              <c:strCache>
                <c:ptCount val="1"/>
              </c:strCache>
            </c:strRef>
          </c:tx>
          <c:spPr>
            <a:solidFill>
              <a:schemeClr val="tx2">
                <a:lumMod val="40000"/>
                <a:lumOff val="6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'Normalized Sg'!$F$6</c:f>
                <c:numCache>
                  <c:formatCode>General</c:formatCode>
                  <c:ptCount val="1"/>
                </c:numCache>
              </c:numRef>
            </c:plus>
            <c:minus>
              <c:numRef>
                <c:f>'Normalized Sg'!$F$6</c:f>
                <c:numCache>
                  <c:formatCode>General</c:formatCode>
                  <c:ptCount val="1"/>
                </c:numCache>
              </c:numRef>
            </c:minus>
            <c:spPr>
              <a:ln w="15875"/>
            </c:spPr>
          </c:errBars>
          <c:val>
            <c:numRef>
              <c:f>'Normalized Sg'!$F$7</c:f>
              <c:numCache>
                <c:formatCode>\x\̅\ 0.00</c:formatCode>
                <c:ptCount val="1"/>
              </c:numCache>
            </c:numRef>
          </c:val>
        </c:ser>
        <c:ser>
          <c:idx val="1"/>
          <c:order val="1"/>
          <c:tx>
            <c:strRef>
              <c:f>'Normalized Sg'!$G$1:$J$1</c:f>
              <c:strCache>
                <c:ptCount val="1"/>
              </c:strCache>
            </c:strRef>
          </c:tx>
          <c:spPr>
            <a:solidFill>
              <a:schemeClr val="accent3">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'Normalized Sg'!$K$6</c:f>
                <c:numCache>
                  <c:formatCode>General</c:formatCode>
                  <c:ptCount val="1"/>
                </c:numCache>
              </c:numRef>
            </c:plus>
            <c:minus>
              <c:numRef>
                <c:f>'Normalized Sg'!$K$6</c:f>
                <c:numCache>
                  <c:formatCode>General</c:formatCode>
                  <c:ptCount val="1"/>
                </c:numCache>
              </c:numRef>
            </c:minus>
            <c:spPr>
              <a:ln w="15875" cap="rnd"/>
            </c:spPr>
          </c:errBars>
          <c:val>
            <c:numRef>
              <c:f>'Normalized Sg'!$K$7</c:f>
              <c:numCache>
                <c:formatCode>\x\̅\ 0.00</c:formatCode>
                <c:ptCount val="1"/>
              </c:numCache>
            </c:numRef>
          </c:val>
        </c:ser>
        <c:ser>
          <c:idx val="2"/>
          <c:order val="2"/>
          <c:tx>
            <c:strRef>
              <c:f>'Normalized Sg'!$L$1:$O$1</c:f>
              <c:strCache>
                <c:ptCount val="1"/>
              </c:strCache>
            </c:strRef>
          </c:tx>
          <c:spPr>
            <a:solidFill>
              <a:schemeClr val="accent2">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'Normalized Sg'!$P$6</c:f>
                <c:numCache>
                  <c:formatCode>General</c:formatCode>
                  <c:ptCount val="1"/>
                </c:numCache>
              </c:numRef>
            </c:plus>
            <c:minus>
              <c:numRef>
                <c:f>'Normalized Sg'!$P$6</c:f>
                <c:numCache>
                  <c:formatCode>General</c:formatCode>
                  <c:ptCount val="1"/>
                </c:numCache>
              </c:numRef>
            </c:minus>
            <c:spPr>
              <a:ln w="15875"/>
            </c:spPr>
          </c:errBars>
          <c:val>
            <c:numRef>
              <c:f>'Normalized Sg'!$P$7</c:f>
              <c:numCache>
                <c:formatCode>\x\̅\ 0.00</c:formatCode>
                <c:ptCount val="1"/>
              </c:numCache>
            </c:numRef>
          </c:val>
        </c:ser>
        <c:ser>
          <c:idx val="3"/>
          <c:order val="3"/>
          <c:tx>
            <c:strRef>
              <c:f>'Normalized Sg'!$Q$1:$T$1</c:f>
              <c:strCache>
                <c:ptCount val="1"/>
              </c:strCache>
            </c:strRef>
          </c:tx>
          <c:spPr>
            <a:solidFill>
              <a:schemeClr val="accent5">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'Normalized Sg'!$U$6</c:f>
                <c:numCache>
                  <c:formatCode>General</c:formatCode>
                  <c:ptCount val="1"/>
                </c:numCache>
              </c:numRef>
            </c:plus>
            <c:minus>
              <c:numRef>
                <c:f>'Normalized Sg'!$U$6</c:f>
                <c:numCache>
                  <c:formatCode>General</c:formatCode>
                  <c:ptCount val="1"/>
                </c:numCache>
              </c:numRef>
            </c:minus>
            <c:spPr>
              <a:ln w="15875"/>
            </c:spPr>
          </c:errBars>
          <c:val>
            <c:numRef>
              <c:f>'Normalized Sg'!$U$7</c:f>
              <c:numCache>
                <c:formatCode>\x\̅\ 0.00</c:formatCode>
                <c:ptCount val="1"/>
              </c:numCache>
            </c:numRef>
          </c:val>
        </c:ser>
        <c:ser>
          <c:idx val="4"/>
          <c:order val="4"/>
          <c:tx>
            <c:strRef>
              <c:f>'Normalized Sg'!$V$1:$Y$1</c:f>
              <c:strCache>
                <c:ptCount val="1"/>
              </c:strCache>
            </c:strRef>
          </c:tx>
          <c:spPr>
            <a:solidFill>
              <a:schemeClr val="accent6">
                <a:lumMod val="60000"/>
                <a:lumOff val="40000"/>
              </a:schemeClr>
            </a:solidFill>
            <a:ln>
              <a:solidFill>
                <a:schemeClr val="tx1"/>
              </a:solidFill>
            </a:ln>
          </c:spPr>
          <c:invertIfNegative val="0"/>
          <c:dLbls>
            <c:dLbl>
              <c:idx val="0"/>
              <c:spPr/>
              <c:txPr>
                <a:bodyPr rot="-5400000" vert="horz"/>
                <a:lstStyle/>
                <a:p>
                  <a:pPr>
                    <a:defRPr/>
                  </a:pPr>
                  <a:endParaRPr lang="en-US"/>
                </a:p>
              </c:txPr>
              <c:dLblPos val="ctr"/>
              <c:showLegendKey val="0"/>
              <c:showVal val="1"/>
              <c:showCatName val="0"/>
              <c:showSerName val="1"/>
              <c:showPercent val="0"/>
              <c:showBubbleSize val="0"/>
              <c:separator>
</c:separator>
            </c:dLbl>
            <c:showLegendKey val="0"/>
            <c:showVal val="1"/>
            <c:showCatName val="0"/>
            <c:showSerName val="0"/>
            <c:showPercent val="0"/>
            <c:showBubbleSize val="0"/>
            <c:showLeaderLines val="0"/>
          </c:dLbls>
          <c:errBars>
            <c:errBarType val="both"/>
            <c:errValType val="cust"/>
            <c:noEndCap val="0"/>
            <c:plus>
              <c:numRef>
                <c:f>'Normalized Sg'!$Z$6</c:f>
                <c:numCache>
                  <c:formatCode>General</c:formatCode>
                  <c:ptCount val="1"/>
                </c:numCache>
              </c:numRef>
            </c:plus>
            <c:minus>
              <c:numRef>
                <c:f>'Normalized Sg'!$Z$6</c:f>
                <c:numCache>
                  <c:formatCode>General</c:formatCode>
                  <c:ptCount val="1"/>
                </c:numCache>
              </c:numRef>
            </c:minus>
            <c:spPr>
              <a:ln w="15875">
                <a:solidFill>
                  <a:schemeClr val="tx1"/>
                </a:solidFill>
              </a:ln>
            </c:spPr>
          </c:errBars>
          <c:val>
            <c:numRef>
              <c:f>'Normalized Sg'!$Z$7</c:f>
              <c:numCache>
                <c:formatCode>\x\̅\ 0.00</c:formatCode>
                <c:ptCount val="1"/>
              </c:numCache>
            </c:numRef>
          </c:val>
        </c:ser>
        <c:ser>
          <c:idx val="5"/>
          <c:order val="5"/>
          <c:tx>
            <c:strRef>
              <c:f>'Normalized Sg'!$AA$1:$AD$1</c:f>
              <c:strCache>
                <c:ptCount val="1"/>
              </c:strCache>
            </c:strRef>
          </c:tx>
          <c:spPr>
            <a:solidFill>
              <a:schemeClr val="accent4">
                <a:lumMod val="40000"/>
                <a:lumOff val="6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'Normalized Sg'!$AE$6</c:f>
                <c:numCache>
                  <c:formatCode>General</c:formatCode>
                  <c:ptCount val="1"/>
                </c:numCache>
              </c:numRef>
            </c:plus>
            <c:minus>
              <c:numRef>
                <c:f>'Normalized Sg'!$AE$6</c:f>
                <c:numCache>
                  <c:formatCode>General</c:formatCode>
                  <c:ptCount val="1"/>
                </c:numCache>
              </c:numRef>
            </c:minus>
            <c:spPr>
              <a:ln w="15875"/>
            </c:spPr>
          </c:errBars>
          <c:val>
            <c:numRef>
              <c:f>'Normalized Sg'!$AE$7</c:f>
              <c:numCache>
                <c:formatCode>\x\̅\ 0.00</c:formatCode>
                <c:ptCount val="1"/>
              </c:numCache>
            </c:numRef>
          </c:val>
        </c:ser>
        <c:dLbls>
          <c:showLegendKey val="0"/>
          <c:showVal val="1"/>
          <c:showCatName val="0"/>
          <c:showSerName val="0"/>
          <c:showPercent val="0"/>
          <c:showBubbleSize val="0"/>
        </c:dLbls>
        <c:gapWidth val="150"/>
        <c:overlap val="-20"/>
        <c:axId val="148834176"/>
        <c:axId val="148835712"/>
      </c:barChart>
      <c:catAx>
        <c:axId val="148834176"/>
        <c:scaling>
          <c:orientation val="minMax"/>
        </c:scaling>
        <c:delete val="1"/>
        <c:axPos val="b"/>
        <c:majorTickMark val="out"/>
        <c:minorTickMark val="none"/>
        <c:tickLblPos val="none"/>
        <c:crossAx val="148835712"/>
        <c:crosses val="autoZero"/>
        <c:auto val="0"/>
        <c:lblAlgn val="ctr"/>
        <c:lblOffset val="100"/>
        <c:noMultiLvlLbl val="0"/>
      </c:catAx>
      <c:valAx>
        <c:axId val="148835712"/>
        <c:scaling>
          <c:orientation val="minMax"/>
          <c:min val="0"/>
        </c:scaling>
        <c:delete val="0"/>
        <c:axPos val="l"/>
        <c:majorGridlines/>
        <c:numFmt formatCode="#,##0" sourceLinked="0"/>
        <c:majorTickMark val="out"/>
        <c:minorTickMark val="none"/>
        <c:tickLblPos val="nextTo"/>
        <c:crossAx val="148834176"/>
        <c:crosses val="autoZero"/>
        <c:crossBetween val="between"/>
      </c:valAx>
    </c:plotArea>
    <c:legend>
      <c:legendPos val="r"/>
      <c:layout>
        <c:manualLayout>
          <c:xMode val="edge"/>
          <c:yMode val="edge"/>
          <c:x val="8.0723101733762168E-2"/>
          <c:y val="0.92484646943403914"/>
          <c:w val="0.8874625706997894"/>
          <c:h val="4.2791071019036023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Sg</a:t>
            </a:r>
            <a:r>
              <a:rPr lang="en-US" baseline="-25000"/>
              <a:t>norm</a:t>
            </a:r>
            <a:r>
              <a:rPr lang="en-US"/>
              <a:t> = Sg/Sg</a:t>
            </a:r>
            <a:r>
              <a:rPr lang="en-US" baseline="-25000"/>
              <a:t>max</a:t>
            </a:r>
            <a:r>
              <a:rPr lang="en-US"/>
              <a:t>  </a:t>
            </a:r>
            <a:r>
              <a:rPr lang="en-US" baseline="0"/>
              <a:t>vs. </a:t>
            </a:r>
            <a:r>
              <a:rPr lang="en-US" sz="1800" b="1" i="0" u="none" strike="noStrike" baseline="0">
                <a:effectLst/>
              </a:rPr>
              <a:t>Gyration (Log</a:t>
            </a:r>
            <a:r>
              <a:rPr lang="en-US" sz="1800" b="1" i="0" u="none" strike="noStrike" baseline="-25000">
                <a:effectLst/>
              </a:rPr>
              <a:t>10</a:t>
            </a:r>
            <a:r>
              <a:rPr lang="en-US" sz="1800" b="1" i="0" u="none" strike="noStrike" baseline="0">
                <a:effectLst/>
              </a:rPr>
              <a:t> Scale)</a:t>
            </a:r>
            <a:endParaRPr lang="en-US"/>
          </a:p>
        </c:rich>
      </c:tx>
      <c:overlay val="0"/>
    </c:title>
    <c:autoTitleDeleted val="0"/>
    <c:plotArea>
      <c:layout>
        <c:manualLayout>
          <c:layoutTarget val="inner"/>
          <c:xMode val="edge"/>
          <c:yMode val="edge"/>
          <c:x val="0.10017736769687373"/>
          <c:y val="0.10486322188449802"/>
          <c:w val="0.86453744493391849"/>
          <c:h val="0.73813329245878712"/>
        </c:manualLayout>
      </c:layout>
      <c:scatterChart>
        <c:scatterStyle val="lineMarker"/>
        <c:varyColors val="0"/>
        <c:ser>
          <c:idx val="0"/>
          <c:order val="0"/>
          <c:tx>
            <c:strRef>
              <c:f>'Normalized Sg'!$B$1</c:f>
              <c:strCache>
                <c:ptCount val="1"/>
              </c:strCache>
            </c:strRef>
          </c:tx>
          <c:spPr>
            <a:ln>
              <a:solidFill>
                <a:schemeClr val="tx2">
                  <a:lumMod val="75000"/>
                </a:schemeClr>
              </a:solidFill>
            </a:ln>
          </c:spPr>
          <c:marker>
            <c:symbol val="diamond"/>
            <c:size val="5"/>
            <c:spPr>
              <a:solidFill>
                <a:schemeClr val="tx2">
                  <a:lumMod val="60000"/>
                  <a:lumOff val="40000"/>
                </a:schemeClr>
              </a:solidFill>
              <a:ln>
                <a:solidFill>
                  <a:schemeClr val="tx2">
                    <a:lumMod val="75000"/>
                  </a:schemeClr>
                </a:solidFill>
              </a:ln>
            </c:spPr>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Sg'!$F$11:$F$161</c:f>
              <c:numCache>
                <c:formatCode>0.000</c:formatCode>
                <c:ptCount val="151"/>
              </c:numCache>
            </c:numRef>
          </c:yVal>
          <c:smooth val="0"/>
        </c:ser>
        <c:ser>
          <c:idx val="1"/>
          <c:order val="1"/>
          <c:tx>
            <c:strRef>
              <c:f>'Normalized Sg'!$G$1</c:f>
              <c:strCache>
                <c:ptCount val="1"/>
              </c:strCache>
            </c:strRef>
          </c:tx>
          <c:spPr>
            <a:ln w="25400">
              <a:solidFill>
                <a:schemeClr val="accent3">
                  <a:lumMod val="60000"/>
                  <a:lumOff val="40000"/>
                </a:schemeClr>
              </a:solidFill>
            </a:ln>
          </c:spPr>
          <c:marker>
            <c:symbol val="triangle"/>
            <c:size val="5"/>
            <c:spPr>
              <a:solidFill>
                <a:schemeClr val="accent3">
                  <a:lumMod val="60000"/>
                  <a:lumOff val="40000"/>
                </a:schemeClr>
              </a:solidFill>
              <a:ln>
                <a:solidFill>
                  <a:schemeClr val="accent3">
                    <a:lumMod val="75000"/>
                  </a:schemeClr>
                </a:solidFill>
              </a:ln>
            </c:spPr>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Sg'!$K$11:$K$161</c:f>
              <c:numCache>
                <c:formatCode>0.000</c:formatCode>
                <c:ptCount val="151"/>
              </c:numCache>
            </c:numRef>
          </c:yVal>
          <c:smooth val="0"/>
        </c:ser>
        <c:ser>
          <c:idx val="2"/>
          <c:order val="2"/>
          <c:tx>
            <c:strRef>
              <c:f>'Normalized Sg'!$L$1</c:f>
              <c:strCache>
                <c:ptCount val="1"/>
              </c:strCache>
            </c:strRef>
          </c:tx>
          <c:spPr>
            <a:ln w="25400">
              <a:solidFill>
                <a:schemeClr val="accent2">
                  <a:lumMod val="60000"/>
                  <a:lumOff val="40000"/>
                </a:schemeClr>
              </a:solidFill>
            </a:ln>
          </c:spPr>
          <c:marker>
            <c:symbol val="circle"/>
            <c:size val="4"/>
            <c:spPr>
              <a:solidFill>
                <a:schemeClr val="accent2">
                  <a:lumMod val="75000"/>
                </a:schemeClr>
              </a:solidFill>
              <a:ln>
                <a:solidFill>
                  <a:schemeClr val="accent2">
                    <a:lumMod val="75000"/>
                  </a:schemeClr>
                </a:solidFill>
              </a:ln>
            </c:spPr>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Sg'!$P$11:$P$161</c:f>
              <c:numCache>
                <c:formatCode>0.000</c:formatCode>
                <c:ptCount val="151"/>
              </c:numCache>
            </c:numRef>
          </c:yVal>
          <c:smooth val="0"/>
        </c:ser>
        <c:ser>
          <c:idx val="3"/>
          <c:order val="3"/>
          <c:tx>
            <c:strRef>
              <c:f>'Normalized Sg'!$Q$1</c:f>
              <c:strCache>
                <c:ptCount val="1"/>
              </c:strCache>
            </c:strRef>
          </c:tx>
          <c:spPr>
            <a:ln w="25400">
              <a:solidFill>
                <a:schemeClr val="accent1">
                  <a:lumMod val="60000"/>
                  <a:lumOff val="40000"/>
                </a:schemeClr>
              </a:solidFill>
            </a:ln>
          </c:spPr>
          <c:marker>
            <c:symbol val="x"/>
            <c:size val="5"/>
            <c:spPr>
              <a:noFill/>
              <a:ln>
                <a:solidFill>
                  <a:schemeClr val="accent5">
                    <a:lumMod val="75000"/>
                  </a:schemeClr>
                </a:solidFill>
              </a:ln>
            </c:spPr>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Sg'!$U$11:$U$161</c:f>
              <c:numCache>
                <c:formatCode>0.000</c:formatCode>
                <c:ptCount val="151"/>
              </c:numCache>
            </c:numRef>
          </c:yVal>
          <c:smooth val="0"/>
        </c:ser>
        <c:ser>
          <c:idx val="4"/>
          <c:order val="4"/>
          <c:tx>
            <c:strRef>
              <c:f>'Normalized Sg'!$V$1:$Y$1</c:f>
              <c:strCache>
                <c:ptCount val="1"/>
              </c:strCache>
            </c:strRef>
          </c:tx>
          <c:spPr>
            <a:ln>
              <a:solidFill>
                <a:schemeClr val="accent6"/>
              </a:solidFill>
            </a:ln>
          </c:spPr>
          <c:marker>
            <c:symbol val="square"/>
            <c:size val="3"/>
            <c:spPr>
              <a:solidFill>
                <a:schemeClr val="accent6">
                  <a:lumMod val="60000"/>
                  <a:lumOff val="40000"/>
                </a:schemeClr>
              </a:solidFill>
              <a:ln>
                <a:solidFill>
                  <a:schemeClr val="accent6">
                    <a:lumMod val="75000"/>
                  </a:schemeClr>
                </a:solidFill>
              </a:ln>
            </c:spPr>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Sg'!$Z$11:$Z$161</c:f>
              <c:numCache>
                <c:formatCode>0.000</c:formatCode>
                <c:ptCount val="151"/>
              </c:numCache>
            </c:numRef>
          </c:yVal>
          <c:smooth val="0"/>
        </c:ser>
        <c:ser>
          <c:idx val="5"/>
          <c:order val="5"/>
          <c:tx>
            <c:strRef>
              <c:f>'Normalized Sg'!$AA$1:$AD$1</c:f>
              <c:strCache>
                <c:ptCount val="1"/>
              </c:strCache>
            </c:strRef>
          </c:tx>
          <c:spPr>
            <a:ln w="25400">
              <a:solidFill>
                <a:srgbClr val="CCC1DA"/>
              </a:solidFill>
            </a:ln>
          </c:spPr>
          <c:marker>
            <c:symbol val="star"/>
            <c:size val="5"/>
            <c:spPr>
              <a:noFill/>
              <a:ln>
                <a:solidFill>
                  <a:srgbClr val="8064A2"/>
                </a:solidFill>
              </a:ln>
            </c:spPr>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Sg'!$AE$11:$AE$161</c:f>
              <c:numCache>
                <c:formatCode>0.000</c:formatCode>
                <c:ptCount val="151"/>
              </c:numCache>
            </c:numRef>
          </c:yVal>
          <c:smooth val="0"/>
        </c:ser>
        <c:dLbls>
          <c:showLegendKey val="0"/>
          <c:showVal val="0"/>
          <c:showCatName val="0"/>
          <c:showSerName val="0"/>
          <c:showPercent val="0"/>
          <c:showBubbleSize val="0"/>
        </c:dLbls>
        <c:axId val="148722048"/>
        <c:axId val="148896768"/>
      </c:scatterChart>
      <c:valAx>
        <c:axId val="148722048"/>
        <c:scaling>
          <c:logBase val="10"/>
          <c:orientation val="minMax"/>
          <c:max val="150"/>
          <c:min val="1"/>
        </c:scaling>
        <c:delete val="0"/>
        <c:axPos val="b"/>
        <c:title>
          <c:tx>
            <c:rich>
              <a:bodyPr/>
              <a:lstStyle/>
              <a:p>
                <a:pPr>
                  <a:defRPr sz="1000" b="1" i="0" u="none" strike="noStrike" baseline="0">
                    <a:solidFill>
                      <a:srgbClr val="000000"/>
                    </a:solidFill>
                    <a:latin typeface="Calibri"/>
                    <a:ea typeface="Calibri"/>
                    <a:cs typeface="Calibri"/>
                  </a:defRPr>
                </a:pPr>
                <a:r>
                  <a:rPr lang="en-US" sz="1100" b="1" i="0" baseline="0"/>
                  <a:t>Gyration (Log</a:t>
                </a:r>
                <a:r>
                  <a:rPr lang="en-US" sz="1100" b="1" i="0" baseline="-25000"/>
                  <a:t>10</a:t>
                </a:r>
                <a:r>
                  <a:rPr lang="en-US" sz="1100" b="1" i="0" baseline="0"/>
                  <a:t> Scale)</a:t>
                </a:r>
                <a:endParaRPr lang="en-US" sz="1100"/>
              </a:p>
            </c:rich>
          </c:tx>
          <c:layout>
            <c:manualLayout>
              <c:xMode val="edge"/>
              <c:yMode val="edge"/>
              <c:x val="0.41444424420538989"/>
              <c:y val="0.88355407333791958"/>
            </c:manualLayout>
          </c:layout>
          <c:overlay val="0"/>
        </c:title>
        <c:numFmt formatCode="General" sourceLinked="1"/>
        <c:majorTickMark val="cross"/>
        <c:minorTickMark val="out"/>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48896768"/>
        <c:crosses val="autoZero"/>
        <c:crossBetween val="midCat"/>
        <c:minorUnit val="10"/>
      </c:valAx>
      <c:valAx>
        <c:axId val="148896768"/>
        <c:scaling>
          <c:orientation val="minMax"/>
          <c:max val="1"/>
          <c:min val="0.5"/>
        </c:scaling>
        <c:delete val="0"/>
        <c:axPos val="l"/>
        <c:majorGridlines/>
        <c:numFmt formatCode="0.0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48722048"/>
        <c:crosses val="autoZero"/>
        <c:crossBetween val="midCat"/>
      </c:valAx>
    </c:plotArea>
    <c:legend>
      <c:legendPos val="b"/>
      <c:layout>
        <c:manualLayout>
          <c:xMode val="edge"/>
          <c:yMode val="edge"/>
          <c:x val="9.5843478990991868E-2"/>
          <c:y val="0.93100091900036031"/>
          <c:w val="0.86964784111493165"/>
          <c:h val="3.6575472058711436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Sg</a:t>
            </a:r>
            <a:r>
              <a:rPr lang="en-US" baseline="-25000"/>
              <a:t>norm</a:t>
            </a:r>
            <a:r>
              <a:rPr lang="en-US"/>
              <a:t> = Sg/Sg</a:t>
            </a:r>
            <a:r>
              <a:rPr lang="en-US" baseline="-25000"/>
              <a:t>max</a:t>
            </a:r>
            <a:r>
              <a:rPr lang="en-US"/>
              <a:t>  </a:t>
            </a:r>
            <a:r>
              <a:rPr lang="en-US" baseline="0"/>
              <a:t>vs. </a:t>
            </a:r>
            <a:r>
              <a:rPr lang="en-US" sz="1800" b="1" i="0" u="none" strike="noStrike" baseline="0">
                <a:effectLst/>
              </a:rPr>
              <a:t>%G</a:t>
            </a:r>
            <a:r>
              <a:rPr lang="en-US" sz="1800" b="1" i="0" u="none" strike="noStrike" baseline="-25000">
                <a:effectLst/>
              </a:rPr>
              <a:t>mm</a:t>
            </a:r>
            <a:endParaRPr lang="en-US" baseline="-25000"/>
          </a:p>
        </c:rich>
      </c:tx>
      <c:overlay val="0"/>
    </c:title>
    <c:autoTitleDeleted val="0"/>
    <c:plotArea>
      <c:layout>
        <c:manualLayout>
          <c:layoutTarget val="inner"/>
          <c:xMode val="edge"/>
          <c:yMode val="edge"/>
          <c:x val="0.10017736769687373"/>
          <c:y val="0.10486322188449802"/>
          <c:w val="0.86453744493391849"/>
          <c:h val="0.73813329245878712"/>
        </c:manualLayout>
      </c:layout>
      <c:scatterChart>
        <c:scatterStyle val="lineMarker"/>
        <c:varyColors val="0"/>
        <c:ser>
          <c:idx val="0"/>
          <c:order val="0"/>
          <c:tx>
            <c:strRef>
              <c:f>'Normalized Sg'!$B$1</c:f>
              <c:strCache>
                <c:ptCount val="1"/>
              </c:strCache>
            </c:strRef>
          </c:tx>
          <c:spPr>
            <a:ln>
              <a:solidFill>
                <a:schemeClr val="tx2">
                  <a:lumMod val="75000"/>
                </a:schemeClr>
              </a:solidFill>
            </a:ln>
          </c:spPr>
          <c:marker>
            <c:symbol val="diamond"/>
            <c:size val="5"/>
            <c:spPr>
              <a:solidFill>
                <a:schemeClr val="tx2">
                  <a:lumMod val="60000"/>
                  <a:lumOff val="40000"/>
                </a:schemeClr>
              </a:solidFill>
              <a:ln>
                <a:solidFill>
                  <a:schemeClr val="tx2">
                    <a:lumMod val="75000"/>
                  </a:schemeClr>
                </a:solidFill>
              </a:ln>
            </c:spPr>
          </c:marker>
          <c:xVal>
            <c:numRef>
              <c:f>'%Gmm'!$F$11:$F$161</c:f>
              <c:numCache>
                <c:formatCode>0.00</c:formatCode>
                <c:ptCount val="151"/>
              </c:numCache>
            </c:numRef>
          </c:xVal>
          <c:yVal>
            <c:numRef>
              <c:f>'Normalized Sg'!$F$11:$F$161</c:f>
              <c:numCache>
                <c:formatCode>0.000</c:formatCode>
                <c:ptCount val="151"/>
              </c:numCache>
            </c:numRef>
          </c:yVal>
          <c:smooth val="0"/>
        </c:ser>
        <c:ser>
          <c:idx val="1"/>
          <c:order val="1"/>
          <c:tx>
            <c:strRef>
              <c:f>'Normalized Sg'!$G$1</c:f>
              <c:strCache>
                <c:ptCount val="1"/>
              </c:strCache>
            </c:strRef>
          </c:tx>
          <c:spPr>
            <a:ln w="25400">
              <a:solidFill>
                <a:schemeClr val="accent3">
                  <a:lumMod val="60000"/>
                  <a:lumOff val="40000"/>
                </a:schemeClr>
              </a:solidFill>
            </a:ln>
          </c:spPr>
          <c:marker>
            <c:symbol val="triangle"/>
            <c:size val="5"/>
            <c:spPr>
              <a:solidFill>
                <a:schemeClr val="accent3">
                  <a:lumMod val="60000"/>
                  <a:lumOff val="40000"/>
                </a:schemeClr>
              </a:solidFill>
              <a:ln>
                <a:solidFill>
                  <a:schemeClr val="accent3">
                    <a:lumMod val="75000"/>
                  </a:schemeClr>
                </a:solidFill>
              </a:ln>
            </c:spPr>
          </c:marker>
          <c:xVal>
            <c:numRef>
              <c:f>'%Gmm'!$K$11:$K$161</c:f>
              <c:numCache>
                <c:formatCode>0.00</c:formatCode>
                <c:ptCount val="151"/>
              </c:numCache>
            </c:numRef>
          </c:xVal>
          <c:yVal>
            <c:numRef>
              <c:f>'Normalized Sg'!$K$11:$K$161</c:f>
              <c:numCache>
                <c:formatCode>0.000</c:formatCode>
                <c:ptCount val="151"/>
              </c:numCache>
            </c:numRef>
          </c:yVal>
          <c:smooth val="0"/>
        </c:ser>
        <c:ser>
          <c:idx val="2"/>
          <c:order val="2"/>
          <c:tx>
            <c:strRef>
              <c:f>'Normalized Sg'!$L$1</c:f>
              <c:strCache>
                <c:ptCount val="1"/>
              </c:strCache>
            </c:strRef>
          </c:tx>
          <c:spPr>
            <a:ln w="25400">
              <a:solidFill>
                <a:schemeClr val="accent2">
                  <a:lumMod val="60000"/>
                  <a:lumOff val="40000"/>
                </a:schemeClr>
              </a:solidFill>
            </a:ln>
          </c:spPr>
          <c:marker>
            <c:symbol val="circle"/>
            <c:size val="4"/>
            <c:spPr>
              <a:solidFill>
                <a:schemeClr val="accent2">
                  <a:lumMod val="75000"/>
                </a:schemeClr>
              </a:solidFill>
              <a:ln>
                <a:solidFill>
                  <a:schemeClr val="accent2">
                    <a:lumMod val="75000"/>
                  </a:schemeClr>
                </a:solidFill>
              </a:ln>
            </c:spPr>
          </c:marker>
          <c:xVal>
            <c:numRef>
              <c:f>'%Gmm'!$P$11:$P$161</c:f>
              <c:numCache>
                <c:formatCode>0.00</c:formatCode>
                <c:ptCount val="151"/>
              </c:numCache>
            </c:numRef>
          </c:xVal>
          <c:yVal>
            <c:numRef>
              <c:f>'Normalized Sg'!$P$11:$P$161</c:f>
              <c:numCache>
                <c:formatCode>0.000</c:formatCode>
                <c:ptCount val="151"/>
              </c:numCache>
            </c:numRef>
          </c:yVal>
          <c:smooth val="0"/>
        </c:ser>
        <c:ser>
          <c:idx val="3"/>
          <c:order val="3"/>
          <c:tx>
            <c:strRef>
              <c:f>'Normalized Sg'!$Q$1</c:f>
              <c:strCache>
                <c:ptCount val="1"/>
              </c:strCache>
            </c:strRef>
          </c:tx>
          <c:spPr>
            <a:ln w="25400">
              <a:solidFill>
                <a:schemeClr val="accent1">
                  <a:lumMod val="60000"/>
                  <a:lumOff val="40000"/>
                </a:schemeClr>
              </a:solidFill>
            </a:ln>
          </c:spPr>
          <c:marker>
            <c:symbol val="x"/>
            <c:size val="5"/>
            <c:spPr>
              <a:noFill/>
              <a:ln>
                <a:solidFill>
                  <a:schemeClr val="accent5">
                    <a:lumMod val="75000"/>
                  </a:schemeClr>
                </a:solidFill>
              </a:ln>
            </c:spPr>
          </c:marker>
          <c:xVal>
            <c:numRef>
              <c:f>'%Gmm'!$U$11:$U$161</c:f>
              <c:numCache>
                <c:formatCode>0.00</c:formatCode>
                <c:ptCount val="151"/>
              </c:numCache>
            </c:numRef>
          </c:xVal>
          <c:yVal>
            <c:numRef>
              <c:f>'Normalized Sg'!$U$11:$U$161</c:f>
              <c:numCache>
                <c:formatCode>0.000</c:formatCode>
                <c:ptCount val="151"/>
              </c:numCache>
            </c:numRef>
          </c:yVal>
          <c:smooth val="0"/>
        </c:ser>
        <c:ser>
          <c:idx val="4"/>
          <c:order val="4"/>
          <c:tx>
            <c:strRef>
              <c:f>'Normalized Sg'!$V$1:$Y$1</c:f>
              <c:strCache>
                <c:ptCount val="1"/>
              </c:strCache>
            </c:strRef>
          </c:tx>
          <c:spPr>
            <a:ln>
              <a:solidFill>
                <a:schemeClr val="accent6"/>
              </a:solidFill>
            </a:ln>
          </c:spPr>
          <c:marker>
            <c:symbol val="square"/>
            <c:size val="3"/>
            <c:spPr>
              <a:solidFill>
                <a:schemeClr val="accent6">
                  <a:lumMod val="60000"/>
                  <a:lumOff val="40000"/>
                </a:schemeClr>
              </a:solidFill>
              <a:ln>
                <a:solidFill>
                  <a:schemeClr val="accent6">
                    <a:lumMod val="75000"/>
                  </a:schemeClr>
                </a:solidFill>
              </a:ln>
            </c:spPr>
          </c:marker>
          <c:xVal>
            <c:numRef>
              <c:f>'%Gmm'!$Z$11:$Z$161</c:f>
              <c:numCache>
                <c:formatCode>0.00</c:formatCode>
                <c:ptCount val="151"/>
              </c:numCache>
            </c:numRef>
          </c:xVal>
          <c:yVal>
            <c:numRef>
              <c:f>'Normalized Sg'!$Z$11:$Z$161</c:f>
              <c:numCache>
                <c:formatCode>0.000</c:formatCode>
                <c:ptCount val="151"/>
              </c:numCache>
            </c:numRef>
          </c:yVal>
          <c:smooth val="0"/>
        </c:ser>
        <c:ser>
          <c:idx val="5"/>
          <c:order val="5"/>
          <c:tx>
            <c:strRef>
              <c:f>'Normalized Sg'!$AA$1:$AD$1</c:f>
              <c:strCache>
                <c:ptCount val="1"/>
              </c:strCache>
            </c:strRef>
          </c:tx>
          <c:spPr>
            <a:ln w="25400">
              <a:solidFill>
                <a:srgbClr val="CCC1DA"/>
              </a:solidFill>
            </a:ln>
          </c:spPr>
          <c:marker>
            <c:symbol val="star"/>
            <c:size val="5"/>
            <c:spPr>
              <a:noFill/>
              <a:ln>
                <a:solidFill>
                  <a:srgbClr val="8064A2"/>
                </a:solidFill>
              </a:ln>
            </c:spPr>
          </c:marker>
          <c:xVal>
            <c:numRef>
              <c:f>'%Gmm'!$AE$11:$AE$161</c:f>
              <c:numCache>
                <c:formatCode>0.00</c:formatCode>
                <c:ptCount val="151"/>
              </c:numCache>
            </c:numRef>
          </c:xVal>
          <c:yVal>
            <c:numRef>
              <c:f>'Normalized Sg'!$AE$11:$AE$161</c:f>
              <c:numCache>
                <c:formatCode>0.000</c:formatCode>
                <c:ptCount val="151"/>
              </c:numCache>
            </c:numRef>
          </c:yVal>
          <c:smooth val="0"/>
        </c:ser>
        <c:dLbls>
          <c:showLegendKey val="0"/>
          <c:showVal val="0"/>
          <c:showCatName val="0"/>
          <c:showSerName val="0"/>
          <c:showPercent val="0"/>
          <c:showBubbleSize val="0"/>
        </c:dLbls>
        <c:axId val="148818560"/>
        <c:axId val="149296256"/>
      </c:scatterChart>
      <c:valAx>
        <c:axId val="148818560"/>
        <c:scaling>
          <c:orientation val="minMax"/>
          <c:max val="100"/>
          <c:min val="75"/>
        </c:scaling>
        <c:delete val="0"/>
        <c:axPos val="b"/>
        <c:title>
          <c:tx>
            <c:rich>
              <a:bodyPr/>
              <a:lstStyle/>
              <a:p>
                <a:pPr>
                  <a:defRPr sz="1000" b="1" i="0" u="none" strike="noStrike" baseline="0">
                    <a:solidFill>
                      <a:srgbClr val="000000"/>
                    </a:solidFill>
                    <a:latin typeface="Calibri"/>
                    <a:ea typeface="Calibri"/>
                    <a:cs typeface="Calibri"/>
                  </a:defRPr>
                </a:pPr>
                <a:r>
                  <a:rPr lang="en-US" sz="1100" b="1" i="0" baseline="0"/>
                  <a:t>%G</a:t>
                </a:r>
                <a:r>
                  <a:rPr lang="en-US" sz="1100" b="1" i="0" baseline="-25000"/>
                  <a:t>mm</a:t>
                </a:r>
                <a:endParaRPr lang="en-US" sz="1100" baseline="-25000"/>
              </a:p>
            </c:rich>
          </c:tx>
          <c:layout>
            <c:manualLayout>
              <c:xMode val="edge"/>
              <c:yMode val="edge"/>
              <c:x val="0.4848667794166574"/>
              <c:y val="0.88355407333792013"/>
            </c:manualLayout>
          </c:layout>
          <c:overlay val="0"/>
        </c:title>
        <c:numFmt formatCode="0.00" sourceLinked="1"/>
        <c:majorTickMark val="cross"/>
        <c:minorTickMark val="out"/>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49296256"/>
        <c:crosses val="autoZero"/>
        <c:crossBetween val="midCat"/>
        <c:majorUnit val="5"/>
        <c:minorUnit val="1"/>
      </c:valAx>
      <c:valAx>
        <c:axId val="149296256"/>
        <c:scaling>
          <c:orientation val="minMax"/>
          <c:max val="1"/>
          <c:min val="0.5"/>
        </c:scaling>
        <c:delete val="0"/>
        <c:axPos val="l"/>
        <c:majorGridlines/>
        <c:numFmt formatCode="0.0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48818560"/>
        <c:crosses val="autoZero"/>
        <c:crossBetween val="midCat"/>
      </c:valAx>
    </c:plotArea>
    <c:legend>
      <c:legendPos val="b"/>
      <c:layout>
        <c:manualLayout>
          <c:xMode val="edge"/>
          <c:yMode val="edge"/>
          <c:x val="9.5843478990991868E-2"/>
          <c:y val="0.93100091900036031"/>
          <c:w val="0.86964784111493165"/>
          <c:h val="3.6575472058711436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sz="1800" b="1" i="0" baseline="0">
                <a:effectLst/>
              </a:rPr>
              <a:t>Normalized Shear: </a:t>
            </a:r>
            <a:r>
              <a:rPr lang="en-US" sz="1800" b="1" i="0" u="none" strike="noStrike" baseline="0">
                <a:effectLst/>
              </a:rPr>
              <a:t>Sg</a:t>
            </a:r>
            <a:r>
              <a:rPr lang="en-US" sz="1800" b="1" i="0" u="none" strike="noStrike" baseline="-25000">
                <a:effectLst/>
              </a:rPr>
              <a:t>norm</a:t>
            </a:r>
            <a:r>
              <a:rPr lang="en-US" sz="1800" b="1" i="0" baseline="0">
                <a:effectLst/>
              </a:rPr>
              <a:t> = Sg/Sg</a:t>
            </a:r>
            <a:r>
              <a:rPr lang="en-US" sz="1800" b="1" i="0" baseline="-25000">
                <a:effectLst/>
              </a:rPr>
              <a:t>max</a:t>
            </a:r>
            <a:r>
              <a:rPr lang="en-US" sz="1800" b="1" i="0" baseline="0">
                <a:effectLst/>
              </a:rPr>
              <a:t> </a:t>
            </a:r>
            <a:endParaRPr lang="en-US">
              <a:effectLst/>
            </a:endParaRPr>
          </a:p>
        </c:rich>
      </c:tx>
      <c:overlay val="0"/>
    </c:title>
    <c:autoTitleDeleted val="0"/>
    <c:plotArea>
      <c:layout>
        <c:manualLayout>
          <c:layoutTarget val="inner"/>
          <c:xMode val="edge"/>
          <c:yMode val="edge"/>
          <c:x val="0.10017736769687373"/>
          <c:y val="0.10486322188449802"/>
          <c:w val="0.86453744493391849"/>
          <c:h val="0.73813329245878712"/>
        </c:manualLayout>
      </c:layout>
      <c:scatterChart>
        <c:scatterStyle val="lineMarker"/>
        <c:varyColors val="0"/>
        <c:ser>
          <c:idx val="0"/>
          <c:order val="0"/>
          <c:tx>
            <c:strRef>
              <c:f>'Normalized Sg'!$B$1</c:f>
              <c:strCache>
                <c:ptCount val="1"/>
              </c:strCache>
            </c:strRef>
          </c:tx>
          <c:spPr>
            <a:ln>
              <a:solidFill>
                <a:schemeClr val="tx2">
                  <a:lumMod val="60000"/>
                  <a:lumOff val="40000"/>
                </a:schemeClr>
              </a:solidFill>
            </a:ln>
          </c:spPr>
          <c:marker>
            <c:spPr>
              <a:solidFill>
                <a:schemeClr val="accent1"/>
              </a:solidFill>
            </c:spPr>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Sg'!$F$11:$F$161</c:f>
              <c:numCache>
                <c:formatCode>0.000</c:formatCode>
                <c:ptCount val="151"/>
              </c:numCache>
            </c:numRef>
          </c:yVal>
          <c:smooth val="0"/>
        </c:ser>
        <c:ser>
          <c:idx val="5"/>
          <c:order val="1"/>
          <c:tx>
            <c:strRef>
              <c:f>'Normalized Sg'!$B$2</c:f>
              <c:strCache>
                <c:ptCount val="1"/>
              </c:strCache>
            </c:strRef>
          </c:tx>
          <c:spPr>
            <a:ln>
              <a:solidFill>
                <a:schemeClr val="tx2"/>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Sg'!$B$11:$B$136</c:f>
              <c:numCache>
                <c:formatCode>0.000</c:formatCode>
                <c:ptCount val="126"/>
              </c:numCache>
            </c:numRef>
          </c:yVal>
          <c:smooth val="0"/>
        </c:ser>
        <c:ser>
          <c:idx val="6"/>
          <c:order val="2"/>
          <c:tx>
            <c:strRef>
              <c:f>'Normalized Sg'!$C$2</c:f>
              <c:strCache>
                <c:ptCount val="1"/>
              </c:strCache>
            </c:strRef>
          </c:tx>
          <c:spPr>
            <a:ln>
              <a:solidFill>
                <a:schemeClr val="tx2"/>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Sg'!$C$11:$C$136</c:f>
              <c:numCache>
                <c:formatCode>0.000</c:formatCode>
                <c:ptCount val="126"/>
              </c:numCache>
            </c:numRef>
          </c:yVal>
          <c:smooth val="0"/>
        </c:ser>
        <c:ser>
          <c:idx val="7"/>
          <c:order val="3"/>
          <c:tx>
            <c:strRef>
              <c:f>'Normalized Sg'!$D$2</c:f>
              <c:strCache>
                <c:ptCount val="1"/>
              </c:strCache>
            </c:strRef>
          </c:tx>
          <c:spPr>
            <a:ln>
              <a:solidFill>
                <a:schemeClr val="tx2"/>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Sg'!$D$11:$D$136</c:f>
              <c:numCache>
                <c:formatCode>0.000</c:formatCode>
                <c:ptCount val="126"/>
              </c:numCache>
            </c:numRef>
          </c:yVal>
          <c:smooth val="0"/>
        </c:ser>
        <c:ser>
          <c:idx val="1"/>
          <c:order val="4"/>
          <c:tx>
            <c:strRef>
              <c:f>'Normalized Sg'!$E$2</c:f>
              <c:strCache>
                <c:ptCount val="1"/>
              </c:strCache>
            </c:strRef>
          </c:tx>
          <c:spPr>
            <a:ln>
              <a:solidFill>
                <a:schemeClr val="tx2">
                  <a:lumMod val="75000"/>
                </a:schemeClr>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Sg'!$E$11:$E$136</c:f>
              <c:numCache>
                <c:formatCode>0.000</c:formatCode>
                <c:ptCount val="126"/>
              </c:numCache>
            </c:numRef>
          </c:yVal>
          <c:smooth val="0"/>
        </c:ser>
        <c:dLbls>
          <c:showLegendKey val="0"/>
          <c:showVal val="0"/>
          <c:showCatName val="0"/>
          <c:showSerName val="0"/>
          <c:showPercent val="0"/>
          <c:showBubbleSize val="0"/>
        </c:dLbls>
        <c:axId val="149333120"/>
        <c:axId val="149335040"/>
      </c:scatterChart>
      <c:valAx>
        <c:axId val="149333120"/>
        <c:scaling>
          <c:logBase val="10"/>
          <c:orientation val="minMax"/>
          <c:max val="150"/>
          <c:min val="1"/>
        </c:scaling>
        <c:delete val="0"/>
        <c:axPos val="b"/>
        <c:title>
          <c:tx>
            <c:rich>
              <a:bodyPr/>
              <a:lstStyle/>
              <a:p>
                <a:pPr>
                  <a:defRPr sz="1200" b="1" i="0" u="none" strike="noStrike" baseline="0">
                    <a:solidFill>
                      <a:srgbClr val="000000"/>
                    </a:solidFill>
                    <a:latin typeface="Calibri"/>
                    <a:ea typeface="Calibri"/>
                    <a:cs typeface="Calibri"/>
                  </a:defRPr>
                </a:pPr>
                <a:r>
                  <a:rPr lang="en-US" sz="1100" b="1" i="0" baseline="0"/>
                  <a:t>Gyration (Log</a:t>
                </a:r>
                <a:r>
                  <a:rPr lang="en-US" sz="1100" b="1" i="0" baseline="-25000"/>
                  <a:t>10</a:t>
                </a:r>
                <a:r>
                  <a:rPr lang="en-US" sz="1100" b="1" i="0" baseline="0"/>
                  <a:t> Scale)</a:t>
                </a:r>
              </a:p>
            </c:rich>
          </c:tx>
          <c:layout>
            <c:manualLayout>
              <c:xMode val="edge"/>
              <c:yMode val="edge"/>
              <c:x val="0.41917581605116261"/>
              <c:y val="0.88153141961623727"/>
            </c:manualLayout>
          </c:layout>
          <c:overlay val="0"/>
        </c:title>
        <c:numFmt formatCode="General" sourceLinked="1"/>
        <c:majorTickMark val="cross"/>
        <c:minorTickMark val="out"/>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49335040"/>
        <c:crosses val="autoZero"/>
        <c:crossBetween val="midCat"/>
        <c:minorUnit val="10"/>
      </c:valAx>
      <c:valAx>
        <c:axId val="149335040"/>
        <c:scaling>
          <c:orientation val="minMax"/>
          <c:max val="1"/>
          <c:min val="0.5"/>
        </c:scaling>
        <c:delete val="0"/>
        <c:axPos val="l"/>
        <c:majorGridlines/>
        <c:numFmt formatCode="0.0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49333120"/>
        <c:crosses val="autoZero"/>
        <c:crossBetween val="midCat"/>
      </c:valAx>
    </c:plotArea>
    <c:legend>
      <c:legendPos val="b"/>
      <c:layout>
        <c:manualLayout>
          <c:xMode val="edge"/>
          <c:yMode val="edge"/>
          <c:x val="6.5083567310114374E-2"/>
          <c:y val="0.91700344541705159"/>
          <c:w val="0.89999995386590004"/>
          <c:h val="3.6495104571054801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sz="1800" b="1" i="0" baseline="0">
                <a:effectLst/>
              </a:rPr>
              <a:t>Normalized Shear: Sg</a:t>
            </a:r>
            <a:r>
              <a:rPr lang="en-US" sz="1800" b="1" i="0" baseline="-25000">
                <a:effectLst/>
              </a:rPr>
              <a:t>norm</a:t>
            </a:r>
            <a:r>
              <a:rPr lang="en-US" sz="1800" b="1" i="0" baseline="0">
                <a:effectLst/>
              </a:rPr>
              <a:t> = Sg/Sg</a:t>
            </a:r>
            <a:r>
              <a:rPr lang="en-US" sz="1800" b="1" i="0" baseline="-25000">
                <a:effectLst/>
              </a:rPr>
              <a:t>max</a:t>
            </a:r>
            <a:r>
              <a:rPr lang="en-US" sz="1800" b="1" i="0" baseline="0">
                <a:effectLst/>
              </a:rPr>
              <a:t> </a:t>
            </a:r>
            <a:endParaRPr lang="en-US">
              <a:effectLst/>
            </a:endParaRPr>
          </a:p>
        </c:rich>
      </c:tx>
      <c:overlay val="0"/>
    </c:title>
    <c:autoTitleDeleted val="0"/>
    <c:plotArea>
      <c:layout>
        <c:manualLayout>
          <c:layoutTarget val="inner"/>
          <c:xMode val="edge"/>
          <c:yMode val="edge"/>
          <c:x val="0.10017736769687373"/>
          <c:y val="0.10486322188449802"/>
          <c:w val="0.86453744493391849"/>
          <c:h val="0.73813329245878712"/>
        </c:manualLayout>
      </c:layout>
      <c:scatterChart>
        <c:scatterStyle val="lineMarker"/>
        <c:varyColors val="0"/>
        <c:ser>
          <c:idx val="1"/>
          <c:order val="0"/>
          <c:tx>
            <c:strRef>
              <c:f>'Normalized Sg'!$G$1</c:f>
              <c:strCache>
                <c:ptCount val="1"/>
              </c:strCache>
            </c:strRef>
          </c:tx>
          <c:spPr>
            <a:ln w="25400">
              <a:solidFill>
                <a:schemeClr val="accent3">
                  <a:lumMod val="60000"/>
                  <a:lumOff val="40000"/>
                </a:schemeClr>
              </a:solidFill>
            </a:ln>
          </c:spPr>
          <c:marker>
            <c:symbol val="triangle"/>
            <c:size val="5"/>
            <c:spPr>
              <a:solidFill>
                <a:schemeClr val="accent3">
                  <a:lumMod val="60000"/>
                  <a:lumOff val="40000"/>
                </a:schemeClr>
              </a:solidFill>
              <a:ln>
                <a:solidFill>
                  <a:schemeClr val="accent3">
                    <a:lumMod val="60000"/>
                    <a:lumOff val="40000"/>
                  </a:schemeClr>
                </a:solidFill>
              </a:ln>
            </c:spPr>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Sg'!$K$11:$K$161</c:f>
              <c:numCache>
                <c:formatCode>0.000</c:formatCode>
                <c:ptCount val="151"/>
              </c:numCache>
            </c:numRef>
          </c:yVal>
          <c:smooth val="0"/>
        </c:ser>
        <c:ser>
          <c:idx val="0"/>
          <c:order val="1"/>
          <c:tx>
            <c:strRef>
              <c:f>'Normalized Sg'!$G$2</c:f>
              <c:strCache>
                <c:ptCount val="1"/>
              </c:strCache>
            </c:strRef>
          </c:tx>
          <c:spPr>
            <a:ln>
              <a:solidFill>
                <a:schemeClr val="accent3"/>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Sg'!$G$11:$G$136</c:f>
              <c:numCache>
                <c:formatCode>0.000</c:formatCode>
                <c:ptCount val="126"/>
              </c:numCache>
            </c:numRef>
          </c:yVal>
          <c:smooth val="0"/>
        </c:ser>
        <c:ser>
          <c:idx val="5"/>
          <c:order val="2"/>
          <c:tx>
            <c:strRef>
              <c:f>'Normalized Sg'!$H$2</c:f>
              <c:strCache>
                <c:ptCount val="1"/>
              </c:strCache>
            </c:strRef>
          </c:tx>
          <c:spPr>
            <a:ln>
              <a:solidFill>
                <a:schemeClr val="accent3"/>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Sg'!$H$11:$H$136</c:f>
              <c:numCache>
                <c:formatCode>0.000</c:formatCode>
                <c:ptCount val="126"/>
              </c:numCache>
            </c:numRef>
          </c:yVal>
          <c:smooth val="0"/>
        </c:ser>
        <c:ser>
          <c:idx val="6"/>
          <c:order val="3"/>
          <c:tx>
            <c:strRef>
              <c:f>'Normalized Sg'!$I$2</c:f>
              <c:strCache>
                <c:ptCount val="1"/>
              </c:strCache>
            </c:strRef>
          </c:tx>
          <c:spPr>
            <a:ln>
              <a:solidFill>
                <a:schemeClr val="accent3"/>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Sg'!$I$11:$I$136</c:f>
              <c:numCache>
                <c:formatCode>0.000</c:formatCode>
                <c:ptCount val="126"/>
              </c:numCache>
            </c:numRef>
          </c:yVal>
          <c:smooth val="0"/>
        </c:ser>
        <c:ser>
          <c:idx val="2"/>
          <c:order val="4"/>
          <c:tx>
            <c:strRef>
              <c:f>'Normalized Sg'!$J$2</c:f>
              <c:strCache>
                <c:ptCount val="1"/>
              </c:strCache>
            </c:strRef>
          </c:tx>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Sg'!$J$11:$J$136</c:f>
              <c:numCache>
                <c:formatCode>0.000</c:formatCode>
                <c:ptCount val="126"/>
              </c:numCache>
            </c:numRef>
          </c:yVal>
          <c:smooth val="0"/>
        </c:ser>
        <c:dLbls>
          <c:showLegendKey val="0"/>
          <c:showVal val="0"/>
          <c:showCatName val="0"/>
          <c:showSerName val="0"/>
          <c:showPercent val="0"/>
          <c:showBubbleSize val="0"/>
        </c:dLbls>
        <c:axId val="149421440"/>
        <c:axId val="149423616"/>
      </c:scatterChart>
      <c:valAx>
        <c:axId val="149421440"/>
        <c:scaling>
          <c:logBase val="10"/>
          <c:orientation val="minMax"/>
          <c:max val="150"/>
          <c:min val="1"/>
        </c:scaling>
        <c:delete val="0"/>
        <c:axPos val="b"/>
        <c:title>
          <c:tx>
            <c:rich>
              <a:bodyPr/>
              <a:lstStyle/>
              <a:p>
                <a:pPr>
                  <a:defRPr sz="1000" b="1" i="0" u="none" strike="noStrike" baseline="0">
                    <a:solidFill>
                      <a:srgbClr val="000000"/>
                    </a:solidFill>
                    <a:latin typeface="Calibri"/>
                    <a:ea typeface="Calibri"/>
                    <a:cs typeface="Calibri"/>
                  </a:defRPr>
                </a:pPr>
                <a:r>
                  <a:rPr lang="en-US" sz="1100" b="1" i="0" baseline="0"/>
                  <a:t>Gyration (Log</a:t>
                </a:r>
                <a:r>
                  <a:rPr lang="en-US" sz="1100" b="1" i="0" baseline="-25000"/>
                  <a:t>10</a:t>
                </a:r>
                <a:r>
                  <a:rPr lang="en-US" sz="1100" b="1" i="0" baseline="0"/>
                  <a:t> Scale)</a:t>
                </a:r>
              </a:p>
            </c:rich>
          </c:tx>
          <c:layout>
            <c:manualLayout>
              <c:xMode val="edge"/>
              <c:yMode val="edge"/>
              <c:x val="0.41477440760045975"/>
              <c:y val="0.88153141961623727"/>
            </c:manualLayout>
          </c:layout>
          <c:overlay val="0"/>
        </c:title>
        <c:numFmt formatCode="General" sourceLinked="1"/>
        <c:majorTickMark val="cross"/>
        <c:minorTickMark val="out"/>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49423616"/>
        <c:crosses val="autoZero"/>
        <c:crossBetween val="midCat"/>
        <c:minorUnit val="10"/>
      </c:valAx>
      <c:valAx>
        <c:axId val="149423616"/>
        <c:scaling>
          <c:orientation val="minMax"/>
          <c:max val="1"/>
          <c:min val="0.5"/>
        </c:scaling>
        <c:delete val="0"/>
        <c:axPos val="l"/>
        <c:majorGridlines/>
        <c:numFmt formatCode="0.0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49421440"/>
        <c:crosses val="autoZero"/>
        <c:crossBetween val="midCat"/>
      </c:valAx>
    </c:plotArea>
    <c:legend>
      <c:legendPos val="b"/>
      <c:layout>
        <c:manualLayout>
          <c:xMode val="edge"/>
          <c:yMode val="edge"/>
          <c:x val="6.6498133489089631E-2"/>
          <c:y val="0.91700124062940636"/>
          <c:w val="0.89999997689532862"/>
          <c:h val="3.6569665297584653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sz="1800" b="1" i="0" baseline="0">
                <a:effectLst/>
              </a:rPr>
              <a:t>Normalized Shear: Sg</a:t>
            </a:r>
            <a:r>
              <a:rPr lang="en-US" sz="1800" b="1" i="0" baseline="-25000">
                <a:effectLst/>
              </a:rPr>
              <a:t>norm</a:t>
            </a:r>
            <a:r>
              <a:rPr lang="en-US" sz="1800" b="1" i="0" baseline="0">
                <a:effectLst/>
              </a:rPr>
              <a:t> = Sg/Sg</a:t>
            </a:r>
            <a:r>
              <a:rPr lang="en-US" sz="1800" b="1" i="0" baseline="-25000">
                <a:effectLst/>
              </a:rPr>
              <a:t>max</a:t>
            </a:r>
            <a:r>
              <a:rPr lang="en-US" sz="1800" b="1" i="0" baseline="0">
                <a:effectLst/>
              </a:rPr>
              <a:t> </a:t>
            </a:r>
            <a:endParaRPr lang="en-US">
              <a:effectLst/>
            </a:endParaRPr>
          </a:p>
        </c:rich>
      </c:tx>
      <c:overlay val="0"/>
    </c:title>
    <c:autoTitleDeleted val="0"/>
    <c:plotArea>
      <c:layout>
        <c:manualLayout>
          <c:layoutTarget val="inner"/>
          <c:xMode val="edge"/>
          <c:yMode val="edge"/>
          <c:x val="0.10017736769687373"/>
          <c:y val="0.10486322188449802"/>
          <c:w val="0.86453744493391849"/>
          <c:h val="0.73813329245878712"/>
        </c:manualLayout>
      </c:layout>
      <c:scatterChart>
        <c:scatterStyle val="lineMarker"/>
        <c:varyColors val="0"/>
        <c:ser>
          <c:idx val="2"/>
          <c:order val="0"/>
          <c:tx>
            <c:strRef>
              <c:f>'Normalized Sg'!$L$1</c:f>
              <c:strCache>
                <c:ptCount val="1"/>
              </c:strCache>
            </c:strRef>
          </c:tx>
          <c:spPr>
            <a:ln w="25400">
              <a:solidFill>
                <a:schemeClr val="accent2">
                  <a:lumMod val="60000"/>
                  <a:lumOff val="40000"/>
                </a:schemeClr>
              </a:solidFill>
            </a:ln>
          </c:spPr>
          <c:marker>
            <c:symbol val="circle"/>
            <c:size val="4"/>
            <c:spPr>
              <a:solidFill>
                <a:schemeClr val="accent2">
                  <a:lumMod val="60000"/>
                  <a:lumOff val="40000"/>
                </a:schemeClr>
              </a:solidFill>
              <a:ln>
                <a:solidFill>
                  <a:schemeClr val="accent2">
                    <a:lumMod val="60000"/>
                    <a:lumOff val="40000"/>
                  </a:schemeClr>
                </a:solidFill>
              </a:ln>
            </c:spPr>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Sg'!$P$11:$P$161</c:f>
              <c:numCache>
                <c:formatCode>0.000</c:formatCode>
                <c:ptCount val="151"/>
              </c:numCache>
            </c:numRef>
          </c:yVal>
          <c:smooth val="0"/>
        </c:ser>
        <c:ser>
          <c:idx val="0"/>
          <c:order val="1"/>
          <c:tx>
            <c:strRef>
              <c:f>'Normalized Sg'!$L$2</c:f>
              <c:strCache>
                <c:ptCount val="1"/>
              </c:strCache>
            </c:strRef>
          </c:tx>
          <c:spPr>
            <a:ln>
              <a:solidFill>
                <a:schemeClr val="accent2"/>
              </a:solidFill>
            </a:ln>
          </c:spPr>
          <c:marker>
            <c:symbol val="none"/>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Sg'!$L$11:$L$136</c:f>
              <c:numCache>
                <c:formatCode>0.000</c:formatCode>
                <c:ptCount val="126"/>
              </c:numCache>
            </c:numRef>
          </c:yVal>
          <c:smooth val="0"/>
        </c:ser>
        <c:ser>
          <c:idx val="1"/>
          <c:order val="2"/>
          <c:tx>
            <c:strRef>
              <c:f>'Normalized Sg'!$M$2</c:f>
              <c:strCache>
                <c:ptCount val="1"/>
              </c:strCache>
            </c:strRef>
          </c:tx>
          <c:spPr>
            <a:ln w="25400">
              <a:solidFill>
                <a:schemeClr val="accent2"/>
              </a:solidFill>
            </a:ln>
          </c:spPr>
          <c:marker>
            <c:symbol val="none"/>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Sg'!$M$11:$M$136</c:f>
              <c:numCache>
                <c:formatCode>0.000</c:formatCode>
                <c:ptCount val="126"/>
              </c:numCache>
            </c:numRef>
          </c:yVal>
          <c:smooth val="0"/>
        </c:ser>
        <c:ser>
          <c:idx val="5"/>
          <c:order val="3"/>
          <c:tx>
            <c:strRef>
              <c:f>'Normalized Sg'!$N$2</c:f>
              <c:strCache>
                <c:ptCount val="1"/>
              </c:strCache>
            </c:strRef>
          </c:tx>
          <c:spPr>
            <a:ln>
              <a:solidFill>
                <a:schemeClr val="accent2"/>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Sg'!$N$11:$N$136</c:f>
              <c:numCache>
                <c:formatCode>0.000</c:formatCode>
                <c:ptCount val="126"/>
              </c:numCache>
            </c:numRef>
          </c:yVal>
          <c:smooth val="0"/>
        </c:ser>
        <c:ser>
          <c:idx val="3"/>
          <c:order val="4"/>
          <c:tx>
            <c:strRef>
              <c:f>'Normalized Sg'!$O$2</c:f>
              <c:strCache>
                <c:ptCount val="1"/>
              </c:strCache>
            </c:strRef>
          </c:tx>
          <c:spPr>
            <a:ln>
              <a:solidFill>
                <a:schemeClr val="accent2">
                  <a:lumMod val="75000"/>
                </a:schemeClr>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Sg'!$O$11:$O$136</c:f>
              <c:numCache>
                <c:formatCode>0.000</c:formatCode>
                <c:ptCount val="126"/>
              </c:numCache>
            </c:numRef>
          </c:yVal>
          <c:smooth val="0"/>
        </c:ser>
        <c:dLbls>
          <c:showLegendKey val="0"/>
          <c:showVal val="0"/>
          <c:showCatName val="0"/>
          <c:showSerName val="0"/>
          <c:showPercent val="0"/>
          <c:showBubbleSize val="0"/>
        </c:dLbls>
        <c:axId val="55199616"/>
        <c:axId val="55214080"/>
      </c:scatterChart>
      <c:valAx>
        <c:axId val="55199616"/>
        <c:scaling>
          <c:logBase val="10"/>
          <c:orientation val="minMax"/>
          <c:max val="150"/>
          <c:min val="1"/>
        </c:scaling>
        <c:delete val="0"/>
        <c:axPos val="b"/>
        <c:title>
          <c:tx>
            <c:rich>
              <a:bodyPr/>
              <a:lstStyle/>
              <a:p>
                <a:pPr>
                  <a:defRPr sz="1000" b="1" i="0" u="none" strike="noStrike" baseline="0">
                    <a:solidFill>
                      <a:srgbClr val="000000"/>
                    </a:solidFill>
                    <a:latin typeface="Calibri"/>
                    <a:ea typeface="Calibri"/>
                    <a:cs typeface="Calibri"/>
                  </a:defRPr>
                </a:pPr>
                <a:r>
                  <a:rPr lang="en-US" sz="1100" b="1" i="0" baseline="0"/>
                  <a:t>Gyration (Log</a:t>
                </a:r>
                <a:r>
                  <a:rPr lang="en-US" sz="1100" b="1" i="0" baseline="-25000"/>
                  <a:t>10</a:t>
                </a:r>
                <a:r>
                  <a:rPr lang="en-US" sz="1100" b="1" i="0" baseline="0"/>
                  <a:t> Scale)</a:t>
                </a:r>
              </a:p>
            </c:rich>
          </c:tx>
          <c:layout>
            <c:manualLayout>
              <c:xMode val="edge"/>
              <c:yMode val="edge"/>
              <c:x val="0.41184013529999025"/>
              <c:y val="0.8795087658945544"/>
            </c:manualLayout>
          </c:layout>
          <c:overlay val="0"/>
        </c:title>
        <c:numFmt formatCode="General" sourceLinked="1"/>
        <c:majorTickMark val="cross"/>
        <c:minorTickMark val="out"/>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5214080"/>
        <c:crosses val="autoZero"/>
        <c:crossBetween val="midCat"/>
        <c:minorUnit val="10"/>
      </c:valAx>
      <c:valAx>
        <c:axId val="55214080"/>
        <c:scaling>
          <c:orientation val="minMax"/>
          <c:max val="1"/>
          <c:min val="0.5"/>
        </c:scaling>
        <c:delete val="0"/>
        <c:axPos val="l"/>
        <c:majorGridlines/>
        <c:numFmt formatCode="0.0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5199616"/>
        <c:crosses val="autoZero"/>
        <c:crossBetween val="midCat"/>
      </c:valAx>
    </c:plotArea>
    <c:legend>
      <c:legendPos val="b"/>
      <c:layout>
        <c:manualLayout>
          <c:xMode val="edge"/>
          <c:yMode val="edge"/>
          <c:x val="6.2096693513527236E-2"/>
          <c:y val="0.91498511833911178"/>
          <c:w val="0.89999997689532862"/>
          <c:h val="3.6569665297584653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sz="1800" b="1" i="0" baseline="0">
                <a:effectLst/>
              </a:rPr>
              <a:t>Normalized Shear: Sg</a:t>
            </a:r>
            <a:r>
              <a:rPr lang="en-US" sz="1800" b="1" i="0" baseline="-25000">
                <a:effectLst/>
              </a:rPr>
              <a:t>norm</a:t>
            </a:r>
            <a:r>
              <a:rPr lang="en-US" sz="1800" b="1" i="0" baseline="0">
                <a:effectLst/>
              </a:rPr>
              <a:t> = Sg/Sg</a:t>
            </a:r>
            <a:r>
              <a:rPr lang="en-US" sz="1800" b="1" i="0" baseline="-25000">
                <a:effectLst/>
              </a:rPr>
              <a:t>max</a:t>
            </a:r>
            <a:r>
              <a:rPr lang="en-US" sz="1800" b="1" i="0" baseline="0">
                <a:effectLst/>
              </a:rPr>
              <a:t> </a:t>
            </a:r>
            <a:endParaRPr lang="en-US">
              <a:effectLst/>
            </a:endParaRPr>
          </a:p>
        </c:rich>
      </c:tx>
      <c:overlay val="0"/>
    </c:title>
    <c:autoTitleDeleted val="0"/>
    <c:plotArea>
      <c:layout>
        <c:manualLayout>
          <c:layoutTarget val="inner"/>
          <c:xMode val="edge"/>
          <c:yMode val="edge"/>
          <c:x val="0.10017736769687373"/>
          <c:y val="0.10486322188449802"/>
          <c:w val="0.86453744493391849"/>
          <c:h val="0.73813329245878712"/>
        </c:manualLayout>
      </c:layout>
      <c:scatterChart>
        <c:scatterStyle val="lineMarker"/>
        <c:varyColors val="0"/>
        <c:ser>
          <c:idx val="3"/>
          <c:order val="0"/>
          <c:tx>
            <c:strRef>
              <c:f>'Normalized Sg'!$Q$1</c:f>
              <c:strCache>
                <c:ptCount val="1"/>
              </c:strCache>
            </c:strRef>
          </c:tx>
          <c:spPr>
            <a:ln w="25400">
              <a:solidFill>
                <a:schemeClr val="accent1">
                  <a:lumMod val="60000"/>
                  <a:lumOff val="40000"/>
                </a:schemeClr>
              </a:solidFill>
            </a:ln>
          </c:spPr>
          <c:marker>
            <c:symbol val="x"/>
            <c:size val="5"/>
            <c:spPr>
              <a:noFill/>
              <a:ln>
                <a:solidFill>
                  <a:schemeClr val="accent5">
                    <a:lumMod val="75000"/>
                  </a:schemeClr>
                </a:solidFill>
              </a:ln>
            </c:spPr>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Sg'!$U$11:$U$161</c:f>
              <c:numCache>
                <c:formatCode>0.000</c:formatCode>
                <c:ptCount val="151"/>
              </c:numCache>
            </c:numRef>
          </c:yVal>
          <c:smooth val="0"/>
        </c:ser>
        <c:ser>
          <c:idx val="0"/>
          <c:order val="1"/>
          <c:tx>
            <c:strRef>
              <c:f>'Normalized Sg'!$Q$2</c:f>
              <c:strCache>
                <c:ptCount val="1"/>
              </c:strCache>
            </c:strRef>
          </c:tx>
          <c:spPr>
            <a:ln>
              <a:solidFill>
                <a:schemeClr val="accent1">
                  <a:lumMod val="60000"/>
                  <a:lumOff val="40000"/>
                </a:schemeClr>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Sg'!$Q$11:$Q$136</c:f>
              <c:numCache>
                <c:formatCode>0.000</c:formatCode>
                <c:ptCount val="126"/>
              </c:numCache>
            </c:numRef>
          </c:yVal>
          <c:smooth val="0"/>
        </c:ser>
        <c:ser>
          <c:idx val="1"/>
          <c:order val="2"/>
          <c:tx>
            <c:strRef>
              <c:f>'Normalized Sg'!$R$2</c:f>
              <c:strCache>
                <c:ptCount val="1"/>
              </c:strCache>
            </c:strRef>
          </c:tx>
          <c:spPr>
            <a:ln>
              <a:solidFill>
                <a:schemeClr val="accent1">
                  <a:lumMod val="60000"/>
                  <a:lumOff val="40000"/>
                </a:schemeClr>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Sg'!$R$11:$R$136</c:f>
              <c:numCache>
                <c:formatCode>0.000</c:formatCode>
                <c:ptCount val="126"/>
              </c:numCache>
            </c:numRef>
          </c:yVal>
          <c:smooth val="0"/>
        </c:ser>
        <c:ser>
          <c:idx val="2"/>
          <c:order val="3"/>
          <c:tx>
            <c:strRef>
              <c:f>'Normalized Sg'!$S$2</c:f>
              <c:strCache>
                <c:ptCount val="1"/>
              </c:strCache>
            </c:strRef>
          </c:tx>
          <c:spPr>
            <a:ln>
              <a:solidFill>
                <a:schemeClr val="accent1">
                  <a:lumMod val="60000"/>
                  <a:lumOff val="40000"/>
                </a:schemeClr>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Sg'!$S$11:$S$136</c:f>
              <c:numCache>
                <c:formatCode>0.000</c:formatCode>
                <c:ptCount val="126"/>
              </c:numCache>
            </c:numRef>
          </c:yVal>
          <c:smooth val="0"/>
        </c:ser>
        <c:ser>
          <c:idx val="4"/>
          <c:order val="4"/>
          <c:tx>
            <c:strRef>
              <c:f>'Normalized Sg'!$T$2</c:f>
              <c:strCache>
                <c:ptCount val="1"/>
              </c:strCache>
            </c:strRef>
          </c:tx>
          <c:spPr>
            <a:ln>
              <a:solidFill>
                <a:schemeClr val="tx2">
                  <a:lumMod val="40000"/>
                  <a:lumOff val="60000"/>
                </a:schemeClr>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Sg'!$T$11:$T$136</c:f>
              <c:numCache>
                <c:formatCode>0.000</c:formatCode>
                <c:ptCount val="126"/>
              </c:numCache>
            </c:numRef>
          </c:yVal>
          <c:smooth val="0"/>
        </c:ser>
        <c:dLbls>
          <c:showLegendKey val="0"/>
          <c:showVal val="0"/>
          <c:showCatName val="0"/>
          <c:showSerName val="0"/>
          <c:showPercent val="0"/>
          <c:showBubbleSize val="0"/>
        </c:dLbls>
        <c:axId val="150086016"/>
        <c:axId val="150087936"/>
      </c:scatterChart>
      <c:valAx>
        <c:axId val="150086016"/>
        <c:scaling>
          <c:logBase val="10"/>
          <c:orientation val="minMax"/>
          <c:max val="150"/>
          <c:min val="1"/>
        </c:scaling>
        <c:delete val="0"/>
        <c:axPos val="b"/>
        <c:title>
          <c:tx>
            <c:rich>
              <a:bodyPr/>
              <a:lstStyle/>
              <a:p>
                <a:pPr>
                  <a:defRPr sz="1000" b="1" i="0" u="none" strike="noStrike" baseline="0">
                    <a:solidFill>
                      <a:srgbClr val="000000"/>
                    </a:solidFill>
                    <a:latin typeface="Calibri"/>
                    <a:ea typeface="Calibri"/>
                    <a:cs typeface="Calibri"/>
                  </a:defRPr>
                </a:pPr>
                <a:r>
                  <a:rPr lang="en-US" sz="1100" b="1" i="0" baseline="0"/>
                  <a:t>Gyration (Log</a:t>
                </a:r>
                <a:r>
                  <a:rPr lang="en-US" sz="1100" b="1" i="0" baseline="-25000"/>
                  <a:t>10</a:t>
                </a:r>
                <a:r>
                  <a:rPr lang="en-US" sz="1100" b="1" i="0" baseline="0"/>
                  <a:t> Scale)</a:t>
                </a:r>
                <a:endParaRPr lang="en-US" sz="1100"/>
              </a:p>
            </c:rich>
          </c:tx>
          <c:layout>
            <c:manualLayout>
              <c:xMode val="edge"/>
              <c:yMode val="edge"/>
              <c:x val="0.42324706110679833"/>
              <c:y val="0.88355407333791958"/>
            </c:manualLayout>
          </c:layout>
          <c:overlay val="0"/>
        </c:title>
        <c:numFmt formatCode="General" sourceLinked="1"/>
        <c:majorTickMark val="cross"/>
        <c:minorTickMark val="out"/>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50087936"/>
        <c:crosses val="autoZero"/>
        <c:crossBetween val="midCat"/>
        <c:minorUnit val="10"/>
      </c:valAx>
      <c:valAx>
        <c:axId val="150087936"/>
        <c:scaling>
          <c:orientation val="minMax"/>
          <c:max val="1"/>
          <c:min val="0.5"/>
        </c:scaling>
        <c:delete val="0"/>
        <c:axPos val="l"/>
        <c:majorGridlines/>
        <c:numFmt formatCode="0.0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50086016"/>
        <c:crosses val="autoZero"/>
        <c:crossBetween val="midCat"/>
      </c:valAx>
    </c:plotArea>
    <c:legend>
      <c:legendPos val="b"/>
      <c:layout>
        <c:manualLayout>
          <c:xMode val="edge"/>
          <c:yMode val="edge"/>
          <c:x val="5.1869847695094347E-2"/>
          <c:y val="0.91686463190888201"/>
          <c:w val="0.89999995386590004"/>
          <c:h val="3.6495104571054801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sz="1800" b="1" i="0" baseline="0">
                <a:effectLst/>
              </a:rPr>
              <a:t>Normalized Shear: Sg</a:t>
            </a:r>
            <a:r>
              <a:rPr lang="en-US" sz="1800" b="1" i="0" baseline="-25000">
                <a:effectLst/>
              </a:rPr>
              <a:t>norm</a:t>
            </a:r>
            <a:r>
              <a:rPr lang="en-US" sz="1800" b="1" i="0" baseline="0">
                <a:effectLst/>
              </a:rPr>
              <a:t> = Sg/Sg</a:t>
            </a:r>
            <a:r>
              <a:rPr lang="en-US" sz="1800" b="1" i="0" baseline="-25000">
                <a:effectLst/>
              </a:rPr>
              <a:t>max</a:t>
            </a:r>
            <a:r>
              <a:rPr lang="en-US" sz="1800" b="1" i="0" baseline="0">
                <a:effectLst/>
              </a:rPr>
              <a:t> </a:t>
            </a:r>
            <a:endParaRPr lang="en-US">
              <a:effectLst/>
            </a:endParaRPr>
          </a:p>
        </c:rich>
      </c:tx>
      <c:overlay val="0"/>
    </c:title>
    <c:autoTitleDeleted val="0"/>
    <c:plotArea>
      <c:layout>
        <c:manualLayout>
          <c:layoutTarget val="inner"/>
          <c:xMode val="edge"/>
          <c:yMode val="edge"/>
          <c:x val="0.1001773676968737"/>
          <c:y val="0.10486322188449802"/>
          <c:w val="0.86453744493391849"/>
          <c:h val="0.73813329245878734"/>
        </c:manualLayout>
      </c:layout>
      <c:scatterChart>
        <c:scatterStyle val="lineMarker"/>
        <c:varyColors val="0"/>
        <c:ser>
          <c:idx val="1"/>
          <c:order val="0"/>
          <c:tx>
            <c:strRef>
              <c:f>'Normalized Sg'!$V$1</c:f>
              <c:strCache>
                <c:ptCount val="1"/>
              </c:strCache>
            </c:strRef>
          </c:tx>
          <c:spPr>
            <a:ln>
              <a:solidFill>
                <a:schemeClr val="accent6">
                  <a:lumMod val="60000"/>
                  <a:lumOff val="40000"/>
                </a:schemeClr>
              </a:solidFill>
            </a:ln>
          </c:spPr>
          <c:marker>
            <c:symbol val="square"/>
            <c:size val="4"/>
            <c:spPr>
              <a:solidFill>
                <a:schemeClr val="accent6">
                  <a:lumMod val="75000"/>
                </a:schemeClr>
              </a:solidFill>
              <a:ln>
                <a:solidFill>
                  <a:schemeClr val="accent6">
                    <a:lumMod val="75000"/>
                  </a:schemeClr>
                </a:solidFill>
              </a:ln>
            </c:spPr>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Sg'!$Z$11:$Z$136</c:f>
              <c:numCache>
                <c:formatCode>0.000</c:formatCode>
                <c:ptCount val="126"/>
              </c:numCache>
            </c:numRef>
          </c:yVal>
          <c:smooth val="0"/>
        </c:ser>
        <c:ser>
          <c:idx val="0"/>
          <c:order val="1"/>
          <c:tx>
            <c:strRef>
              <c:f>'Normalized Sg'!$V$2</c:f>
              <c:strCache>
                <c:ptCount val="1"/>
              </c:strCache>
            </c:strRef>
          </c:tx>
          <c:spPr>
            <a:ln>
              <a:solidFill>
                <a:schemeClr val="accent6">
                  <a:lumMod val="75000"/>
                </a:schemeClr>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Sg'!$V$11:$V$136</c:f>
              <c:numCache>
                <c:formatCode>0.000</c:formatCode>
                <c:ptCount val="126"/>
              </c:numCache>
            </c:numRef>
          </c:yVal>
          <c:smooth val="0"/>
        </c:ser>
        <c:ser>
          <c:idx val="2"/>
          <c:order val="2"/>
          <c:tx>
            <c:strRef>
              <c:f>'Normalized Sg'!$W$2</c:f>
              <c:strCache>
                <c:ptCount val="1"/>
              </c:strCache>
            </c:strRef>
          </c:tx>
          <c:spPr>
            <a:ln>
              <a:solidFill>
                <a:schemeClr val="accent6">
                  <a:lumMod val="75000"/>
                </a:schemeClr>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Sg'!$W$11:$W$136</c:f>
              <c:numCache>
                <c:formatCode>0.000</c:formatCode>
                <c:ptCount val="126"/>
              </c:numCache>
            </c:numRef>
          </c:yVal>
          <c:smooth val="0"/>
        </c:ser>
        <c:ser>
          <c:idx val="4"/>
          <c:order val="3"/>
          <c:tx>
            <c:strRef>
              <c:f>'Normalized Sg'!$X$2</c:f>
              <c:strCache>
                <c:ptCount val="1"/>
              </c:strCache>
            </c:strRef>
          </c:tx>
          <c:spPr>
            <a:ln>
              <a:solidFill>
                <a:schemeClr val="accent6">
                  <a:lumMod val="75000"/>
                </a:schemeClr>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Sg'!$X$11:$X$136</c:f>
              <c:numCache>
                <c:formatCode>0.000</c:formatCode>
                <c:ptCount val="126"/>
              </c:numCache>
            </c:numRef>
          </c:yVal>
          <c:smooth val="0"/>
        </c:ser>
        <c:ser>
          <c:idx val="3"/>
          <c:order val="4"/>
          <c:tx>
            <c:strRef>
              <c:f>'Normalized Sg'!$Y$2</c:f>
              <c:strCache>
                <c:ptCount val="1"/>
              </c:strCache>
            </c:strRef>
          </c:tx>
          <c:spPr>
            <a:ln w="28575">
              <a:solidFill>
                <a:schemeClr val="accent6">
                  <a:lumMod val="75000"/>
                </a:schemeClr>
              </a:solidFill>
            </a:ln>
          </c:spPr>
          <c:marker>
            <c:symbol val="none"/>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Sg'!$Y$11:$Y$161</c:f>
              <c:numCache>
                <c:formatCode>0.000</c:formatCode>
                <c:ptCount val="151"/>
              </c:numCache>
            </c:numRef>
          </c:yVal>
          <c:smooth val="0"/>
        </c:ser>
        <c:dLbls>
          <c:showLegendKey val="0"/>
          <c:showVal val="0"/>
          <c:showCatName val="0"/>
          <c:showSerName val="0"/>
          <c:showPercent val="0"/>
          <c:showBubbleSize val="0"/>
        </c:dLbls>
        <c:axId val="150223872"/>
        <c:axId val="150238336"/>
      </c:scatterChart>
      <c:valAx>
        <c:axId val="150223872"/>
        <c:scaling>
          <c:logBase val="10"/>
          <c:orientation val="minMax"/>
          <c:max val="150"/>
          <c:min val="1"/>
        </c:scaling>
        <c:delete val="0"/>
        <c:axPos val="b"/>
        <c:title>
          <c:tx>
            <c:rich>
              <a:bodyPr/>
              <a:lstStyle/>
              <a:p>
                <a:pPr>
                  <a:defRPr sz="1000" b="1" i="0" u="none" strike="noStrike" baseline="0">
                    <a:solidFill>
                      <a:srgbClr val="000000"/>
                    </a:solidFill>
                    <a:latin typeface="Calibri"/>
                    <a:ea typeface="Calibri"/>
                    <a:cs typeface="Calibri"/>
                  </a:defRPr>
                </a:pPr>
                <a:r>
                  <a:rPr lang="en-US" sz="1100" b="1" i="0" baseline="0"/>
                  <a:t>Gyration (Log</a:t>
                </a:r>
                <a:r>
                  <a:rPr lang="en-US" sz="1100" b="1" i="0" baseline="-25000"/>
                  <a:t>10</a:t>
                </a:r>
                <a:r>
                  <a:rPr lang="en-US" sz="1100" b="1" i="0" baseline="0"/>
                  <a:t> Scale)</a:t>
                </a:r>
                <a:endParaRPr lang="en-US" sz="1100"/>
              </a:p>
            </c:rich>
          </c:tx>
          <c:layout>
            <c:manualLayout>
              <c:xMode val="edge"/>
              <c:yMode val="edge"/>
              <c:x val="0.42211008835163238"/>
              <c:y val="0.87344080472950802"/>
            </c:manualLayout>
          </c:layout>
          <c:overlay val="0"/>
        </c:title>
        <c:numFmt formatCode="General" sourceLinked="1"/>
        <c:majorTickMark val="cross"/>
        <c:minorTickMark val="out"/>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50238336"/>
        <c:crosses val="autoZero"/>
        <c:crossBetween val="midCat"/>
        <c:minorUnit val="10"/>
      </c:valAx>
      <c:valAx>
        <c:axId val="150238336"/>
        <c:scaling>
          <c:orientation val="minMax"/>
          <c:max val="1"/>
          <c:min val="0.5"/>
        </c:scaling>
        <c:delete val="0"/>
        <c:axPos val="l"/>
        <c:majorGridlines/>
        <c:numFmt formatCode="0.0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50223872"/>
        <c:crosses val="autoZero"/>
        <c:crossBetween val="midCat"/>
      </c:valAx>
    </c:plotArea>
    <c:legend>
      <c:legendPos val="b"/>
      <c:layout>
        <c:manualLayout>
          <c:xMode val="edge"/>
          <c:yMode val="edge"/>
          <c:x val="6.8013082708293163E-2"/>
          <c:y val="0.91889166299973435"/>
          <c:w val="0.89999995386590004"/>
          <c:h val="3.6495104571054808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sz="1800" b="1" i="0" baseline="0">
                <a:effectLst/>
              </a:rPr>
              <a:t>Normalized Shear: Sg</a:t>
            </a:r>
            <a:r>
              <a:rPr lang="en-US" sz="1800" b="1" i="0" baseline="-25000">
                <a:effectLst/>
              </a:rPr>
              <a:t>norm</a:t>
            </a:r>
            <a:r>
              <a:rPr lang="en-US" sz="1800" b="1" i="0" baseline="0">
                <a:effectLst/>
              </a:rPr>
              <a:t> = Sg/Sg</a:t>
            </a:r>
            <a:r>
              <a:rPr lang="en-US" sz="1800" b="1" i="0" baseline="-25000">
                <a:effectLst/>
              </a:rPr>
              <a:t>max</a:t>
            </a:r>
            <a:r>
              <a:rPr lang="en-US" sz="1800" b="1" i="0" baseline="0">
                <a:effectLst/>
              </a:rPr>
              <a:t> </a:t>
            </a:r>
            <a:endParaRPr lang="en-US">
              <a:effectLst/>
            </a:endParaRPr>
          </a:p>
        </c:rich>
      </c:tx>
      <c:overlay val="0"/>
    </c:title>
    <c:autoTitleDeleted val="0"/>
    <c:plotArea>
      <c:layout>
        <c:manualLayout>
          <c:layoutTarget val="inner"/>
          <c:xMode val="edge"/>
          <c:yMode val="edge"/>
          <c:x val="0.10017736769687367"/>
          <c:y val="0.10486322188449802"/>
          <c:w val="0.86453744493391849"/>
          <c:h val="0.73813329245878756"/>
        </c:manualLayout>
      </c:layout>
      <c:scatterChart>
        <c:scatterStyle val="lineMarker"/>
        <c:varyColors val="0"/>
        <c:ser>
          <c:idx val="1"/>
          <c:order val="0"/>
          <c:tx>
            <c:strRef>
              <c:f>'Normalized Sg'!$AA$1:$AD$1</c:f>
              <c:strCache>
                <c:ptCount val="1"/>
              </c:strCache>
            </c:strRef>
          </c:tx>
          <c:spPr>
            <a:ln>
              <a:solidFill>
                <a:schemeClr val="accent4">
                  <a:lumMod val="40000"/>
                  <a:lumOff val="60000"/>
                </a:schemeClr>
              </a:solidFill>
            </a:ln>
          </c:spPr>
          <c:marker>
            <c:symbol val="star"/>
            <c:size val="7"/>
            <c:spPr>
              <a:noFill/>
              <a:ln>
                <a:solidFill>
                  <a:schemeClr val="accent4"/>
                </a:solidFill>
              </a:ln>
            </c:spPr>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Sg'!$AE$11:$AE$136</c:f>
              <c:numCache>
                <c:formatCode>0.000</c:formatCode>
                <c:ptCount val="126"/>
              </c:numCache>
            </c:numRef>
          </c:yVal>
          <c:smooth val="0"/>
        </c:ser>
        <c:ser>
          <c:idx val="0"/>
          <c:order val="1"/>
          <c:tx>
            <c:strRef>
              <c:f>'Normalized Sg'!$AA$2</c:f>
              <c:strCache>
                <c:ptCount val="1"/>
              </c:strCache>
            </c:strRef>
          </c:tx>
          <c:spPr>
            <a:ln>
              <a:solidFill>
                <a:schemeClr val="accent4"/>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Sg'!$AA$11:$AA$136</c:f>
              <c:numCache>
                <c:formatCode>0.000</c:formatCode>
                <c:ptCount val="126"/>
              </c:numCache>
            </c:numRef>
          </c:yVal>
          <c:smooth val="0"/>
        </c:ser>
        <c:ser>
          <c:idx val="2"/>
          <c:order val="2"/>
          <c:tx>
            <c:strRef>
              <c:f>'Normalized Sg'!$AB$2</c:f>
              <c:strCache>
                <c:ptCount val="1"/>
              </c:strCache>
            </c:strRef>
          </c:tx>
          <c:spPr>
            <a:ln>
              <a:solidFill>
                <a:schemeClr val="accent4"/>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Sg'!$AB$11:$AB$136</c:f>
              <c:numCache>
                <c:formatCode>0.000</c:formatCode>
                <c:ptCount val="126"/>
              </c:numCache>
            </c:numRef>
          </c:yVal>
          <c:smooth val="0"/>
        </c:ser>
        <c:ser>
          <c:idx val="4"/>
          <c:order val="3"/>
          <c:tx>
            <c:strRef>
              <c:f>'Normalized Sg'!$AC$2</c:f>
              <c:strCache>
                <c:ptCount val="1"/>
              </c:strCache>
            </c:strRef>
          </c:tx>
          <c:spPr>
            <a:ln>
              <a:solidFill>
                <a:schemeClr val="accent4"/>
              </a:solidFill>
            </a:ln>
          </c:spPr>
          <c:marker>
            <c:symbol val="none"/>
          </c:marker>
          <c:xVal>
            <c:numRef>
              <c:f>'Normalized Sg'!$A$11:$A$136</c:f>
              <c:numCache>
                <c:formatCode>General</c:formatCod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numCache>
            </c:numRef>
          </c:xVal>
          <c:yVal>
            <c:numRef>
              <c:f>'Normalized Sg'!$AC$11:$AC$136</c:f>
              <c:numCache>
                <c:formatCode>0.000</c:formatCode>
                <c:ptCount val="126"/>
              </c:numCache>
            </c:numRef>
          </c:yVal>
          <c:smooth val="0"/>
        </c:ser>
        <c:ser>
          <c:idx val="3"/>
          <c:order val="4"/>
          <c:tx>
            <c:strRef>
              <c:f>'Normalized Sg'!$AD$2</c:f>
              <c:strCache>
                <c:ptCount val="1"/>
              </c:strCache>
            </c:strRef>
          </c:tx>
          <c:spPr>
            <a:ln w="28575">
              <a:solidFill>
                <a:schemeClr val="accent4"/>
              </a:solidFill>
            </a:ln>
          </c:spPr>
          <c:marker>
            <c:symbol val="none"/>
          </c:marker>
          <c:xVal>
            <c:numRef>
              <c:f>'Normalized Sg'!$A$11:$A$161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'Normalized Sg'!$AD$11:$AD$161</c:f>
              <c:numCache>
                <c:formatCode>0.000</c:formatCode>
                <c:ptCount val="151"/>
              </c:numCache>
            </c:numRef>
          </c:yVal>
          <c:smooth val="0"/>
        </c:ser>
        <c:dLbls>
          <c:showLegendKey val="0"/>
          <c:showVal val="0"/>
          <c:showCatName val="0"/>
          <c:showSerName val="0"/>
          <c:showPercent val="0"/>
          <c:showBubbleSize val="0"/>
        </c:dLbls>
        <c:axId val="151648512"/>
        <c:axId val="151662976"/>
      </c:scatterChart>
      <c:valAx>
        <c:axId val="151648512"/>
        <c:scaling>
          <c:logBase val="10"/>
          <c:orientation val="minMax"/>
          <c:max val="150"/>
          <c:min val="1"/>
        </c:scaling>
        <c:delete val="0"/>
        <c:axPos val="b"/>
        <c:title>
          <c:tx>
            <c:rich>
              <a:bodyPr/>
              <a:lstStyle/>
              <a:p>
                <a:pPr>
                  <a:defRPr sz="1000" b="1" i="0" u="none" strike="noStrike" baseline="0">
                    <a:solidFill>
                      <a:srgbClr val="000000"/>
                    </a:solidFill>
                    <a:latin typeface="Calibri"/>
                    <a:ea typeface="Calibri"/>
                    <a:cs typeface="Calibri"/>
                  </a:defRPr>
                </a:pPr>
                <a:r>
                  <a:rPr lang="en-US" sz="1100" b="1" i="0" baseline="0"/>
                  <a:t>Gyration (Log</a:t>
                </a:r>
                <a:r>
                  <a:rPr lang="en-US" sz="1100" b="1" i="0" baseline="-25000"/>
                  <a:t>10</a:t>
                </a:r>
                <a:r>
                  <a:rPr lang="en-US" sz="1100" b="1" i="0" baseline="0"/>
                  <a:t> Scale)</a:t>
                </a:r>
              </a:p>
            </c:rich>
          </c:tx>
          <c:layout>
            <c:manualLayout>
              <c:xMode val="edge"/>
              <c:yMode val="edge"/>
              <c:x val="0.41444424420538989"/>
              <c:y val="0.87748611217287165"/>
            </c:manualLayout>
          </c:layout>
          <c:overlay val="0"/>
        </c:title>
        <c:numFmt formatCode="General" sourceLinked="1"/>
        <c:majorTickMark val="cross"/>
        <c:minorTickMark val="out"/>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51662976"/>
        <c:crosses val="autoZero"/>
        <c:crossBetween val="midCat"/>
        <c:minorUnit val="10"/>
      </c:valAx>
      <c:valAx>
        <c:axId val="151662976"/>
        <c:scaling>
          <c:orientation val="minMax"/>
          <c:max val="1"/>
          <c:min val="0.5"/>
        </c:scaling>
        <c:delete val="0"/>
        <c:axPos val="l"/>
        <c:majorGridlines/>
        <c:numFmt formatCode="0.0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51648512"/>
        <c:crosses val="autoZero"/>
        <c:crossBetween val="midCat"/>
      </c:valAx>
    </c:plotArea>
    <c:legend>
      <c:legendPos val="b"/>
      <c:layout>
        <c:manualLayout>
          <c:xMode val="edge"/>
          <c:yMode val="edge"/>
          <c:x val="5.9210264870060522E-2"/>
          <c:y val="0.91889166299973446"/>
          <c:w val="0.90880281690140863"/>
          <c:h val="3.6495104571054815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Gyration (N) at %Sg</a:t>
            </a:r>
            <a:r>
              <a:rPr lang="en-US" baseline="-25000"/>
              <a:t>norm</a:t>
            </a:r>
            <a:endParaRPr lang="en-US"/>
          </a:p>
        </c:rich>
      </c:tx>
      <c:layout>
        <c:manualLayout>
          <c:xMode val="edge"/>
          <c:yMode val="edge"/>
          <c:x val="0.35441030368563747"/>
          <c:y val="2.0539172591290292E-2"/>
        </c:manualLayout>
      </c:layout>
      <c:overlay val="1"/>
    </c:title>
    <c:autoTitleDeleted val="0"/>
    <c:plotArea>
      <c:layout>
        <c:manualLayout>
          <c:layoutTarget val="inner"/>
          <c:xMode val="edge"/>
          <c:yMode val="edge"/>
          <c:x val="8.3034898415486016E-2"/>
          <c:y val="9.4351652761620747E-2"/>
          <c:w val="0.87529933758284451"/>
          <c:h val="0.79257312621775156"/>
        </c:manualLayout>
      </c:layout>
      <c:barChart>
        <c:barDir val="col"/>
        <c:grouping val="clustered"/>
        <c:varyColors val="0"/>
        <c:ser>
          <c:idx val="0"/>
          <c:order val="0"/>
          <c:tx>
            <c:strRef>
              <c:f>'Normalized Sg'!$B$1:$E$1</c:f>
              <c:strCache>
                <c:ptCount val="1"/>
              </c:strCache>
            </c:strRef>
          </c:tx>
          <c:spPr>
            <a:solidFill>
              <a:schemeClr val="tx2">
                <a:lumMod val="40000"/>
                <a:lumOff val="6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'Normalized Sg'!$F$8</c:f>
                <c:numCache>
                  <c:formatCode>General</c:formatCode>
                  <c:ptCount val="1"/>
                </c:numCache>
              </c:numRef>
            </c:plus>
            <c:minus>
              <c:numRef>
                <c:f>'Normalized Sg'!$F$8</c:f>
                <c:numCache>
                  <c:formatCode>General</c:formatCode>
                  <c:ptCount val="1"/>
                </c:numCache>
              </c:numRef>
            </c:minus>
            <c:spPr>
              <a:ln w="15875"/>
            </c:spPr>
          </c:errBars>
          <c:val>
            <c:numRef>
              <c:f>'Normalized Sg'!$F$9</c:f>
              <c:numCache>
                <c:formatCode>\x\̅\ 0.0</c:formatCode>
                <c:ptCount val="1"/>
              </c:numCache>
            </c:numRef>
          </c:val>
        </c:ser>
        <c:ser>
          <c:idx val="1"/>
          <c:order val="1"/>
          <c:tx>
            <c:strRef>
              <c:f>'Normalized Sg'!$G$1:$J$1</c:f>
              <c:strCache>
                <c:ptCount val="1"/>
              </c:strCache>
            </c:strRef>
          </c:tx>
          <c:spPr>
            <a:solidFill>
              <a:schemeClr val="accent3">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'Normalized Sg'!$K$8</c:f>
                <c:numCache>
                  <c:formatCode>General</c:formatCode>
                  <c:ptCount val="1"/>
                </c:numCache>
              </c:numRef>
            </c:plus>
            <c:minus>
              <c:numRef>
                <c:f>'Normalized Sg'!$K$8</c:f>
                <c:numCache>
                  <c:formatCode>General</c:formatCode>
                  <c:ptCount val="1"/>
                </c:numCache>
              </c:numRef>
            </c:minus>
            <c:spPr>
              <a:ln w="15875" cap="rnd"/>
            </c:spPr>
          </c:errBars>
          <c:val>
            <c:numRef>
              <c:f>'Normalized Sg'!$K$9</c:f>
              <c:numCache>
                <c:formatCode>\x\̅\ 0.0</c:formatCode>
                <c:ptCount val="1"/>
              </c:numCache>
            </c:numRef>
          </c:val>
        </c:ser>
        <c:ser>
          <c:idx val="2"/>
          <c:order val="2"/>
          <c:tx>
            <c:strRef>
              <c:f>'Normalized Sg'!$L$1:$O$1</c:f>
              <c:strCache>
                <c:ptCount val="1"/>
              </c:strCache>
            </c:strRef>
          </c:tx>
          <c:spPr>
            <a:solidFill>
              <a:schemeClr val="accent2">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'Normalized Sg'!$P$8</c:f>
                <c:numCache>
                  <c:formatCode>General</c:formatCode>
                  <c:ptCount val="1"/>
                </c:numCache>
              </c:numRef>
            </c:plus>
            <c:minus>
              <c:numRef>
                <c:f>'Normalized Sg'!$P$8</c:f>
                <c:numCache>
                  <c:formatCode>General</c:formatCode>
                  <c:ptCount val="1"/>
                </c:numCache>
              </c:numRef>
            </c:minus>
            <c:spPr>
              <a:ln w="15875"/>
            </c:spPr>
          </c:errBars>
          <c:val>
            <c:numRef>
              <c:f>'Normalized Sg'!$P$9</c:f>
              <c:numCache>
                <c:formatCode>\x\̅\ 0.0</c:formatCode>
                <c:ptCount val="1"/>
              </c:numCache>
            </c:numRef>
          </c:val>
        </c:ser>
        <c:ser>
          <c:idx val="3"/>
          <c:order val="3"/>
          <c:tx>
            <c:strRef>
              <c:f>'Normalized Sg'!$Q$1:$T$1</c:f>
              <c:strCache>
                <c:ptCount val="1"/>
              </c:strCache>
            </c:strRef>
          </c:tx>
          <c:spPr>
            <a:solidFill>
              <a:schemeClr val="accent5">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'Normalized Sg'!$U$8</c:f>
                <c:numCache>
                  <c:formatCode>General</c:formatCode>
                  <c:ptCount val="1"/>
                </c:numCache>
              </c:numRef>
            </c:plus>
            <c:minus>
              <c:numRef>
                <c:f>'Normalized Sg'!$U$8</c:f>
                <c:numCache>
                  <c:formatCode>General</c:formatCode>
                  <c:ptCount val="1"/>
                </c:numCache>
              </c:numRef>
            </c:minus>
            <c:spPr>
              <a:ln w="15875"/>
            </c:spPr>
          </c:errBars>
          <c:val>
            <c:numRef>
              <c:f>'Normalized Sg'!$U$9</c:f>
              <c:numCache>
                <c:formatCode>\x\̅\ 0.0</c:formatCode>
                <c:ptCount val="1"/>
              </c:numCache>
            </c:numRef>
          </c:val>
        </c:ser>
        <c:ser>
          <c:idx val="4"/>
          <c:order val="4"/>
          <c:tx>
            <c:strRef>
              <c:f>'Normalized Sg'!$V$1:$Y$1</c:f>
              <c:strCache>
                <c:ptCount val="1"/>
              </c:strCache>
            </c:strRef>
          </c:tx>
          <c:spPr>
            <a:solidFill>
              <a:schemeClr val="accent6">
                <a:lumMod val="60000"/>
                <a:lumOff val="40000"/>
              </a:schemeClr>
            </a:solidFill>
            <a:ln>
              <a:solidFill>
                <a:schemeClr val="tx1"/>
              </a:solidFill>
            </a:ln>
          </c:spPr>
          <c:invertIfNegative val="0"/>
          <c:dLbls>
            <c:dLbl>
              <c:idx val="0"/>
              <c:spPr/>
              <c:txPr>
                <a:bodyPr rot="-5400000" vert="horz"/>
                <a:lstStyle/>
                <a:p>
                  <a:pPr>
                    <a:defRPr/>
                  </a:pPr>
                  <a:endParaRPr lang="en-US"/>
                </a:p>
              </c:txPr>
              <c:dLblPos val="ctr"/>
              <c:showLegendKey val="0"/>
              <c:showVal val="1"/>
              <c:showCatName val="0"/>
              <c:showSerName val="1"/>
              <c:showPercent val="0"/>
              <c:showBubbleSize val="0"/>
              <c:separator>
</c:separator>
            </c:dLbl>
            <c:showLegendKey val="0"/>
            <c:showVal val="1"/>
            <c:showCatName val="0"/>
            <c:showSerName val="0"/>
            <c:showPercent val="0"/>
            <c:showBubbleSize val="0"/>
            <c:showLeaderLines val="0"/>
          </c:dLbls>
          <c:errBars>
            <c:errBarType val="both"/>
            <c:errValType val="cust"/>
            <c:noEndCap val="0"/>
            <c:plus>
              <c:numRef>
                <c:f>'Normalized Sg'!$Z$8</c:f>
                <c:numCache>
                  <c:formatCode>General</c:formatCode>
                  <c:ptCount val="1"/>
                </c:numCache>
              </c:numRef>
            </c:plus>
            <c:minus>
              <c:numRef>
                <c:f>'Normalized Sg'!$Z$8</c:f>
                <c:numCache>
                  <c:formatCode>General</c:formatCode>
                  <c:ptCount val="1"/>
                </c:numCache>
              </c:numRef>
            </c:minus>
            <c:spPr>
              <a:ln w="15875">
                <a:solidFill>
                  <a:schemeClr val="tx1"/>
                </a:solidFill>
              </a:ln>
            </c:spPr>
          </c:errBars>
          <c:val>
            <c:numRef>
              <c:f>'Normalized Sg'!$Z$9</c:f>
              <c:numCache>
                <c:formatCode>\x\̅\ 0.0</c:formatCode>
                <c:ptCount val="1"/>
              </c:numCache>
            </c:numRef>
          </c:val>
        </c:ser>
        <c:ser>
          <c:idx val="5"/>
          <c:order val="5"/>
          <c:tx>
            <c:strRef>
              <c:f>'Normalized Sg'!$AA$1:$AD$1</c:f>
              <c:strCache>
                <c:ptCount val="1"/>
              </c:strCache>
            </c:strRef>
          </c:tx>
          <c:spPr>
            <a:solidFill>
              <a:schemeClr val="accent4">
                <a:lumMod val="40000"/>
                <a:lumOff val="6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'Normalized Sg'!$AE$8</c:f>
                <c:numCache>
                  <c:formatCode>General</c:formatCode>
                  <c:ptCount val="1"/>
                </c:numCache>
              </c:numRef>
            </c:plus>
            <c:minus>
              <c:numRef>
                <c:f>'Normalized Sg'!$AE$8</c:f>
                <c:numCache>
                  <c:formatCode>General</c:formatCode>
                  <c:ptCount val="1"/>
                </c:numCache>
              </c:numRef>
            </c:minus>
            <c:spPr>
              <a:ln w="15875">
                <a:solidFill>
                  <a:schemeClr val="tx1"/>
                </a:solidFill>
              </a:ln>
            </c:spPr>
          </c:errBars>
          <c:val>
            <c:numRef>
              <c:f>'Normalized Sg'!$AE$9</c:f>
              <c:numCache>
                <c:formatCode>\x\̅\ 0.0</c:formatCode>
                <c:ptCount val="1"/>
              </c:numCache>
            </c:numRef>
          </c:val>
        </c:ser>
        <c:dLbls>
          <c:showLegendKey val="0"/>
          <c:showVal val="1"/>
          <c:showCatName val="0"/>
          <c:showSerName val="0"/>
          <c:showPercent val="0"/>
          <c:showBubbleSize val="0"/>
        </c:dLbls>
        <c:gapWidth val="150"/>
        <c:overlap val="-20"/>
        <c:axId val="153893120"/>
        <c:axId val="153911296"/>
      </c:barChart>
      <c:catAx>
        <c:axId val="153893120"/>
        <c:scaling>
          <c:orientation val="minMax"/>
        </c:scaling>
        <c:delete val="1"/>
        <c:axPos val="b"/>
        <c:majorTickMark val="out"/>
        <c:minorTickMark val="none"/>
        <c:tickLblPos val="none"/>
        <c:crossAx val="153911296"/>
        <c:crosses val="autoZero"/>
        <c:auto val="0"/>
        <c:lblAlgn val="ctr"/>
        <c:lblOffset val="100"/>
        <c:noMultiLvlLbl val="0"/>
      </c:catAx>
      <c:valAx>
        <c:axId val="153911296"/>
        <c:scaling>
          <c:orientation val="minMax"/>
          <c:max val="80"/>
          <c:min val="0"/>
        </c:scaling>
        <c:delete val="0"/>
        <c:axPos val="l"/>
        <c:majorGridlines/>
        <c:numFmt formatCode="#,##0" sourceLinked="0"/>
        <c:majorTickMark val="out"/>
        <c:minorTickMark val="none"/>
        <c:tickLblPos val="nextTo"/>
        <c:crossAx val="153893120"/>
        <c:crosses val="autoZero"/>
        <c:crossBetween val="between"/>
      </c:valAx>
    </c:plotArea>
    <c:legend>
      <c:legendPos val="r"/>
      <c:layout>
        <c:manualLayout>
          <c:xMode val="edge"/>
          <c:yMode val="edge"/>
          <c:x val="7.9255965583527405E-2"/>
          <c:y val="0.91674693575924349"/>
          <c:w val="0.86838980074673777"/>
          <c:h val="4.6845297250465039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N-S</a:t>
            </a:r>
            <a:r>
              <a:rPr lang="en-US" baseline="-25000"/>
              <a:t>g</a:t>
            </a:r>
            <a:r>
              <a:rPr lang="en-US" sz="1400" b="1" i="0" u="none" strike="noStrike" baseline="0"/>
              <a:t>(fit) Max</a:t>
            </a:r>
          </a:p>
        </c:rich>
      </c:tx>
      <c:layout>
        <c:manualLayout>
          <c:xMode val="edge"/>
          <c:yMode val="edge"/>
          <c:x val="0.41162858548932424"/>
          <c:y val="1.8516472148863941E-2"/>
        </c:manualLayout>
      </c:layout>
      <c:overlay val="1"/>
    </c:title>
    <c:autoTitleDeleted val="0"/>
    <c:plotArea>
      <c:layout>
        <c:manualLayout>
          <c:layoutTarget val="inner"/>
          <c:xMode val="edge"/>
          <c:yMode val="edge"/>
          <c:x val="8.3034898415486016E-2"/>
          <c:y val="9.4351652761620747E-2"/>
          <c:w val="0.87529933758284451"/>
          <c:h val="0.79257312621775156"/>
        </c:manualLayout>
      </c:layout>
      <c:barChart>
        <c:barDir val="col"/>
        <c:grouping val="clustered"/>
        <c:varyColors val="0"/>
        <c:ser>
          <c:idx val="0"/>
          <c:order val="0"/>
          <c:tx>
            <c:strRef>
              <c:f>'Sg(kPa) Fit'!$B$1:$E$1</c:f>
              <c:strCache>
                <c:ptCount val="1"/>
              </c:strCache>
            </c:strRef>
          </c:tx>
          <c:spPr>
            <a:solidFill>
              <a:schemeClr val="tx2">
                <a:lumMod val="40000"/>
                <a:lumOff val="6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'Sg(kPa) Fit'!$F$7</c:f>
                <c:numCache>
                  <c:formatCode>General</c:formatCode>
                  <c:ptCount val="1"/>
                </c:numCache>
              </c:numRef>
            </c:plus>
            <c:minus>
              <c:numRef>
                <c:f>'Sg(kPa) Fit'!$F$7</c:f>
                <c:numCache>
                  <c:formatCode>General</c:formatCode>
                  <c:ptCount val="1"/>
                </c:numCache>
              </c:numRef>
            </c:minus>
            <c:spPr>
              <a:ln w="15875"/>
            </c:spPr>
          </c:errBars>
          <c:val>
            <c:numRef>
              <c:f>'Sg(kPa) Fit'!$F$8</c:f>
              <c:numCache>
                <c:formatCode>\x\̅\ 0.0</c:formatCode>
                <c:ptCount val="1"/>
              </c:numCache>
            </c:numRef>
          </c:val>
        </c:ser>
        <c:ser>
          <c:idx val="1"/>
          <c:order val="1"/>
          <c:tx>
            <c:strRef>
              <c:f>'Sg(kPa) Fit'!$G$1:$J$1</c:f>
              <c:strCache>
                <c:ptCount val="1"/>
              </c:strCache>
            </c:strRef>
          </c:tx>
          <c:spPr>
            <a:solidFill>
              <a:schemeClr val="accent3">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'Sg(kPa) Fit'!$K$7</c:f>
                <c:numCache>
                  <c:formatCode>General</c:formatCode>
                  <c:ptCount val="1"/>
                </c:numCache>
              </c:numRef>
            </c:plus>
            <c:minus>
              <c:numRef>
                <c:f>'Sg(kPa) Fit'!$K$7</c:f>
                <c:numCache>
                  <c:formatCode>General</c:formatCode>
                  <c:ptCount val="1"/>
                </c:numCache>
              </c:numRef>
            </c:minus>
            <c:spPr>
              <a:ln w="15875"/>
            </c:spPr>
          </c:errBars>
          <c:val>
            <c:numRef>
              <c:f>'Sg(kPa) Fit'!$K$8</c:f>
              <c:numCache>
                <c:formatCode>\x\̅\ 0.0</c:formatCode>
                <c:ptCount val="1"/>
              </c:numCache>
            </c:numRef>
          </c:val>
        </c:ser>
        <c:ser>
          <c:idx val="2"/>
          <c:order val="2"/>
          <c:tx>
            <c:strRef>
              <c:f>'Sg(kPa) Fit'!$L$1:$O$1</c:f>
              <c:strCache>
                <c:ptCount val="1"/>
              </c:strCache>
            </c:strRef>
          </c:tx>
          <c:spPr>
            <a:solidFill>
              <a:schemeClr val="accent2">
                <a:lumMod val="60000"/>
                <a:lumOff val="40000"/>
              </a:schemeClr>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'Sg(kPa) Fit'!$P$7</c:f>
                <c:numCache>
                  <c:formatCode>General</c:formatCode>
                  <c:ptCount val="1"/>
                </c:numCache>
              </c:numRef>
            </c:plus>
            <c:minus>
              <c:numRef>
                <c:f>'Sg(kPa) Fit'!$P$7</c:f>
                <c:numCache>
                  <c:formatCode>General</c:formatCode>
                  <c:ptCount val="1"/>
                </c:numCache>
              </c:numRef>
            </c:minus>
            <c:spPr>
              <a:ln w="15875"/>
            </c:spPr>
          </c:errBars>
          <c:val>
            <c:numRef>
              <c:f>'Sg(kPa) Fit'!$P$8</c:f>
              <c:numCache>
                <c:formatCode>\x\̅\ 0.0</c:formatCode>
                <c:ptCount val="1"/>
              </c:numCache>
            </c:numRef>
          </c:val>
        </c:ser>
        <c:ser>
          <c:idx val="4"/>
          <c:order val="3"/>
          <c:tx>
            <c:strRef>
              <c:f>'Sg(kPa) Fit'!$Q$1:$T$1</c:f>
              <c:strCache>
                <c:ptCount val="1"/>
              </c:strCache>
            </c:strRef>
          </c:tx>
          <c:spPr>
            <a:solidFill>
              <a:srgbClr val="93CDDD"/>
            </a:solidFill>
            <a:ln>
              <a:solidFill>
                <a:prstClr val="black"/>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'Sg(kPa) Fit'!$U$7</c:f>
                <c:numCache>
                  <c:formatCode>General</c:formatCode>
                  <c:ptCount val="1"/>
                </c:numCache>
              </c:numRef>
            </c:plus>
            <c:minus>
              <c:numRef>
                <c:f>'Sg(kPa) Fit'!$U$7</c:f>
                <c:numCache>
                  <c:formatCode>General</c:formatCode>
                  <c:ptCount val="1"/>
                </c:numCache>
              </c:numRef>
            </c:minus>
            <c:spPr>
              <a:ln w="15875"/>
            </c:spPr>
          </c:errBars>
          <c:val>
            <c:numRef>
              <c:f>'Sg(kPa) Fit'!$U$8</c:f>
              <c:numCache>
                <c:formatCode>\x\̅\ 0.0</c:formatCode>
                <c:ptCount val="1"/>
              </c:numCache>
            </c:numRef>
          </c:val>
        </c:ser>
        <c:ser>
          <c:idx val="3"/>
          <c:order val="4"/>
          <c:tx>
            <c:strRef>
              <c:f>'Sg(kPa) Fit'!$V$1:$Y$1</c:f>
              <c:strCache>
                <c:ptCount val="1"/>
              </c:strCache>
            </c:strRef>
          </c:tx>
          <c:spPr>
            <a:solidFill>
              <a:srgbClr val="F79646">
                <a:lumMod val="60000"/>
                <a:lumOff val="40000"/>
              </a:srgbClr>
            </a:solidFill>
            <a:ln>
              <a:solidFill>
                <a:srgbClr val="000000"/>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percentage"/>
            <c:noEndCap val="0"/>
            <c:val val="5"/>
            <c:spPr>
              <a:ln w="15875"/>
            </c:spPr>
          </c:errBars>
          <c:val>
            <c:numRef>
              <c:f>'Sg(kPa) Fit'!$Z$8</c:f>
              <c:numCache>
                <c:formatCode>\x\̅\ 0.0</c:formatCode>
                <c:ptCount val="1"/>
              </c:numCache>
            </c:numRef>
          </c:val>
        </c:ser>
        <c:ser>
          <c:idx val="5"/>
          <c:order val="5"/>
          <c:tx>
            <c:strRef>
              <c:f>'Sg(kPa) Fit'!$AA$1:$AD$1</c:f>
              <c:strCache>
                <c:ptCount val="1"/>
              </c:strCache>
            </c:strRef>
          </c:tx>
          <c:spPr>
            <a:solidFill>
              <a:schemeClr val="accent4">
                <a:lumMod val="40000"/>
                <a:lumOff val="60000"/>
              </a:schemeClr>
            </a:solidFill>
            <a:ln>
              <a:solidFill>
                <a:schemeClr val="tx1"/>
              </a:solidFill>
            </a:ln>
          </c:spPr>
          <c:invertIfNegative val="0"/>
          <c:dLbls>
            <c:txPr>
              <a:bodyPr rot="-5400000" vert="horz"/>
              <a:lstStyle/>
              <a:p>
                <a:pPr>
                  <a:defRPr/>
                </a:pPr>
                <a:endParaRPr lang="en-US"/>
              </a:p>
            </c:txPr>
            <c:dLblPos val="ctr"/>
            <c:showLegendKey val="0"/>
            <c:showVal val="1"/>
            <c:showCatName val="0"/>
            <c:showSerName val="1"/>
            <c:showPercent val="0"/>
            <c:showBubbleSize val="0"/>
            <c:separator>
</c:separator>
            <c:showLeaderLines val="0"/>
          </c:dLbls>
          <c:errBars>
            <c:errBarType val="both"/>
            <c:errValType val="cust"/>
            <c:noEndCap val="0"/>
            <c:plus>
              <c:numRef>
                <c:f>'Sg(kPa) Fit'!$AE$7</c:f>
                <c:numCache>
                  <c:formatCode>General</c:formatCode>
                  <c:ptCount val="1"/>
                </c:numCache>
              </c:numRef>
            </c:plus>
            <c:minus>
              <c:numRef>
                <c:f>'Sg(kPa) Fit'!$AE$7</c:f>
                <c:numCache>
                  <c:formatCode>General</c:formatCode>
                  <c:ptCount val="1"/>
                </c:numCache>
              </c:numRef>
            </c:minus>
            <c:spPr>
              <a:ln w="15875">
                <a:solidFill>
                  <a:schemeClr val="tx1"/>
                </a:solidFill>
              </a:ln>
            </c:spPr>
          </c:errBars>
          <c:val>
            <c:numRef>
              <c:f>'Sg(kPa) Fit'!$AE$8</c:f>
              <c:numCache>
                <c:formatCode>\x\̅\ 0.0</c:formatCode>
                <c:ptCount val="1"/>
              </c:numCache>
            </c:numRef>
          </c:val>
        </c:ser>
        <c:dLbls>
          <c:showLegendKey val="0"/>
          <c:showVal val="1"/>
          <c:showCatName val="0"/>
          <c:showSerName val="0"/>
          <c:showPercent val="0"/>
          <c:showBubbleSize val="0"/>
        </c:dLbls>
        <c:gapWidth val="150"/>
        <c:overlap val="-20"/>
        <c:axId val="151378176"/>
        <c:axId val="153960448"/>
      </c:barChart>
      <c:catAx>
        <c:axId val="151378176"/>
        <c:scaling>
          <c:orientation val="minMax"/>
        </c:scaling>
        <c:delete val="1"/>
        <c:axPos val="b"/>
        <c:majorTickMark val="out"/>
        <c:minorTickMark val="none"/>
        <c:tickLblPos val="none"/>
        <c:crossAx val="153960448"/>
        <c:crosses val="autoZero"/>
        <c:auto val="0"/>
        <c:lblAlgn val="ctr"/>
        <c:lblOffset val="100"/>
        <c:noMultiLvlLbl val="0"/>
      </c:catAx>
      <c:valAx>
        <c:axId val="153960448"/>
        <c:scaling>
          <c:orientation val="minMax"/>
          <c:min val="0"/>
        </c:scaling>
        <c:delete val="0"/>
        <c:axPos val="l"/>
        <c:majorGridlines/>
        <c:numFmt formatCode="#,##0" sourceLinked="0"/>
        <c:majorTickMark val="out"/>
        <c:minorTickMark val="none"/>
        <c:tickLblPos val="nextTo"/>
        <c:crossAx val="151378176"/>
        <c:crosses val="autoZero"/>
        <c:crossBetween val="between"/>
      </c:valAx>
    </c:plotArea>
    <c:legend>
      <c:legendPos val="r"/>
      <c:layout>
        <c:manualLayout>
          <c:xMode val="edge"/>
          <c:yMode val="edge"/>
          <c:x val="8.2206873128535002E-2"/>
          <c:y val="0.92281935631832934"/>
          <c:w val="0.87572548149791163"/>
          <c:h val="4.2795530413067433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000000"/>
                </a:solidFill>
                <a:latin typeface="Calibri"/>
                <a:cs typeface="Calibri"/>
              </a:rPr>
              <a:t>Shear (kPa) </a:t>
            </a:r>
          </a:p>
          <a:p>
            <a:pPr>
              <a:defRPr sz="1000" b="0" i="0" u="none" strike="noStrike" baseline="0">
                <a:solidFill>
                  <a:srgbClr val="000000"/>
                </a:solidFill>
                <a:latin typeface="Calibri"/>
                <a:ea typeface="Calibri"/>
                <a:cs typeface="Calibri"/>
              </a:defRPr>
            </a:pPr>
            <a:r>
              <a:rPr lang="en-US" sz="1200" b="1" i="0" u="none" strike="noStrike" baseline="0">
                <a:solidFill>
                  <a:srgbClr val="000000"/>
                </a:solidFill>
                <a:latin typeface="Calibri"/>
                <a:cs typeface="Calibri"/>
              </a:rPr>
              <a:t>2nd-Order Polynomial Fit</a:t>
            </a:r>
            <a:endParaRPr lang="en-US"/>
          </a:p>
        </c:rich>
      </c:tx>
      <c:overlay val="0"/>
    </c:title>
    <c:autoTitleDeleted val="0"/>
    <c:plotArea>
      <c:layout>
        <c:manualLayout>
          <c:layoutTarget val="inner"/>
          <c:xMode val="edge"/>
          <c:yMode val="edge"/>
          <c:x val="8.9716604807659042E-2"/>
          <c:y val="9.4746912326401228E-2"/>
          <c:w val="0.86749754298333903"/>
          <c:h val="0.71183269010951922"/>
        </c:manualLayout>
      </c:layout>
      <c:scatterChart>
        <c:scatterStyle val="smoothMarker"/>
        <c:varyColors val="0"/>
        <c:ser>
          <c:idx val="0"/>
          <c:order val="0"/>
          <c:tx>
            <c:strRef>
              <c:f>'Sg(kPa) Fit'!$B$1</c:f>
              <c:strCache>
                <c:ptCount val="1"/>
              </c:strCache>
            </c:strRef>
          </c:tx>
          <c:spPr>
            <a:ln w="25400">
              <a:solidFill>
                <a:schemeClr val="tx2">
                  <a:lumMod val="60000"/>
                  <a:lumOff val="40000"/>
                </a:schemeClr>
              </a:solidFill>
            </a:ln>
          </c:spPr>
          <c:marker>
            <c:symbol val="diamond"/>
            <c:size val="5"/>
            <c:spPr>
              <a:solidFill>
                <a:schemeClr val="tx2">
                  <a:lumMod val="60000"/>
                  <a:lumOff val="40000"/>
                </a:schemeClr>
              </a:solidFill>
              <a:ln>
                <a:solidFill>
                  <a:schemeClr val="tx2">
                    <a:lumMod val="75000"/>
                  </a:schemeClr>
                </a:solidFill>
              </a:ln>
            </c:spPr>
          </c:marker>
          <c:xVal>
            <c:numRef>
              <c:f>'Sg(kPa) Fit'!$A$21:$A$161</c:f>
              <c:numCache>
                <c:formatCode>General</c:formatCode>
                <c:ptCount val="141"/>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pt idx="26">
                  <c:v>36</c:v>
                </c:pt>
                <c:pt idx="27">
                  <c:v>37</c:v>
                </c:pt>
                <c:pt idx="28">
                  <c:v>38</c:v>
                </c:pt>
                <c:pt idx="29">
                  <c:v>39</c:v>
                </c:pt>
                <c:pt idx="30">
                  <c:v>40</c:v>
                </c:pt>
                <c:pt idx="31">
                  <c:v>41</c:v>
                </c:pt>
                <c:pt idx="32">
                  <c:v>42</c:v>
                </c:pt>
                <c:pt idx="33">
                  <c:v>43</c:v>
                </c:pt>
                <c:pt idx="34">
                  <c:v>44</c:v>
                </c:pt>
                <c:pt idx="35">
                  <c:v>45</c:v>
                </c:pt>
                <c:pt idx="36">
                  <c:v>46</c:v>
                </c:pt>
                <c:pt idx="37">
                  <c:v>47</c:v>
                </c:pt>
                <c:pt idx="38">
                  <c:v>48</c:v>
                </c:pt>
                <c:pt idx="39">
                  <c:v>49</c:v>
                </c:pt>
                <c:pt idx="40">
                  <c:v>50</c:v>
                </c:pt>
                <c:pt idx="41">
                  <c:v>51</c:v>
                </c:pt>
                <c:pt idx="42">
                  <c:v>52</c:v>
                </c:pt>
                <c:pt idx="43">
                  <c:v>53</c:v>
                </c:pt>
                <c:pt idx="44">
                  <c:v>54</c:v>
                </c:pt>
                <c:pt idx="45">
                  <c:v>55</c:v>
                </c:pt>
                <c:pt idx="46">
                  <c:v>56</c:v>
                </c:pt>
                <c:pt idx="47">
                  <c:v>57</c:v>
                </c:pt>
                <c:pt idx="48">
                  <c:v>58</c:v>
                </c:pt>
                <c:pt idx="49">
                  <c:v>59</c:v>
                </c:pt>
                <c:pt idx="50">
                  <c:v>60</c:v>
                </c:pt>
                <c:pt idx="51">
                  <c:v>61</c:v>
                </c:pt>
                <c:pt idx="52">
                  <c:v>62</c:v>
                </c:pt>
                <c:pt idx="53">
                  <c:v>63</c:v>
                </c:pt>
                <c:pt idx="54">
                  <c:v>64</c:v>
                </c:pt>
                <c:pt idx="55">
                  <c:v>65</c:v>
                </c:pt>
                <c:pt idx="56">
                  <c:v>66</c:v>
                </c:pt>
                <c:pt idx="57">
                  <c:v>67</c:v>
                </c:pt>
                <c:pt idx="58">
                  <c:v>68</c:v>
                </c:pt>
                <c:pt idx="59">
                  <c:v>69</c:v>
                </c:pt>
                <c:pt idx="60">
                  <c:v>70</c:v>
                </c:pt>
                <c:pt idx="61">
                  <c:v>71</c:v>
                </c:pt>
                <c:pt idx="62">
                  <c:v>72</c:v>
                </c:pt>
                <c:pt idx="63">
                  <c:v>73</c:v>
                </c:pt>
                <c:pt idx="64">
                  <c:v>74</c:v>
                </c:pt>
                <c:pt idx="65">
                  <c:v>75</c:v>
                </c:pt>
                <c:pt idx="66">
                  <c:v>76</c:v>
                </c:pt>
                <c:pt idx="67">
                  <c:v>77</c:v>
                </c:pt>
                <c:pt idx="68">
                  <c:v>78</c:v>
                </c:pt>
                <c:pt idx="69">
                  <c:v>79</c:v>
                </c:pt>
                <c:pt idx="70">
                  <c:v>80</c:v>
                </c:pt>
                <c:pt idx="71">
                  <c:v>81</c:v>
                </c:pt>
                <c:pt idx="72">
                  <c:v>82</c:v>
                </c:pt>
                <c:pt idx="73">
                  <c:v>83</c:v>
                </c:pt>
                <c:pt idx="74">
                  <c:v>84</c:v>
                </c:pt>
                <c:pt idx="75">
                  <c:v>85</c:v>
                </c:pt>
                <c:pt idx="76">
                  <c:v>86</c:v>
                </c:pt>
                <c:pt idx="77">
                  <c:v>87</c:v>
                </c:pt>
                <c:pt idx="78">
                  <c:v>88</c:v>
                </c:pt>
                <c:pt idx="79">
                  <c:v>89</c:v>
                </c:pt>
                <c:pt idx="80">
                  <c:v>90</c:v>
                </c:pt>
                <c:pt idx="81">
                  <c:v>91</c:v>
                </c:pt>
                <c:pt idx="82">
                  <c:v>92</c:v>
                </c:pt>
                <c:pt idx="83">
                  <c:v>93</c:v>
                </c:pt>
                <c:pt idx="84">
                  <c:v>94</c:v>
                </c:pt>
                <c:pt idx="85">
                  <c:v>95</c:v>
                </c:pt>
                <c:pt idx="86">
                  <c:v>96</c:v>
                </c:pt>
                <c:pt idx="87">
                  <c:v>97</c:v>
                </c:pt>
                <c:pt idx="88">
                  <c:v>98</c:v>
                </c:pt>
                <c:pt idx="89">
                  <c:v>99</c:v>
                </c:pt>
                <c:pt idx="90">
                  <c:v>100</c:v>
                </c:pt>
                <c:pt idx="91">
                  <c:v>101</c:v>
                </c:pt>
                <c:pt idx="92">
                  <c:v>102</c:v>
                </c:pt>
                <c:pt idx="93">
                  <c:v>103</c:v>
                </c:pt>
                <c:pt idx="94">
                  <c:v>104</c:v>
                </c:pt>
                <c:pt idx="95">
                  <c:v>105</c:v>
                </c:pt>
                <c:pt idx="96">
                  <c:v>106</c:v>
                </c:pt>
                <c:pt idx="97">
                  <c:v>107</c:v>
                </c:pt>
                <c:pt idx="98">
                  <c:v>108</c:v>
                </c:pt>
                <c:pt idx="99">
                  <c:v>109</c:v>
                </c:pt>
                <c:pt idx="100">
                  <c:v>110</c:v>
                </c:pt>
                <c:pt idx="101">
                  <c:v>111</c:v>
                </c:pt>
                <c:pt idx="102">
                  <c:v>112</c:v>
                </c:pt>
                <c:pt idx="103">
                  <c:v>113</c:v>
                </c:pt>
                <c:pt idx="104">
                  <c:v>114</c:v>
                </c:pt>
                <c:pt idx="105">
                  <c:v>115</c:v>
                </c:pt>
                <c:pt idx="106">
                  <c:v>116</c:v>
                </c:pt>
                <c:pt idx="107">
                  <c:v>117</c:v>
                </c:pt>
                <c:pt idx="108">
                  <c:v>118</c:v>
                </c:pt>
                <c:pt idx="109">
                  <c:v>119</c:v>
                </c:pt>
                <c:pt idx="110">
                  <c:v>120</c:v>
                </c:pt>
                <c:pt idx="111">
                  <c:v>121</c:v>
                </c:pt>
                <c:pt idx="112">
                  <c:v>122</c:v>
                </c:pt>
                <c:pt idx="113">
                  <c:v>123</c:v>
                </c:pt>
                <c:pt idx="114">
                  <c:v>124</c:v>
                </c:pt>
                <c:pt idx="115">
                  <c:v>125</c:v>
                </c:pt>
                <c:pt idx="116">
                  <c:v>126</c:v>
                </c:pt>
                <c:pt idx="117">
                  <c:v>127</c:v>
                </c:pt>
                <c:pt idx="118">
                  <c:v>128</c:v>
                </c:pt>
                <c:pt idx="119">
                  <c:v>129</c:v>
                </c:pt>
                <c:pt idx="120">
                  <c:v>130</c:v>
                </c:pt>
                <c:pt idx="121">
                  <c:v>131</c:v>
                </c:pt>
                <c:pt idx="122">
                  <c:v>132</c:v>
                </c:pt>
                <c:pt idx="123">
                  <c:v>133</c:v>
                </c:pt>
                <c:pt idx="124">
                  <c:v>134</c:v>
                </c:pt>
                <c:pt idx="125">
                  <c:v>135</c:v>
                </c:pt>
                <c:pt idx="126">
                  <c:v>136</c:v>
                </c:pt>
                <c:pt idx="127">
                  <c:v>137</c:v>
                </c:pt>
                <c:pt idx="128">
                  <c:v>138</c:v>
                </c:pt>
                <c:pt idx="129">
                  <c:v>139</c:v>
                </c:pt>
                <c:pt idx="130">
                  <c:v>140</c:v>
                </c:pt>
                <c:pt idx="131">
                  <c:v>141</c:v>
                </c:pt>
                <c:pt idx="132">
                  <c:v>142</c:v>
                </c:pt>
                <c:pt idx="133">
                  <c:v>143</c:v>
                </c:pt>
                <c:pt idx="134">
                  <c:v>144</c:v>
                </c:pt>
                <c:pt idx="135">
                  <c:v>145</c:v>
                </c:pt>
                <c:pt idx="136">
                  <c:v>146</c:v>
                </c:pt>
                <c:pt idx="137">
                  <c:v>147</c:v>
                </c:pt>
                <c:pt idx="138">
                  <c:v>148</c:v>
                </c:pt>
                <c:pt idx="139">
                  <c:v>149</c:v>
                </c:pt>
                <c:pt idx="140">
                  <c:v>150</c:v>
                </c:pt>
              </c:numCache>
            </c:numRef>
          </c:xVal>
          <c:yVal>
            <c:numRef>
              <c:f>'Sg(kPa) Fit'!$F$21:$F$161</c:f>
              <c:numCache>
                <c:formatCode>0.00</c:formatCode>
                <c:ptCount val="141"/>
              </c:numCache>
            </c:numRef>
          </c:yVal>
          <c:smooth val="1"/>
        </c:ser>
        <c:ser>
          <c:idx val="1"/>
          <c:order val="1"/>
          <c:tx>
            <c:strRef>
              <c:f>'Sg(kPa) Fit'!$G$1</c:f>
              <c:strCache>
                <c:ptCount val="1"/>
              </c:strCache>
            </c:strRef>
          </c:tx>
          <c:spPr>
            <a:ln w="25400">
              <a:solidFill>
                <a:schemeClr val="accent3">
                  <a:lumMod val="75000"/>
                </a:schemeClr>
              </a:solidFill>
            </a:ln>
          </c:spPr>
          <c:marker>
            <c:symbol val="triangle"/>
            <c:size val="5"/>
            <c:spPr>
              <a:solidFill>
                <a:schemeClr val="accent3">
                  <a:lumMod val="60000"/>
                  <a:lumOff val="40000"/>
                </a:schemeClr>
              </a:solidFill>
              <a:ln>
                <a:solidFill>
                  <a:schemeClr val="accent3">
                    <a:lumMod val="75000"/>
                  </a:schemeClr>
                </a:solidFill>
              </a:ln>
            </c:spPr>
          </c:marker>
          <c:xVal>
            <c:numRef>
              <c:f>'Sg(kPa) Fit'!$A$21:$A$161</c:f>
              <c:numCache>
                <c:formatCode>General</c:formatCode>
                <c:ptCount val="141"/>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pt idx="26">
                  <c:v>36</c:v>
                </c:pt>
                <c:pt idx="27">
                  <c:v>37</c:v>
                </c:pt>
                <c:pt idx="28">
                  <c:v>38</c:v>
                </c:pt>
                <c:pt idx="29">
                  <c:v>39</c:v>
                </c:pt>
                <c:pt idx="30">
                  <c:v>40</c:v>
                </c:pt>
                <c:pt idx="31">
                  <c:v>41</c:v>
                </c:pt>
                <c:pt idx="32">
                  <c:v>42</c:v>
                </c:pt>
                <c:pt idx="33">
                  <c:v>43</c:v>
                </c:pt>
                <c:pt idx="34">
                  <c:v>44</c:v>
                </c:pt>
                <c:pt idx="35">
                  <c:v>45</c:v>
                </c:pt>
                <c:pt idx="36">
                  <c:v>46</c:v>
                </c:pt>
                <c:pt idx="37">
                  <c:v>47</c:v>
                </c:pt>
                <c:pt idx="38">
                  <c:v>48</c:v>
                </c:pt>
                <c:pt idx="39">
                  <c:v>49</c:v>
                </c:pt>
                <c:pt idx="40">
                  <c:v>50</c:v>
                </c:pt>
                <c:pt idx="41">
                  <c:v>51</c:v>
                </c:pt>
                <c:pt idx="42">
                  <c:v>52</c:v>
                </c:pt>
                <c:pt idx="43">
                  <c:v>53</c:v>
                </c:pt>
                <c:pt idx="44">
                  <c:v>54</c:v>
                </c:pt>
                <c:pt idx="45">
                  <c:v>55</c:v>
                </c:pt>
                <c:pt idx="46">
                  <c:v>56</c:v>
                </c:pt>
                <c:pt idx="47">
                  <c:v>57</c:v>
                </c:pt>
                <c:pt idx="48">
                  <c:v>58</c:v>
                </c:pt>
                <c:pt idx="49">
                  <c:v>59</c:v>
                </c:pt>
                <c:pt idx="50">
                  <c:v>60</c:v>
                </c:pt>
                <c:pt idx="51">
                  <c:v>61</c:v>
                </c:pt>
                <c:pt idx="52">
                  <c:v>62</c:v>
                </c:pt>
                <c:pt idx="53">
                  <c:v>63</c:v>
                </c:pt>
                <c:pt idx="54">
                  <c:v>64</c:v>
                </c:pt>
                <c:pt idx="55">
                  <c:v>65</c:v>
                </c:pt>
                <c:pt idx="56">
                  <c:v>66</c:v>
                </c:pt>
                <c:pt idx="57">
                  <c:v>67</c:v>
                </c:pt>
                <c:pt idx="58">
                  <c:v>68</c:v>
                </c:pt>
                <c:pt idx="59">
                  <c:v>69</c:v>
                </c:pt>
                <c:pt idx="60">
                  <c:v>70</c:v>
                </c:pt>
                <c:pt idx="61">
                  <c:v>71</c:v>
                </c:pt>
                <c:pt idx="62">
                  <c:v>72</c:v>
                </c:pt>
                <c:pt idx="63">
                  <c:v>73</c:v>
                </c:pt>
                <c:pt idx="64">
                  <c:v>74</c:v>
                </c:pt>
                <c:pt idx="65">
                  <c:v>75</c:v>
                </c:pt>
                <c:pt idx="66">
                  <c:v>76</c:v>
                </c:pt>
                <c:pt idx="67">
                  <c:v>77</c:v>
                </c:pt>
                <c:pt idx="68">
                  <c:v>78</c:v>
                </c:pt>
                <c:pt idx="69">
                  <c:v>79</c:v>
                </c:pt>
                <c:pt idx="70">
                  <c:v>80</c:v>
                </c:pt>
                <c:pt idx="71">
                  <c:v>81</c:v>
                </c:pt>
                <c:pt idx="72">
                  <c:v>82</c:v>
                </c:pt>
                <c:pt idx="73">
                  <c:v>83</c:v>
                </c:pt>
                <c:pt idx="74">
                  <c:v>84</c:v>
                </c:pt>
                <c:pt idx="75">
                  <c:v>85</c:v>
                </c:pt>
                <c:pt idx="76">
                  <c:v>86</c:v>
                </c:pt>
                <c:pt idx="77">
                  <c:v>87</c:v>
                </c:pt>
                <c:pt idx="78">
                  <c:v>88</c:v>
                </c:pt>
                <c:pt idx="79">
                  <c:v>89</c:v>
                </c:pt>
                <c:pt idx="80">
                  <c:v>90</c:v>
                </c:pt>
                <c:pt idx="81">
                  <c:v>91</c:v>
                </c:pt>
                <c:pt idx="82">
                  <c:v>92</c:v>
                </c:pt>
                <c:pt idx="83">
                  <c:v>93</c:v>
                </c:pt>
                <c:pt idx="84">
                  <c:v>94</c:v>
                </c:pt>
                <c:pt idx="85">
                  <c:v>95</c:v>
                </c:pt>
                <c:pt idx="86">
                  <c:v>96</c:v>
                </c:pt>
                <c:pt idx="87">
                  <c:v>97</c:v>
                </c:pt>
                <c:pt idx="88">
                  <c:v>98</c:v>
                </c:pt>
                <c:pt idx="89">
                  <c:v>99</c:v>
                </c:pt>
                <c:pt idx="90">
                  <c:v>100</c:v>
                </c:pt>
                <c:pt idx="91">
                  <c:v>101</c:v>
                </c:pt>
                <c:pt idx="92">
                  <c:v>102</c:v>
                </c:pt>
                <c:pt idx="93">
                  <c:v>103</c:v>
                </c:pt>
                <c:pt idx="94">
                  <c:v>104</c:v>
                </c:pt>
                <c:pt idx="95">
                  <c:v>105</c:v>
                </c:pt>
                <c:pt idx="96">
                  <c:v>106</c:v>
                </c:pt>
                <c:pt idx="97">
                  <c:v>107</c:v>
                </c:pt>
                <c:pt idx="98">
                  <c:v>108</c:v>
                </c:pt>
                <c:pt idx="99">
                  <c:v>109</c:v>
                </c:pt>
                <c:pt idx="100">
                  <c:v>110</c:v>
                </c:pt>
                <c:pt idx="101">
                  <c:v>111</c:v>
                </c:pt>
                <c:pt idx="102">
                  <c:v>112</c:v>
                </c:pt>
                <c:pt idx="103">
                  <c:v>113</c:v>
                </c:pt>
                <c:pt idx="104">
                  <c:v>114</c:v>
                </c:pt>
                <c:pt idx="105">
                  <c:v>115</c:v>
                </c:pt>
                <c:pt idx="106">
                  <c:v>116</c:v>
                </c:pt>
                <c:pt idx="107">
                  <c:v>117</c:v>
                </c:pt>
                <c:pt idx="108">
                  <c:v>118</c:v>
                </c:pt>
                <c:pt idx="109">
                  <c:v>119</c:v>
                </c:pt>
                <c:pt idx="110">
                  <c:v>120</c:v>
                </c:pt>
                <c:pt idx="111">
                  <c:v>121</c:v>
                </c:pt>
                <c:pt idx="112">
                  <c:v>122</c:v>
                </c:pt>
                <c:pt idx="113">
                  <c:v>123</c:v>
                </c:pt>
                <c:pt idx="114">
                  <c:v>124</c:v>
                </c:pt>
                <c:pt idx="115">
                  <c:v>125</c:v>
                </c:pt>
                <c:pt idx="116">
                  <c:v>126</c:v>
                </c:pt>
                <c:pt idx="117">
                  <c:v>127</c:v>
                </c:pt>
                <c:pt idx="118">
                  <c:v>128</c:v>
                </c:pt>
                <c:pt idx="119">
                  <c:v>129</c:v>
                </c:pt>
                <c:pt idx="120">
                  <c:v>130</c:v>
                </c:pt>
                <c:pt idx="121">
                  <c:v>131</c:v>
                </c:pt>
                <c:pt idx="122">
                  <c:v>132</c:v>
                </c:pt>
                <c:pt idx="123">
                  <c:v>133</c:v>
                </c:pt>
                <c:pt idx="124">
                  <c:v>134</c:v>
                </c:pt>
                <c:pt idx="125">
                  <c:v>135</c:v>
                </c:pt>
                <c:pt idx="126">
                  <c:v>136</c:v>
                </c:pt>
                <c:pt idx="127">
                  <c:v>137</c:v>
                </c:pt>
                <c:pt idx="128">
                  <c:v>138</c:v>
                </c:pt>
                <c:pt idx="129">
                  <c:v>139</c:v>
                </c:pt>
                <c:pt idx="130">
                  <c:v>140</c:v>
                </c:pt>
                <c:pt idx="131">
                  <c:v>141</c:v>
                </c:pt>
                <c:pt idx="132">
                  <c:v>142</c:v>
                </c:pt>
                <c:pt idx="133">
                  <c:v>143</c:v>
                </c:pt>
                <c:pt idx="134">
                  <c:v>144</c:v>
                </c:pt>
                <c:pt idx="135">
                  <c:v>145</c:v>
                </c:pt>
                <c:pt idx="136">
                  <c:v>146</c:v>
                </c:pt>
                <c:pt idx="137">
                  <c:v>147</c:v>
                </c:pt>
                <c:pt idx="138">
                  <c:v>148</c:v>
                </c:pt>
                <c:pt idx="139">
                  <c:v>149</c:v>
                </c:pt>
                <c:pt idx="140">
                  <c:v>150</c:v>
                </c:pt>
              </c:numCache>
            </c:numRef>
          </c:xVal>
          <c:yVal>
            <c:numRef>
              <c:f>'Sg(kPa) Fit'!$K$21:$K$161</c:f>
              <c:numCache>
                <c:formatCode>0.00</c:formatCode>
                <c:ptCount val="141"/>
              </c:numCache>
            </c:numRef>
          </c:yVal>
          <c:smooth val="1"/>
        </c:ser>
        <c:ser>
          <c:idx val="2"/>
          <c:order val="2"/>
          <c:tx>
            <c:strRef>
              <c:f>'Sg(kPa) Fit'!$L$1</c:f>
              <c:strCache>
                <c:ptCount val="1"/>
              </c:strCache>
            </c:strRef>
          </c:tx>
          <c:spPr>
            <a:ln w="25400">
              <a:solidFill>
                <a:schemeClr val="accent2">
                  <a:lumMod val="75000"/>
                </a:schemeClr>
              </a:solidFill>
            </a:ln>
          </c:spPr>
          <c:marker>
            <c:symbol val="circle"/>
            <c:size val="4"/>
            <c:spPr>
              <a:solidFill>
                <a:schemeClr val="accent2">
                  <a:lumMod val="60000"/>
                  <a:lumOff val="40000"/>
                </a:schemeClr>
              </a:solidFill>
              <a:ln>
                <a:solidFill>
                  <a:schemeClr val="accent2">
                    <a:lumMod val="75000"/>
                  </a:schemeClr>
                </a:solidFill>
              </a:ln>
            </c:spPr>
          </c:marker>
          <c:xVal>
            <c:numRef>
              <c:f>'Sg(kPa) Fit'!$A$21:$A$161</c:f>
              <c:numCache>
                <c:formatCode>General</c:formatCode>
                <c:ptCount val="141"/>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pt idx="26">
                  <c:v>36</c:v>
                </c:pt>
                <c:pt idx="27">
                  <c:v>37</c:v>
                </c:pt>
                <c:pt idx="28">
                  <c:v>38</c:v>
                </c:pt>
                <c:pt idx="29">
                  <c:v>39</c:v>
                </c:pt>
                <c:pt idx="30">
                  <c:v>40</c:v>
                </c:pt>
                <c:pt idx="31">
                  <c:v>41</c:v>
                </c:pt>
                <c:pt idx="32">
                  <c:v>42</c:v>
                </c:pt>
                <c:pt idx="33">
                  <c:v>43</c:v>
                </c:pt>
                <c:pt idx="34">
                  <c:v>44</c:v>
                </c:pt>
                <c:pt idx="35">
                  <c:v>45</c:v>
                </c:pt>
                <c:pt idx="36">
                  <c:v>46</c:v>
                </c:pt>
                <c:pt idx="37">
                  <c:v>47</c:v>
                </c:pt>
                <c:pt idx="38">
                  <c:v>48</c:v>
                </c:pt>
                <c:pt idx="39">
                  <c:v>49</c:v>
                </c:pt>
                <c:pt idx="40">
                  <c:v>50</c:v>
                </c:pt>
                <c:pt idx="41">
                  <c:v>51</c:v>
                </c:pt>
                <c:pt idx="42">
                  <c:v>52</c:v>
                </c:pt>
                <c:pt idx="43">
                  <c:v>53</c:v>
                </c:pt>
                <c:pt idx="44">
                  <c:v>54</c:v>
                </c:pt>
                <c:pt idx="45">
                  <c:v>55</c:v>
                </c:pt>
                <c:pt idx="46">
                  <c:v>56</c:v>
                </c:pt>
                <c:pt idx="47">
                  <c:v>57</c:v>
                </c:pt>
                <c:pt idx="48">
                  <c:v>58</c:v>
                </c:pt>
                <c:pt idx="49">
                  <c:v>59</c:v>
                </c:pt>
                <c:pt idx="50">
                  <c:v>60</c:v>
                </c:pt>
                <c:pt idx="51">
                  <c:v>61</c:v>
                </c:pt>
                <c:pt idx="52">
                  <c:v>62</c:v>
                </c:pt>
                <c:pt idx="53">
                  <c:v>63</c:v>
                </c:pt>
                <c:pt idx="54">
                  <c:v>64</c:v>
                </c:pt>
                <c:pt idx="55">
                  <c:v>65</c:v>
                </c:pt>
                <c:pt idx="56">
                  <c:v>66</c:v>
                </c:pt>
                <c:pt idx="57">
                  <c:v>67</c:v>
                </c:pt>
                <c:pt idx="58">
                  <c:v>68</c:v>
                </c:pt>
                <c:pt idx="59">
                  <c:v>69</c:v>
                </c:pt>
                <c:pt idx="60">
                  <c:v>70</c:v>
                </c:pt>
                <c:pt idx="61">
                  <c:v>71</c:v>
                </c:pt>
                <c:pt idx="62">
                  <c:v>72</c:v>
                </c:pt>
                <c:pt idx="63">
                  <c:v>73</c:v>
                </c:pt>
                <c:pt idx="64">
                  <c:v>74</c:v>
                </c:pt>
                <c:pt idx="65">
                  <c:v>75</c:v>
                </c:pt>
                <c:pt idx="66">
                  <c:v>76</c:v>
                </c:pt>
                <c:pt idx="67">
                  <c:v>77</c:v>
                </c:pt>
                <c:pt idx="68">
                  <c:v>78</c:v>
                </c:pt>
                <c:pt idx="69">
                  <c:v>79</c:v>
                </c:pt>
                <c:pt idx="70">
                  <c:v>80</c:v>
                </c:pt>
                <c:pt idx="71">
                  <c:v>81</c:v>
                </c:pt>
                <c:pt idx="72">
                  <c:v>82</c:v>
                </c:pt>
                <c:pt idx="73">
                  <c:v>83</c:v>
                </c:pt>
                <c:pt idx="74">
                  <c:v>84</c:v>
                </c:pt>
                <c:pt idx="75">
                  <c:v>85</c:v>
                </c:pt>
                <c:pt idx="76">
                  <c:v>86</c:v>
                </c:pt>
                <c:pt idx="77">
                  <c:v>87</c:v>
                </c:pt>
                <c:pt idx="78">
                  <c:v>88</c:v>
                </c:pt>
                <c:pt idx="79">
                  <c:v>89</c:v>
                </c:pt>
                <c:pt idx="80">
                  <c:v>90</c:v>
                </c:pt>
                <c:pt idx="81">
                  <c:v>91</c:v>
                </c:pt>
                <c:pt idx="82">
                  <c:v>92</c:v>
                </c:pt>
                <c:pt idx="83">
                  <c:v>93</c:v>
                </c:pt>
                <c:pt idx="84">
                  <c:v>94</c:v>
                </c:pt>
                <c:pt idx="85">
                  <c:v>95</c:v>
                </c:pt>
                <c:pt idx="86">
                  <c:v>96</c:v>
                </c:pt>
                <c:pt idx="87">
                  <c:v>97</c:v>
                </c:pt>
                <c:pt idx="88">
                  <c:v>98</c:v>
                </c:pt>
                <c:pt idx="89">
                  <c:v>99</c:v>
                </c:pt>
                <c:pt idx="90">
                  <c:v>100</c:v>
                </c:pt>
                <c:pt idx="91">
                  <c:v>101</c:v>
                </c:pt>
                <c:pt idx="92">
                  <c:v>102</c:v>
                </c:pt>
                <c:pt idx="93">
                  <c:v>103</c:v>
                </c:pt>
                <c:pt idx="94">
                  <c:v>104</c:v>
                </c:pt>
                <c:pt idx="95">
                  <c:v>105</c:v>
                </c:pt>
                <c:pt idx="96">
                  <c:v>106</c:v>
                </c:pt>
                <c:pt idx="97">
                  <c:v>107</c:v>
                </c:pt>
                <c:pt idx="98">
                  <c:v>108</c:v>
                </c:pt>
                <c:pt idx="99">
                  <c:v>109</c:v>
                </c:pt>
                <c:pt idx="100">
                  <c:v>110</c:v>
                </c:pt>
                <c:pt idx="101">
                  <c:v>111</c:v>
                </c:pt>
                <c:pt idx="102">
                  <c:v>112</c:v>
                </c:pt>
                <c:pt idx="103">
                  <c:v>113</c:v>
                </c:pt>
                <c:pt idx="104">
                  <c:v>114</c:v>
                </c:pt>
                <c:pt idx="105">
                  <c:v>115</c:v>
                </c:pt>
                <c:pt idx="106">
                  <c:v>116</c:v>
                </c:pt>
                <c:pt idx="107">
                  <c:v>117</c:v>
                </c:pt>
                <c:pt idx="108">
                  <c:v>118</c:v>
                </c:pt>
                <c:pt idx="109">
                  <c:v>119</c:v>
                </c:pt>
                <c:pt idx="110">
                  <c:v>120</c:v>
                </c:pt>
                <c:pt idx="111">
                  <c:v>121</c:v>
                </c:pt>
                <c:pt idx="112">
                  <c:v>122</c:v>
                </c:pt>
                <c:pt idx="113">
                  <c:v>123</c:v>
                </c:pt>
                <c:pt idx="114">
                  <c:v>124</c:v>
                </c:pt>
                <c:pt idx="115">
                  <c:v>125</c:v>
                </c:pt>
                <c:pt idx="116">
                  <c:v>126</c:v>
                </c:pt>
                <c:pt idx="117">
                  <c:v>127</c:v>
                </c:pt>
                <c:pt idx="118">
                  <c:v>128</c:v>
                </c:pt>
                <c:pt idx="119">
                  <c:v>129</c:v>
                </c:pt>
                <c:pt idx="120">
                  <c:v>130</c:v>
                </c:pt>
                <c:pt idx="121">
                  <c:v>131</c:v>
                </c:pt>
                <c:pt idx="122">
                  <c:v>132</c:v>
                </c:pt>
                <c:pt idx="123">
                  <c:v>133</c:v>
                </c:pt>
                <c:pt idx="124">
                  <c:v>134</c:v>
                </c:pt>
                <c:pt idx="125">
                  <c:v>135</c:v>
                </c:pt>
                <c:pt idx="126">
                  <c:v>136</c:v>
                </c:pt>
                <c:pt idx="127">
                  <c:v>137</c:v>
                </c:pt>
                <c:pt idx="128">
                  <c:v>138</c:v>
                </c:pt>
                <c:pt idx="129">
                  <c:v>139</c:v>
                </c:pt>
                <c:pt idx="130">
                  <c:v>140</c:v>
                </c:pt>
                <c:pt idx="131">
                  <c:v>141</c:v>
                </c:pt>
                <c:pt idx="132">
                  <c:v>142</c:v>
                </c:pt>
                <c:pt idx="133">
                  <c:v>143</c:v>
                </c:pt>
                <c:pt idx="134">
                  <c:v>144</c:v>
                </c:pt>
                <c:pt idx="135">
                  <c:v>145</c:v>
                </c:pt>
                <c:pt idx="136">
                  <c:v>146</c:v>
                </c:pt>
                <c:pt idx="137">
                  <c:v>147</c:v>
                </c:pt>
                <c:pt idx="138">
                  <c:v>148</c:v>
                </c:pt>
                <c:pt idx="139">
                  <c:v>149</c:v>
                </c:pt>
                <c:pt idx="140">
                  <c:v>150</c:v>
                </c:pt>
              </c:numCache>
            </c:numRef>
          </c:xVal>
          <c:yVal>
            <c:numRef>
              <c:f>'Sg(kPa) Fit'!$P$21:$P$161</c:f>
              <c:numCache>
                <c:formatCode>0.00</c:formatCode>
                <c:ptCount val="141"/>
              </c:numCache>
            </c:numRef>
          </c:yVal>
          <c:smooth val="1"/>
        </c:ser>
        <c:ser>
          <c:idx val="3"/>
          <c:order val="3"/>
          <c:tx>
            <c:strRef>
              <c:f>'Sg(kPa) Fit'!$Q$1</c:f>
              <c:strCache>
                <c:ptCount val="1"/>
              </c:strCache>
            </c:strRef>
          </c:tx>
          <c:spPr>
            <a:ln w="25400">
              <a:solidFill>
                <a:schemeClr val="accent5">
                  <a:lumMod val="75000"/>
                </a:schemeClr>
              </a:solidFill>
            </a:ln>
          </c:spPr>
          <c:marker>
            <c:symbol val="x"/>
            <c:size val="5"/>
            <c:spPr>
              <a:noFill/>
              <a:ln>
                <a:solidFill>
                  <a:schemeClr val="accent5">
                    <a:lumMod val="75000"/>
                  </a:schemeClr>
                </a:solidFill>
              </a:ln>
            </c:spPr>
          </c:marker>
          <c:xVal>
            <c:numRef>
              <c:f>'Sg(kPa) Fit'!$A$21:$A$161</c:f>
              <c:numCache>
                <c:formatCode>General</c:formatCode>
                <c:ptCount val="141"/>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pt idx="26">
                  <c:v>36</c:v>
                </c:pt>
                <c:pt idx="27">
                  <c:v>37</c:v>
                </c:pt>
                <c:pt idx="28">
                  <c:v>38</c:v>
                </c:pt>
                <c:pt idx="29">
                  <c:v>39</c:v>
                </c:pt>
                <c:pt idx="30">
                  <c:v>40</c:v>
                </c:pt>
                <c:pt idx="31">
                  <c:v>41</c:v>
                </c:pt>
                <c:pt idx="32">
                  <c:v>42</c:v>
                </c:pt>
                <c:pt idx="33">
                  <c:v>43</c:v>
                </c:pt>
                <c:pt idx="34">
                  <c:v>44</c:v>
                </c:pt>
                <c:pt idx="35">
                  <c:v>45</c:v>
                </c:pt>
                <c:pt idx="36">
                  <c:v>46</c:v>
                </c:pt>
                <c:pt idx="37">
                  <c:v>47</c:v>
                </c:pt>
                <c:pt idx="38">
                  <c:v>48</c:v>
                </c:pt>
                <c:pt idx="39">
                  <c:v>49</c:v>
                </c:pt>
                <c:pt idx="40">
                  <c:v>50</c:v>
                </c:pt>
                <c:pt idx="41">
                  <c:v>51</c:v>
                </c:pt>
                <c:pt idx="42">
                  <c:v>52</c:v>
                </c:pt>
                <c:pt idx="43">
                  <c:v>53</c:v>
                </c:pt>
                <c:pt idx="44">
                  <c:v>54</c:v>
                </c:pt>
                <c:pt idx="45">
                  <c:v>55</c:v>
                </c:pt>
                <c:pt idx="46">
                  <c:v>56</c:v>
                </c:pt>
                <c:pt idx="47">
                  <c:v>57</c:v>
                </c:pt>
                <c:pt idx="48">
                  <c:v>58</c:v>
                </c:pt>
                <c:pt idx="49">
                  <c:v>59</c:v>
                </c:pt>
                <c:pt idx="50">
                  <c:v>60</c:v>
                </c:pt>
                <c:pt idx="51">
                  <c:v>61</c:v>
                </c:pt>
                <c:pt idx="52">
                  <c:v>62</c:v>
                </c:pt>
                <c:pt idx="53">
                  <c:v>63</c:v>
                </c:pt>
                <c:pt idx="54">
                  <c:v>64</c:v>
                </c:pt>
                <c:pt idx="55">
                  <c:v>65</c:v>
                </c:pt>
                <c:pt idx="56">
                  <c:v>66</c:v>
                </c:pt>
                <c:pt idx="57">
                  <c:v>67</c:v>
                </c:pt>
                <c:pt idx="58">
                  <c:v>68</c:v>
                </c:pt>
                <c:pt idx="59">
                  <c:v>69</c:v>
                </c:pt>
                <c:pt idx="60">
                  <c:v>70</c:v>
                </c:pt>
                <c:pt idx="61">
                  <c:v>71</c:v>
                </c:pt>
                <c:pt idx="62">
                  <c:v>72</c:v>
                </c:pt>
                <c:pt idx="63">
                  <c:v>73</c:v>
                </c:pt>
                <c:pt idx="64">
                  <c:v>74</c:v>
                </c:pt>
                <c:pt idx="65">
                  <c:v>75</c:v>
                </c:pt>
                <c:pt idx="66">
                  <c:v>76</c:v>
                </c:pt>
                <c:pt idx="67">
                  <c:v>77</c:v>
                </c:pt>
                <c:pt idx="68">
                  <c:v>78</c:v>
                </c:pt>
                <c:pt idx="69">
                  <c:v>79</c:v>
                </c:pt>
                <c:pt idx="70">
                  <c:v>80</c:v>
                </c:pt>
                <c:pt idx="71">
                  <c:v>81</c:v>
                </c:pt>
                <c:pt idx="72">
                  <c:v>82</c:v>
                </c:pt>
                <c:pt idx="73">
                  <c:v>83</c:v>
                </c:pt>
                <c:pt idx="74">
                  <c:v>84</c:v>
                </c:pt>
                <c:pt idx="75">
                  <c:v>85</c:v>
                </c:pt>
                <c:pt idx="76">
                  <c:v>86</c:v>
                </c:pt>
                <c:pt idx="77">
                  <c:v>87</c:v>
                </c:pt>
                <c:pt idx="78">
                  <c:v>88</c:v>
                </c:pt>
                <c:pt idx="79">
                  <c:v>89</c:v>
                </c:pt>
                <c:pt idx="80">
                  <c:v>90</c:v>
                </c:pt>
                <c:pt idx="81">
                  <c:v>91</c:v>
                </c:pt>
                <c:pt idx="82">
                  <c:v>92</c:v>
                </c:pt>
                <c:pt idx="83">
                  <c:v>93</c:v>
                </c:pt>
                <c:pt idx="84">
                  <c:v>94</c:v>
                </c:pt>
                <c:pt idx="85">
                  <c:v>95</c:v>
                </c:pt>
                <c:pt idx="86">
                  <c:v>96</c:v>
                </c:pt>
                <c:pt idx="87">
                  <c:v>97</c:v>
                </c:pt>
                <c:pt idx="88">
                  <c:v>98</c:v>
                </c:pt>
                <c:pt idx="89">
                  <c:v>99</c:v>
                </c:pt>
                <c:pt idx="90">
                  <c:v>100</c:v>
                </c:pt>
                <c:pt idx="91">
                  <c:v>101</c:v>
                </c:pt>
                <c:pt idx="92">
                  <c:v>102</c:v>
                </c:pt>
                <c:pt idx="93">
                  <c:v>103</c:v>
                </c:pt>
                <c:pt idx="94">
                  <c:v>104</c:v>
                </c:pt>
                <c:pt idx="95">
                  <c:v>105</c:v>
                </c:pt>
                <c:pt idx="96">
                  <c:v>106</c:v>
                </c:pt>
                <c:pt idx="97">
                  <c:v>107</c:v>
                </c:pt>
                <c:pt idx="98">
                  <c:v>108</c:v>
                </c:pt>
                <c:pt idx="99">
                  <c:v>109</c:v>
                </c:pt>
                <c:pt idx="100">
                  <c:v>110</c:v>
                </c:pt>
                <c:pt idx="101">
                  <c:v>111</c:v>
                </c:pt>
                <c:pt idx="102">
                  <c:v>112</c:v>
                </c:pt>
                <c:pt idx="103">
                  <c:v>113</c:v>
                </c:pt>
                <c:pt idx="104">
                  <c:v>114</c:v>
                </c:pt>
                <c:pt idx="105">
                  <c:v>115</c:v>
                </c:pt>
                <c:pt idx="106">
                  <c:v>116</c:v>
                </c:pt>
                <c:pt idx="107">
                  <c:v>117</c:v>
                </c:pt>
                <c:pt idx="108">
                  <c:v>118</c:v>
                </c:pt>
                <c:pt idx="109">
                  <c:v>119</c:v>
                </c:pt>
                <c:pt idx="110">
                  <c:v>120</c:v>
                </c:pt>
                <c:pt idx="111">
                  <c:v>121</c:v>
                </c:pt>
                <c:pt idx="112">
                  <c:v>122</c:v>
                </c:pt>
                <c:pt idx="113">
                  <c:v>123</c:v>
                </c:pt>
                <c:pt idx="114">
                  <c:v>124</c:v>
                </c:pt>
                <c:pt idx="115">
                  <c:v>125</c:v>
                </c:pt>
                <c:pt idx="116">
                  <c:v>126</c:v>
                </c:pt>
                <c:pt idx="117">
                  <c:v>127</c:v>
                </c:pt>
                <c:pt idx="118">
                  <c:v>128</c:v>
                </c:pt>
                <c:pt idx="119">
                  <c:v>129</c:v>
                </c:pt>
                <c:pt idx="120">
                  <c:v>130</c:v>
                </c:pt>
                <c:pt idx="121">
                  <c:v>131</c:v>
                </c:pt>
                <c:pt idx="122">
                  <c:v>132</c:v>
                </c:pt>
                <c:pt idx="123">
                  <c:v>133</c:v>
                </c:pt>
                <c:pt idx="124">
                  <c:v>134</c:v>
                </c:pt>
                <c:pt idx="125">
                  <c:v>135</c:v>
                </c:pt>
                <c:pt idx="126">
                  <c:v>136</c:v>
                </c:pt>
                <c:pt idx="127">
                  <c:v>137</c:v>
                </c:pt>
                <c:pt idx="128">
                  <c:v>138</c:v>
                </c:pt>
                <c:pt idx="129">
                  <c:v>139</c:v>
                </c:pt>
                <c:pt idx="130">
                  <c:v>140</c:v>
                </c:pt>
                <c:pt idx="131">
                  <c:v>141</c:v>
                </c:pt>
                <c:pt idx="132">
                  <c:v>142</c:v>
                </c:pt>
                <c:pt idx="133">
                  <c:v>143</c:v>
                </c:pt>
                <c:pt idx="134">
                  <c:v>144</c:v>
                </c:pt>
                <c:pt idx="135">
                  <c:v>145</c:v>
                </c:pt>
                <c:pt idx="136">
                  <c:v>146</c:v>
                </c:pt>
                <c:pt idx="137">
                  <c:v>147</c:v>
                </c:pt>
                <c:pt idx="138">
                  <c:v>148</c:v>
                </c:pt>
                <c:pt idx="139">
                  <c:v>149</c:v>
                </c:pt>
                <c:pt idx="140">
                  <c:v>150</c:v>
                </c:pt>
              </c:numCache>
            </c:numRef>
          </c:xVal>
          <c:yVal>
            <c:numRef>
              <c:f>'Sg(kPa) Fit'!$U$21:$U$161</c:f>
              <c:numCache>
                <c:formatCode>0.00</c:formatCode>
                <c:ptCount val="141"/>
              </c:numCache>
            </c:numRef>
          </c:yVal>
          <c:smooth val="1"/>
        </c:ser>
        <c:dLbls>
          <c:showLegendKey val="0"/>
          <c:showVal val="0"/>
          <c:showCatName val="0"/>
          <c:showSerName val="0"/>
          <c:showPercent val="0"/>
          <c:showBubbleSize val="0"/>
        </c:dLbls>
        <c:axId val="55121408"/>
        <c:axId val="55144448"/>
      </c:scatterChart>
      <c:scatterChart>
        <c:scatterStyle val="lineMarker"/>
        <c:varyColors val="0"/>
        <c:ser>
          <c:idx val="4"/>
          <c:order val="4"/>
          <c:tx>
            <c:strRef>
              <c:f>'Sg(kPa) Fit'!$V$1:$Y$1</c:f>
              <c:strCache>
                <c:ptCount val="1"/>
              </c:strCache>
            </c:strRef>
          </c:tx>
          <c:spPr>
            <a:ln w="28575">
              <a:solidFill>
                <a:schemeClr val="accent6"/>
              </a:solidFill>
            </a:ln>
          </c:spPr>
          <c:marker>
            <c:symbol val="square"/>
            <c:size val="3"/>
            <c:spPr>
              <a:solidFill>
                <a:schemeClr val="accent6">
                  <a:lumMod val="60000"/>
                  <a:lumOff val="40000"/>
                </a:schemeClr>
              </a:solidFill>
              <a:ln>
                <a:solidFill>
                  <a:schemeClr val="accent6">
                    <a:lumMod val="75000"/>
                  </a:schemeClr>
                </a:solidFill>
              </a:ln>
            </c:spPr>
          </c:marker>
          <c:xVal>
            <c:numRef>
              <c:f>'Sg(kPa) Fit'!$A$21:$A$161</c:f>
              <c:numCache>
                <c:formatCode>General</c:formatCode>
                <c:ptCount val="141"/>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pt idx="26">
                  <c:v>36</c:v>
                </c:pt>
                <c:pt idx="27">
                  <c:v>37</c:v>
                </c:pt>
                <c:pt idx="28">
                  <c:v>38</c:v>
                </c:pt>
                <c:pt idx="29">
                  <c:v>39</c:v>
                </c:pt>
                <c:pt idx="30">
                  <c:v>40</c:v>
                </c:pt>
                <c:pt idx="31">
                  <c:v>41</c:v>
                </c:pt>
                <c:pt idx="32">
                  <c:v>42</c:v>
                </c:pt>
                <c:pt idx="33">
                  <c:v>43</c:v>
                </c:pt>
                <c:pt idx="34">
                  <c:v>44</c:v>
                </c:pt>
                <c:pt idx="35">
                  <c:v>45</c:v>
                </c:pt>
                <c:pt idx="36">
                  <c:v>46</c:v>
                </c:pt>
                <c:pt idx="37">
                  <c:v>47</c:v>
                </c:pt>
                <c:pt idx="38">
                  <c:v>48</c:v>
                </c:pt>
                <c:pt idx="39">
                  <c:v>49</c:v>
                </c:pt>
                <c:pt idx="40">
                  <c:v>50</c:v>
                </c:pt>
                <c:pt idx="41">
                  <c:v>51</c:v>
                </c:pt>
                <c:pt idx="42">
                  <c:v>52</c:v>
                </c:pt>
                <c:pt idx="43">
                  <c:v>53</c:v>
                </c:pt>
                <c:pt idx="44">
                  <c:v>54</c:v>
                </c:pt>
                <c:pt idx="45">
                  <c:v>55</c:v>
                </c:pt>
                <c:pt idx="46">
                  <c:v>56</c:v>
                </c:pt>
                <c:pt idx="47">
                  <c:v>57</c:v>
                </c:pt>
                <c:pt idx="48">
                  <c:v>58</c:v>
                </c:pt>
                <c:pt idx="49">
                  <c:v>59</c:v>
                </c:pt>
                <c:pt idx="50">
                  <c:v>60</c:v>
                </c:pt>
                <c:pt idx="51">
                  <c:v>61</c:v>
                </c:pt>
                <c:pt idx="52">
                  <c:v>62</c:v>
                </c:pt>
                <c:pt idx="53">
                  <c:v>63</c:v>
                </c:pt>
                <c:pt idx="54">
                  <c:v>64</c:v>
                </c:pt>
                <c:pt idx="55">
                  <c:v>65</c:v>
                </c:pt>
                <c:pt idx="56">
                  <c:v>66</c:v>
                </c:pt>
                <c:pt idx="57">
                  <c:v>67</c:v>
                </c:pt>
                <c:pt idx="58">
                  <c:v>68</c:v>
                </c:pt>
                <c:pt idx="59">
                  <c:v>69</c:v>
                </c:pt>
                <c:pt idx="60">
                  <c:v>70</c:v>
                </c:pt>
                <c:pt idx="61">
                  <c:v>71</c:v>
                </c:pt>
                <c:pt idx="62">
                  <c:v>72</c:v>
                </c:pt>
                <c:pt idx="63">
                  <c:v>73</c:v>
                </c:pt>
                <c:pt idx="64">
                  <c:v>74</c:v>
                </c:pt>
                <c:pt idx="65">
                  <c:v>75</c:v>
                </c:pt>
                <c:pt idx="66">
                  <c:v>76</c:v>
                </c:pt>
                <c:pt idx="67">
                  <c:v>77</c:v>
                </c:pt>
                <c:pt idx="68">
                  <c:v>78</c:v>
                </c:pt>
                <c:pt idx="69">
                  <c:v>79</c:v>
                </c:pt>
                <c:pt idx="70">
                  <c:v>80</c:v>
                </c:pt>
                <c:pt idx="71">
                  <c:v>81</c:v>
                </c:pt>
                <c:pt idx="72">
                  <c:v>82</c:v>
                </c:pt>
                <c:pt idx="73">
                  <c:v>83</c:v>
                </c:pt>
                <c:pt idx="74">
                  <c:v>84</c:v>
                </c:pt>
                <c:pt idx="75">
                  <c:v>85</c:v>
                </c:pt>
                <c:pt idx="76">
                  <c:v>86</c:v>
                </c:pt>
                <c:pt idx="77">
                  <c:v>87</c:v>
                </c:pt>
                <c:pt idx="78">
                  <c:v>88</c:v>
                </c:pt>
                <c:pt idx="79">
                  <c:v>89</c:v>
                </c:pt>
                <c:pt idx="80">
                  <c:v>90</c:v>
                </c:pt>
                <c:pt idx="81">
                  <c:v>91</c:v>
                </c:pt>
                <c:pt idx="82">
                  <c:v>92</c:v>
                </c:pt>
                <c:pt idx="83">
                  <c:v>93</c:v>
                </c:pt>
                <c:pt idx="84">
                  <c:v>94</c:v>
                </c:pt>
                <c:pt idx="85">
                  <c:v>95</c:v>
                </c:pt>
                <c:pt idx="86">
                  <c:v>96</c:v>
                </c:pt>
                <c:pt idx="87">
                  <c:v>97</c:v>
                </c:pt>
                <c:pt idx="88">
                  <c:v>98</c:v>
                </c:pt>
                <c:pt idx="89">
                  <c:v>99</c:v>
                </c:pt>
                <c:pt idx="90">
                  <c:v>100</c:v>
                </c:pt>
                <c:pt idx="91">
                  <c:v>101</c:v>
                </c:pt>
                <c:pt idx="92">
                  <c:v>102</c:v>
                </c:pt>
                <c:pt idx="93">
                  <c:v>103</c:v>
                </c:pt>
                <c:pt idx="94">
                  <c:v>104</c:v>
                </c:pt>
                <c:pt idx="95">
                  <c:v>105</c:v>
                </c:pt>
                <c:pt idx="96">
                  <c:v>106</c:v>
                </c:pt>
                <c:pt idx="97">
                  <c:v>107</c:v>
                </c:pt>
                <c:pt idx="98">
                  <c:v>108</c:v>
                </c:pt>
                <c:pt idx="99">
                  <c:v>109</c:v>
                </c:pt>
                <c:pt idx="100">
                  <c:v>110</c:v>
                </c:pt>
                <c:pt idx="101">
                  <c:v>111</c:v>
                </c:pt>
                <c:pt idx="102">
                  <c:v>112</c:v>
                </c:pt>
                <c:pt idx="103">
                  <c:v>113</c:v>
                </c:pt>
                <c:pt idx="104">
                  <c:v>114</c:v>
                </c:pt>
                <c:pt idx="105">
                  <c:v>115</c:v>
                </c:pt>
                <c:pt idx="106">
                  <c:v>116</c:v>
                </c:pt>
                <c:pt idx="107">
                  <c:v>117</c:v>
                </c:pt>
                <c:pt idx="108">
                  <c:v>118</c:v>
                </c:pt>
                <c:pt idx="109">
                  <c:v>119</c:v>
                </c:pt>
                <c:pt idx="110">
                  <c:v>120</c:v>
                </c:pt>
                <c:pt idx="111">
                  <c:v>121</c:v>
                </c:pt>
                <c:pt idx="112">
                  <c:v>122</c:v>
                </c:pt>
                <c:pt idx="113">
                  <c:v>123</c:v>
                </c:pt>
                <c:pt idx="114">
                  <c:v>124</c:v>
                </c:pt>
                <c:pt idx="115">
                  <c:v>125</c:v>
                </c:pt>
                <c:pt idx="116">
                  <c:v>126</c:v>
                </c:pt>
                <c:pt idx="117">
                  <c:v>127</c:v>
                </c:pt>
                <c:pt idx="118">
                  <c:v>128</c:v>
                </c:pt>
                <c:pt idx="119">
                  <c:v>129</c:v>
                </c:pt>
                <c:pt idx="120">
                  <c:v>130</c:v>
                </c:pt>
                <c:pt idx="121">
                  <c:v>131</c:v>
                </c:pt>
                <c:pt idx="122">
                  <c:v>132</c:v>
                </c:pt>
                <c:pt idx="123">
                  <c:v>133</c:v>
                </c:pt>
                <c:pt idx="124">
                  <c:v>134</c:v>
                </c:pt>
                <c:pt idx="125">
                  <c:v>135</c:v>
                </c:pt>
                <c:pt idx="126">
                  <c:v>136</c:v>
                </c:pt>
                <c:pt idx="127">
                  <c:v>137</c:v>
                </c:pt>
                <c:pt idx="128">
                  <c:v>138</c:v>
                </c:pt>
                <c:pt idx="129">
                  <c:v>139</c:v>
                </c:pt>
                <c:pt idx="130">
                  <c:v>140</c:v>
                </c:pt>
                <c:pt idx="131">
                  <c:v>141</c:v>
                </c:pt>
                <c:pt idx="132">
                  <c:v>142</c:v>
                </c:pt>
                <c:pt idx="133">
                  <c:v>143</c:v>
                </c:pt>
                <c:pt idx="134">
                  <c:v>144</c:v>
                </c:pt>
                <c:pt idx="135">
                  <c:v>145</c:v>
                </c:pt>
                <c:pt idx="136">
                  <c:v>146</c:v>
                </c:pt>
                <c:pt idx="137">
                  <c:v>147</c:v>
                </c:pt>
                <c:pt idx="138">
                  <c:v>148</c:v>
                </c:pt>
                <c:pt idx="139">
                  <c:v>149</c:v>
                </c:pt>
                <c:pt idx="140">
                  <c:v>150</c:v>
                </c:pt>
              </c:numCache>
            </c:numRef>
          </c:xVal>
          <c:yVal>
            <c:numRef>
              <c:f>'Sg(kPa) Fit'!$Z$21:$Z$161</c:f>
              <c:numCache>
                <c:formatCode>0.00</c:formatCode>
                <c:ptCount val="141"/>
              </c:numCache>
            </c:numRef>
          </c:yVal>
          <c:smooth val="0"/>
        </c:ser>
        <c:ser>
          <c:idx val="5"/>
          <c:order val="5"/>
          <c:tx>
            <c:strRef>
              <c:f>'Sg(kPa) Fit'!$AA$1:$AD$1</c:f>
              <c:strCache>
                <c:ptCount val="1"/>
              </c:strCache>
            </c:strRef>
          </c:tx>
          <c:spPr>
            <a:ln w="25400">
              <a:solidFill>
                <a:schemeClr val="accent4">
                  <a:lumMod val="40000"/>
                  <a:lumOff val="60000"/>
                </a:schemeClr>
              </a:solidFill>
            </a:ln>
          </c:spPr>
          <c:marker>
            <c:symbol val="star"/>
            <c:size val="5"/>
            <c:spPr>
              <a:noFill/>
              <a:ln>
                <a:solidFill>
                  <a:schemeClr val="accent4"/>
                </a:solidFill>
              </a:ln>
            </c:spPr>
          </c:marker>
          <c:xVal>
            <c:numRef>
              <c:f>'Sg(kPa) Fit'!$A$21:$A$161</c:f>
              <c:numCache>
                <c:formatCode>General</c:formatCode>
                <c:ptCount val="141"/>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pt idx="26">
                  <c:v>36</c:v>
                </c:pt>
                <c:pt idx="27">
                  <c:v>37</c:v>
                </c:pt>
                <c:pt idx="28">
                  <c:v>38</c:v>
                </c:pt>
                <c:pt idx="29">
                  <c:v>39</c:v>
                </c:pt>
                <c:pt idx="30">
                  <c:v>40</c:v>
                </c:pt>
                <c:pt idx="31">
                  <c:v>41</c:v>
                </c:pt>
                <c:pt idx="32">
                  <c:v>42</c:v>
                </c:pt>
                <c:pt idx="33">
                  <c:v>43</c:v>
                </c:pt>
                <c:pt idx="34">
                  <c:v>44</c:v>
                </c:pt>
                <c:pt idx="35">
                  <c:v>45</c:v>
                </c:pt>
                <c:pt idx="36">
                  <c:v>46</c:v>
                </c:pt>
                <c:pt idx="37">
                  <c:v>47</c:v>
                </c:pt>
                <c:pt idx="38">
                  <c:v>48</c:v>
                </c:pt>
                <c:pt idx="39">
                  <c:v>49</c:v>
                </c:pt>
                <c:pt idx="40">
                  <c:v>50</c:v>
                </c:pt>
                <c:pt idx="41">
                  <c:v>51</c:v>
                </c:pt>
                <c:pt idx="42">
                  <c:v>52</c:v>
                </c:pt>
                <c:pt idx="43">
                  <c:v>53</c:v>
                </c:pt>
                <c:pt idx="44">
                  <c:v>54</c:v>
                </c:pt>
                <c:pt idx="45">
                  <c:v>55</c:v>
                </c:pt>
                <c:pt idx="46">
                  <c:v>56</c:v>
                </c:pt>
                <c:pt idx="47">
                  <c:v>57</c:v>
                </c:pt>
                <c:pt idx="48">
                  <c:v>58</c:v>
                </c:pt>
                <c:pt idx="49">
                  <c:v>59</c:v>
                </c:pt>
                <c:pt idx="50">
                  <c:v>60</c:v>
                </c:pt>
                <c:pt idx="51">
                  <c:v>61</c:v>
                </c:pt>
                <c:pt idx="52">
                  <c:v>62</c:v>
                </c:pt>
                <c:pt idx="53">
                  <c:v>63</c:v>
                </c:pt>
                <c:pt idx="54">
                  <c:v>64</c:v>
                </c:pt>
                <c:pt idx="55">
                  <c:v>65</c:v>
                </c:pt>
                <c:pt idx="56">
                  <c:v>66</c:v>
                </c:pt>
                <c:pt idx="57">
                  <c:v>67</c:v>
                </c:pt>
                <c:pt idx="58">
                  <c:v>68</c:v>
                </c:pt>
                <c:pt idx="59">
                  <c:v>69</c:v>
                </c:pt>
                <c:pt idx="60">
                  <c:v>70</c:v>
                </c:pt>
                <c:pt idx="61">
                  <c:v>71</c:v>
                </c:pt>
                <c:pt idx="62">
                  <c:v>72</c:v>
                </c:pt>
                <c:pt idx="63">
                  <c:v>73</c:v>
                </c:pt>
                <c:pt idx="64">
                  <c:v>74</c:v>
                </c:pt>
                <c:pt idx="65">
                  <c:v>75</c:v>
                </c:pt>
                <c:pt idx="66">
                  <c:v>76</c:v>
                </c:pt>
                <c:pt idx="67">
                  <c:v>77</c:v>
                </c:pt>
                <c:pt idx="68">
                  <c:v>78</c:v>
                </c:pt>
                <c:pt idx="69">
                  <c:v>79</c:v>
                </c:pt>
                <c:pt idx="70">
                  <c:v>80</c:v>
                </c:pt>
                <c:pt idx="71">
                  <c:v>81</c:v>
                </c:pt>
                <c:pt idx="72">
                  <c:v>82</c:v>
                </c:pt>
                <c:pt idx="73">
                  <c:v>83</c:v>
                </c:pt>
                <c:pt idx="74">
                  <c:v>84</c:v>
                </c:pt>
                <c:pt idx="75">
                  <c:v>85</c:v>
                </c:pt>
                <c:pt idx="76">
                  <c:v>86</c:v>
                </c:pt>
                <c:pt idx="77">
                  <c:v>87</c:v>
                </c:pt>
                <c:pt idx="78">
                  <c:v>88</c:v>
                </c:pt>
                <c:pt idx="79">
                  <c:v>89</c:v>
                </c:pt>
                <c:pt idx="80">
                  <c:v>90</c:v>
                </c:pt>
                <c:pt idx="81">
                  <c:v>91</c:v>
                </c:pt>
                <c:pt idx="82">
                  <c:v>92</c:v>
                </c:pt>
                <c:pt idx="83">
                  <c:v>93</c:v>
                </c:pt>
                <c:pt idx="84">
                  <c:v>94</c:v>
                </c:pt>
                <c:pt idx="85">
                  <c:v>95</c:v>
                </c:pt>
                <c:pt idx="86">
                  <c:v>96</c:v>
                </c:pt>
                <c:pt idx="87">
                  <c:v>97</c:v>
                </c:pt>
                <c:pt idx="88">
                  <c:v>98</c:v>
                </c:pt>
                <c:pt idx="89">
                  <c:v>99</c:v>
                </c:pt>
                <c:pt idx="90">
                  <c:v>100</c:v>
                </c:pt>
                <c:pt idx="91">
                  <c:v>101</c:v>
                </c:pt>
                <c:pt idx="92">
                  <c:v>102</c:v>
                </c:pt>
                <c:pt idx="93">
                  <c:v>103</c:v>
                </c:pt>
                <c:pt idx="94">
                  <c:v>104</c:v>
                </c:pt>
                <c:pt idx="95">
                  <c:v>105</c:v>
                </c:pt>
                <c:pt idx="96">
                  <c:v>106</c:v>
                </c:pt>
                <c:pt idx="97">
                  <c:v>107</c:v>
                </c:pt>
                <c:pt idx="98">
                  <c:v>108</c:v>
                </c:pt>
                <c:pt idx="99">
                  <c:v>109</c:v>
                </c:pt>
                <c:pt idx="100">
                  <c:v>110</c:v>
                </c:pt>
                <c:pt idx="101">
                  <c:v>111</c:v>
                </c:pt>
                <c:pt idx="102">
                  <c:v>112</c:v>
                </c:pt>
                <c:pt idx="103">
                  <c:v>113</c:v>
                </c:pt>
                <c:pt idx="104">
                  <c:v>114</c:v>
                </c:pt>
                <c:pt idx="105">
                  <c:v>115</c:v>
                </c:pt>
                <c:pt idx="106">
                  <c:v>116</c:v>
                </c:pt>
                <c:pt idx="107">
                  <c:v>117</c:v>
                </c:pt>
                <c:pt idx="108">
                  <c:v>118</c:v>
                </c:pt>
                <c:pt idx="109">
                  <c:v>119</c:v>
                </c:pt>
                <c:pt idx="110">
                  <c:v>120</c:v>
                </c:pt>
                <c:pt idx="111">
                  <c:v>121</c:v>
                </c:pt>
                <c:pt idx="112">
                  <c:v>122</c:v>
                </c:pt>
                <c:pt idx="113">
                  <c:v>123</c:v>
                </c:pt>
                <c:pt idx="114">
                  <c:v>124</c:v>
                </c:pt>
                <c:pt idx="115">
                  <c:v>125</c:v>
                </c:pt>
                <c:pt idx="116">
                  <c:v>126</c:v>
                </c:pt>
                <c:pt idx="117">
                  <c:v>127</c:v>
                </c:pt>
                <c:pt idx="118">
                  <c:v>128</c:v>
                </c:pt>
                <c:pt idx="119">
                  <c:v>129</c:v>
                </c:pt>
                <c:pt idx="120">
                  <c:v>130</c:v>
                </c:pt>
                <c:pt idx="121">
                  <c:v>131</c:v>
                </c:pt>
                <c:pt idx="122">
                  <c:v>132</c:v>
                </c:pt>
                <c:pt idx="123">
                  <c:v>133</c:v>
                </c:pt>
                <c:pt idx="124">
                  <c:v>134</c:v>
                </c:pt>
                <c:pt idx="125">
                  <c:v>135</c:v>
                </c:pt>
                <c:pt idx="126">
                  <c:v>136</c:v>
                </c:pt>
                <c:pt idx="127">
                  <c:v>137</c:v>
                </c:pt>
                <c:pt idx="128">
                  <c:v>138</c:v>
                </c:pt>
                <c:pt idx="129">
                  <c:v>139</c:v>
                </c:pt>
                <c:pt idx="130">
                  <c:v>140</c:v>
                </c:pt>
                <c:pt idx="131">
                  <c:v>141</c:v>
                </c:pt>
                <c:pt idx="132">
                  <c:v>142</c:v>
                </c:pt>
                <c:pt idx="133">
                  <c:v>143</c:v>
                </c:pt>
                <c:pt idx="134">
                  <c:v>144</c:v>
                </c:pt>
                <c:pt idx="135">
                  <c:v>145</c:v>
                </c:pt>
                <c:pt idx="136">
                  <c:v>146</c:v>
                </c:pt>
                <c:pt idx="137">
                  <c:v>147</c:v>
                </c:pt>
                <c:pt idx="138">
                  <c:v>148</c:v>
                </c:pt>
                <c:pt idx="139">
                  <c:v>149</c:v>
                </c:pt>
                <c:pt idx="140">
                  <c:v>150</c:v>
                </c:pt>
              </c:numCache>
            </c:numRef>
          </c:xVal>
          <c:yVal>
            <c:numRef>
              <c:f>'Sg(kPa) Fit'!$AE$21:$AE$161</c:f>
              <c:numCache>
                <c:formatCode>0.00</c:formatCode>
                <c:ptCount val="141"/>
              </c:numCache>
            </c:numRef>
          </c:yVal>
          <c:smooth val="0"/>
        </c:ser>
        <c:ser>
          <c:idx val="8"/>
          <c:order val="6"/>
          <c:tx>
            <c:strRef>
              <c:f>'Sg(kPa) Fit'!$A$8</c:f>
              <c:strCache>
                <c:ptCount val="1"/>
                <c:pt idx="0">
                  <c:v>N-Sgmax</c:v>
                </c:pt>
              </c:strCache>
            </c:strRef>
          </c:tx>
          <c:spPr>
            <a:ln w="28575">
              <a:noFill/>
            </a:ln>
          </c:spPr>
          <c:marker>
            <c:symbol val="diamond"/>
            <c:size val="8"/>
            <c:spPr>
              <a:solidFill>
                <a:schemeClr val="tx1"/>
              </a:solidFill>
              <a:ln w="12700">
                <a:noFill/>
              </a:ln>
            </c:spPr>
          </c:marker>
          <c:xVal>
            <c:numRef>
              <c:f>('Sg(kPa) Fit'!$F$8,'Sg(kPa) Fit'!$K$8,'Sg(kPa) Fit'!$P$8,'Sg(kPa) Fit'!$U$8,'Sg(kPa) Fit'!$Z$8,'Sg(kPa) Fit'!$AE$8)</c:f>
              <c:numCache>
                <c:formatCode>\x\̅\ 0.0</c:formatCode>
                <c:ptCount val="6"/>
              </c:numCache>
            </c:numRef>
          </c:xVal>
          <c:yVal>
            <c:numRef>
              <c:f>('Sg(kPa) Fit'!$F$9,'Sg(kPa) Fit'!$K$9,'Sg(kPa) Fit'!$P$9,'Sg(kPa) Fit'!$U$9,'Sg(kPa) Fit'!$Z$9,'Sg(kPa) Fit'!$AE$9)</c:f>
              <c:numCache>
                <c:formatCode>0.00</c:formatCode>
                <c:ptCount val="6"/>
              </c:numCache>
            </c:numRef>
          </c:yVal>
          <c:smooth val="0"/>
        </c:ser>
        <c:dLbls>
          <c:showLegendKey val="0"/>
          <c:showVal val="0"/>
          <c:showCatName val="0"/>
          <c:showSerName val="0"/>
          <c:showPercent val="0"/>
          <c:showBubbleSize val="0"/>
        </c:dLbls>
        <c:axId val="55121408"/>
        <c:axId val="55144448"/>
      </c:scatterChart>
      <c:valAx>
        <c:axId val="55121408"/>
        <c:scaling>
          <c:orientation val="minMax"/>
          <c:max val="150"/>
          <c:min val="0"/>
        </c:scaling>
        <c:delete val="0"/>
        <c:axPos val="b"/>
        <c:title>
          <c:tx>
            <c:rich>
              <a:bodyPr/>
              <a:lstStyle/>
              <a:p>
                <a:pPr>
                  <a:defRPr sz="1000" b="1" i="0" u="none" strike="noStrike" baseline="0">
                    <a:solidFill>
                      <a:srgbClr val="000000"/>
                    </a:solidFill>
                    <a:latin typeface="Calibri"/>
                    <a:ea typeface="Calibri"/>
                    <a:cs typeface="Calibri"/>
                  </a:defRPr>
                </a:pPr>
                <a:r>
                  <a:rPr lang="en-US"/>
                  <a:t>Number of Gyrations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5144448"/>
        <c:crosses val="autoZero"/>
        <c:crossBetween val="midCat"/>
      </c:valAx>
      <c:valAx>
        <c:axId val="55144448"/>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Shear (kPa)</a:t>
                </a:r>
              </a:p>
            </c:rich>
          </c:tx>
          <c:overlay val="0"/>
        </c:title>
        <c:numFmt formatCode="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5121408"/>
        <c:crosses val="autoZero"/>
        <c:crossBetween val="midCat"/>
      </c:valAx>
    </c:plotArea>
    <c:legend>
      <c:legendPos val="b"/>
      <c:layout>
        <c:manualLayout>
          <c:xMode val="edge"/>
          <c:yMode val="edge"/>
          <c:x val="7.7096195136174023E-2"/>
          <c:y val="0.91553110608836552"/>
          <c:w val="0.87538445898488626"/>
          <c:h val="3.6575472058711436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8.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9.xml.rels><?xml version="1.0" encoding="UTF-8" standalone="yes"?>
<Relationships xmlns="http://schemas.openxmlformats.org/package/2006/relationships"><Relationship Id="rId1" Type="http://schemas.openxmlformats.org/officeDocument/2006/relationships/drawing" Target="../drawings/drawing11.xml"/></Relationships>
</file>

<file path=xl/chart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chart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chartsheets/_rels/sheet12.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13.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14.xml.rels><?xml version="1.0" encoding="UTF-8" standalone="yes"?>
<Relationships xmlns="http://schemas.openxmlformats.org/package/2006/relationships"><Relationship Id="rId1" Type="http://schemas.openxmlformats.org/officeDocument/2006/relationships/drawing" Target="../drawings/drawing16.xml"/></Relationships>
</file>

<file path=xl/chartsheets/_rels/sheet15.xml.rels><?xml version="1.0" encoding="UTF-8" standalone="yes"?>
<Relationships xmlns="http://schemas.openxmlformats.org/package/2006/relationships"><Relationship Id="rId1" Type="http://schemas.openxmlformats.org/officeDocument/2006/relationships/drawing" Target="../drawings/drawing17.xml"/></Relationships>
</file>

<file path=xl/chartsheets/_rels/sheet16.xml.rels><?xml version="1.0" encoding="UTF-8" standalone="yes"?>
<Relationships xmlns="http://schemas.openxmlformats.org/package/2006/relationships"><Relationship Id="rId1" Type="http://schemas.openxmlformats.org/officeDocument/2006/relationships/drawing" Target="../drawings/drawing19.xml"/></Relationships>
</file>

<file path=xl/chartsheets/_rels/sheet17.xml.rels><?xml version="1.0" encoding="UTF-8" standalone="yes"?>
<Relationships xmlns="http://schemas.openxmlformats.org/package/2006/relationships"><Relationship Id="rId1" Type="http://schemas.openxmlformats.org/officeDocument/2006/relationships/drawing" Target="../drawings/drawing21.xml"/></Relationships>
</file>

<file path=xl/chartsheets/_rels/sheet18.xml.rels><?xml version="1.0" encoding="UTF-8" standalone="yes"?>
<Relationships xmlns="http://schemas.openxmlformats.org/package/2006/relationships"><Relationship Id="rId1" Type="http://schemas.openxmlformats.org/officeDocument/2006/relationships/drawing" Target="../drawings/drawing23.xml"/></Relationships>
</file>

<file path=xl/chartsheets/_rels/sheet19.xml.rels><?xml version="1.0" encoding="UTF-8" standalone="yes"?>
<Relationships xmlns="http://schemas.openxmlformats.org/package/2006/relationships"><Relationship Id="rId1" Type="http://schemas.openxmlformats.org/officeDocument/2006/relationships/drawing" Target="../drawings/drawing25.xml"/></Relationships>
</file>

<file path=xl/chartsheets/_rels/sheet20.xml.rels><?xml version="1.0" encoding="UTF-8" standalone="yes"?>
<Relationships xmlns="http://schemas.openxmlformats.org/package/2006/relationships"><Relationship Id="rId1" Type="http://schemas.openxmlformats.org/officeDocument/2006/relationships/drawing" Target="../drawings/drawing27.xml"/></Relationships>
</file>

<file path=xl/chartsheets/_rels/sheet21.xml.rels><?xml version="1.0" encoding="UTF-8" standalone="yes"?>
<Relationships xmlns="http://schemas.openxmlformats.org/package/2006/relationships"><Relationship Id="rId1" Type="http://schemas.openxmlformats.org/officeDocument/2006/relationships/drawing" Target="../drawings/drawing29.xml"/></Relationships>
</file>

<file path=xl/chartsheets/_rels/sheet22.xml.rels><?xml version="1.0" encoding="UTF-8" standalone="yes"?>
<Relationships xmlns="http://schemas.openxmlformats.org/package/2006/relationships"><Relationship Id="rId1" Type="http://schemas.openxmlformats.org/officeDocument/2006/relationships/drawing" Target="../drawings/drawing30.xml"/></Relationships>
</file>

<file path=xl/chartsheets/_rels/sheet23.xml.rels><?xml version="1.0" encoding="UTF-8" standalone="yes"?>
<Relationships xmlns="http://schemas.openxmlformats.org/package/2006/relationships"><Relationship Id="rId1" Type="http://schemas.openxmlformats.org/officeDocument/2006/relationships/drawing" Target="../drawings/drawing31.xml"/></Relationships>
</file>

<file path=xl/chartsheets/sheet1.xml><?xml version="1.0" encoding="utf-8"?>
<chartsheet xmlns="http://schemas.openxmlformats.org/spreadsheetml/2006/main" xmlns:r="http://schemas.openxmlformats.org/officeDocument/2006/relationships">
  <sheetPr codeName="Chart17">
    <tabColor rgb="FF00B050"/>
  </sheetPr>
  <sheetViews>
    <sheetView workbookViewId="0"/>
  </sheetViews>
  <pageMargins left="0.7" right="0.7" top="0.75" bottom="0.75" header="0.3" footer="0.3"/>
  <pageSetup orientation="landscape"/>
  <drawing r:id="rId1"/>
</chartsheet>
</file>

<file path=xl/chartsheets/sheet2.xml><?xml version="1.0" encoding="utf-8"?>
<chartsheet xmlns="http://schemas.openxmlformats.org/spreadsheetml/2006/main" xmlns:r="http://schemas.openxmlformats.org/officeDocument/2006/relationships">
  <sheetPr codeName="Chart18">
    <tabColor rgb="FF00B050"/>
  </sheetPr>
  <sheetViews>
    <sheetView workbookViewId="0"/>
  </sheetViews>
  <pageMargins left="0.7" right="0.7" top="0.75" bottom="0.75" header="0.3" footer="0.3"/>
  <pageSetup orientation="landscape"/>
  <drawing r:id="rId1"/>
</chartsheet>
</file>

<file path=xl/chartsheets/sheet3.xml><?xml version="1.0" encoding="utf-8"?>
<chartsheet xmlns="http://schemas.openxmlformats.org/spreadsheetml/2006/main" xmlns:r="http://schemas.openxmlformats.org/officeDocument/2006/relationships">
  <sheetPr codeName="Chart16">
    <tabColor rgb="FF1EFA33"/>
  </sheetPr>
  <sheetViews>
    <sheetView workbookViewId="0"/>
  </sheetViews>
  <pageMargins left="0.7" right="0.7" top="0.75" bottom="0.75" header="0.3" footer="0.3"/>
  <pageSetup orientation="landscape"/>
  <drawing r:id="rId1"/>
</chartsheet>
</file>

<file path=xl/chartsheets/sheet4.xml><?xml version="1.0" encoding="utf-8"?>
<chartsheet xmlns="http://schemas.openxmlformats.org/spreadsheetml/2006/main" xmlns:r="http://schemas.openxmlformats.org/officeDocument/2006/relationships">
  <sheetPr codeName="Chart5">
    <tabColor theme="5" tint="-0.249977111117893"/>
  </sheetPr>
  <sheetViews>
    <sheetView workbookViewId="0"/>
  </sheetViews>
  <pageMargins left="0.7" right="0.7" top="0.75" bottom="0.75" header="0.3" footer="0.3"/>
  <pageSetup orientation="landscape"/>
  <drawing r:id="rId1"/>
</chartsheet>
</file>

<file path=xl/chartsheets/sheet5.xml><?xml version="1.0" encoding="utf-8"?>
<chartsheet xmlns="http://schemas.openxmlformats.org/spreadsheetml/2006/main" xmlns:r="http://schemas.openxmlformats.org/officeDocument/2006/relationships">
  <sheetPr codeName="Chart23">
    <tabColor theme="5" tint="-0.249977111117893"/>
  </sheetPr>
  <sheetViews>
    <sheetView workbookViewId="0"/>
  </sheetViews>
  <pageMargins left="0.7" right="0.7" top="0.75" bottom="0.75" header="0.3" footer="0.3"/>
  <pageSetup orientation="landscape"/>
  <drawing r:id="rId1"/>
</chartsheet>
</file>

<file path=xl/chartsheets/sheet6.xml><?xml version="1.0" encoding="utf-8"?>
<chartsheet xmlns="http://schemas.openxmlformats.org/spreadsheetml/2006/main" xmlns:r="http://schemas.openxmlformats.org/officeDocument/2006/relationships">
  <sheetPr codeName="Chart8">
    <tabColor rgb="FFC00000"/>
  </sheetPr>
  <sheetViews>
    <sheetView workbookViewId="0"/>
  </sheetViews>
  <pageMargins left="0.7" right="0.7" top="0.75" bottom="0.75" header="0.3" footer="0.3"/>
  <pageSetup orientation="landscape"/>
  <drawing r:id="rId1"/>
</chartsheet>
</file>

<file path=xl/chartsheets/sheet7.xml><?xml version="1.0" encoding="utf-8"?>
<chartsheet xmlns="http://schemas.openxmlformats.org/spreadsheetml/2006/main" xmlns:r="http://schemas.openxmlformats.org/officeDocument/2006/relationships">
  <sheetPr codeName="Chart1">
    <tabColor rgb="FFC00000"/>
  </sheetPr>
  <sheetViews>
    <sheetView workbookViewId="0"/>
  </sheetViews>
  <pageMargins left="0.7" right="0.7" top="0.75" bottom="0.75" header="0.3" footer="0.3"/>
  <pageSetup orientation="landscape"/>
  <drawing r:id="rId1"/>
</chartsheet>
</file>

<file path=xl/chartsheets/sheet8.xml><?xml version="1.0" encoding="utf-8"?>
<chartsheet xmlns="http://schemas.openxmlformats.org/spreadsheetml/2006/main" xmlns:r="http://schemas.openxmlformats.org/officeDocument/2006/relationships">
  <sheetPr codeName="Chart4">
    <tabColor rgb="FFC00000"/>
  </sheetPr>
  <sheetViews>
    <sheetView workbookViewId="0"/>
  </sheetViews>
  <pageMargins left="0.7" right="0.7" top="0.75" bottom="0.75" header="0.3" footer="0.3"/>
  <pageSetup orientation="landscape"/>
  <drawing r:id="rId1"/>
</chartsheet>
</file>

<file path=xl/chartsheets/sheet9.xml><?xml version="1.0" encoding="utf-8"?>
<chartsheet xmlns="http://schemas.openxmlformats.org/spreadsheetml/2006/main" xmlns:r="http://schemas.openxmlformats.org/officeDocument/2006/relationships">
  <sheetPr codeName="Chart6">
    <tabColor rgb="FFC00000"/>
  </sheetPr>
  <sheetViews>
    <sheetView workbookViewId="0"/>
  </sheetViews>
  <pageMargins left="0.7" right="0.7" top="0.75" bottom="0.75" header="0.3" footer="0.3"/>
  <pageSetup orientation="landscape"/>
  <drawing r:id="rId1"/>
</chartsheet>
</file>

<file path=xl/chartsheets/sheet10.xml><?xml version="1.0" encoding="utf-8"?>
<chartsheet xmlns="http://schemas.openxmlformats.org/spreadsheetml/2006/main" xmlns:r="http://schemas.openxmlformats.org/officeDocument/2006/relationships">
  <sheetPr codeName="Chart9">
    <tabColor rgb="FF0000FF"/>
  </sheetPr>
  <sheetViews>
    <sheetView workbookViewId="0"/>
  </sheetViews>
  <pageMargins left="0.7" right="0.7" top="0.75" bottom="0.75" header="0.3" footer="0.3"/>
  <pageSetup orientation="landscape"/>
  <drawing r:id="rId1"/>
</chartsheet>
</file>

<file path=xl/chartsheets/sheet11.xml><?xml version="1.0" encoding="utf-8"?>
<chartsheet xmlns="http://schemas.openxmlformats.org/spreadsheetml/2006/main" xmlns:r="http://schemas.openxmlformats.org/officeDocument/2006/relationships">
  <sheetPr codeName="Chart12">
    <tabColor rgb="FF0000FF"/>
  </sheetPr>
  <sheetViews>
    <sheetView workbookViewId="0"/>
  </sheetViews>
  <pageMargins left="0.7" right="0.7" top="0.75" bottom="0.75" header="0.3" footer="0.3"/>
  <pageSetup orientation="landscape"/>
  <drawing r:id="rId1"/>
</chartsheet>
</file>

<file path=xl/chartsheets/sheet12.xml><?xml version="1.0" encoding="utf-8"?>
<chartsheet xmlns="http://schemas.openxmlformats.org/spreadsheetml/2006/main" xmlns:r="http://schemas.openxmlformats.org/officeDocument/2006/relationships">
  <sheetPr codeName="Chart2">
    <tabColor theme="9" tint="-0.249977111117893"/>
  </sheetPr>
  <sheetViews>
    <sheetView workbookViewId="0"/>
  </sheetViews>
  <pageMargins left="0.7" right="0.7" top="0.75" bottom="0.75" header="0.3" footer="0.3"/>
  <pageSetup orientation="landscape"/>
  <drawing r:id="rId1"/>
</chartsheet>
</file>

<file path=xl/chartsheets/sheet13.xml><?xml version="1.0" encoding="utf-8"?>
<chartsheet xmlns="http://schemas.openxmlformats.org/spreadsheetml/2006/main" xmlns:r="http://schemas.openxmlformats.org/officeDocument/2006/relationships">
  <sheetPr codeName="Chart10">
    <tabColor theme="9" tint="-0.249977111117893"/>
  </sheetPr>
  <sheetViews>
    <sheetView workbookViewId="0"/>
  </sheetViews>
  <pageMargins left="0.7" right="0.7" top="0.75" bottom="0.75" header="0.3" footer="0.3"/>
  <pageSetup orientation="landscape"/>
  <drawing r:id="rId1"/>
</chartsheet>
</file>

<file path=xl/chartsheets/sheet14.xml><?xml version="1.0" encoding="utf-8"?>
<chartsheet xmlns="http://schemas.openxmlformats.org/spreadsheetml/2006/main" xmlns:r="http://schemas.openxmlformats.org/officeDocument/2006/relationships">
  <sheetPr codeName="Chart22">
    <tabColor theme="9" tint="-0.249977111117893"/>
  </sheetPr>
  <sheetViews>
    <sheetView workbookViewId="0"/>
  </sheetViews>
  <pageMargins left="0.7" right="0.7" top="0.75" bottom="0.75" header="0.3" footer="0.3"/>
  <pageSetup orientation="landscape"/>
  <drawing r:id="rId1"/>
</chartsheet>
</file>

<file path=xl/chartsheets/sheet15.xml><?xml version="1.0" encoding="utf-8"?>
<chartsheet xmlns="http://schemas.openxmlformats.org/spreadsheetml/2006/main" xmlns:r="http://schemas.openxmlformats.org/officeDocument/2006/relationships">
  <sheetPr codeName="Chart13">
    <tabColor theme="9" tint="-0.249977111117893"/>
  </sheetPr>
  <sheetViews>
    <sheetView workbookViewId="0"/>
  </sheetViews>
  <pageMargins left="0.7" right="0.7" top="0.75" bottom="0.75" header="0.3" footer="0.3"/>
  <pageSetup orientation="landscape"/>
  <drawing r:id="rId1"/>
</chartsheet>
</file>

<file path=xl/chartsheets/sheet16.xml><?xml version="1.0" encoding="utf-8"?>
<chartsheet xmlns="http://schemas.openxmlformats.org/spreadsheetml/2006/main" xmlns:r="http://schemas.openxmlformats.org/officeDocument/2006/relationships">
  <sheetPr codeName="Chart14">
    <tabColor theme="9" tint="-0.249977111117893"/>
  </sheetPr>
  <sheetViews>
    <sheetView workbookViewId="0"/>
  </sheetViews>
  <pageMargins left="0.7" right="0.7" top="0.75" bottom="0.75" header="0.3" footer="0.3"/>
  <pageSetup orientation="landscape"/>
  <drawing r:id="rId1"/>
</chartsheet>
</file>

<file path=xl/chartsheets/sheet17.xml><?xml version="1.0" encoding="utf-8"?>
<chartsheet xmlns="http://schemas.openxmlformats.org/spreadsheetml/2006/main" xmlns:r="http://schemas.openxmlformats.org/officeDocument/2006/relationships">
  <sheetPr codeName="Chart15">
    <tabColor theme="9" tint="-0.249977111117893"/>
  </sheetPr>
  <sheetViews>
    <sheetView workbookViewId="0"/>
  </sheetViews>
  <pageMargins left="0.7" right="0.7" top="0.75" bottom="0.75" header="0.3" footer="0.3"/>
  <pageSetup orientation="landscape"/>
  <drawing r:id="rId1"/>
</chartsheet>
</file>

<file path=xl/chartsheets/sheet18.xml><?xml version="1.0" encoding="utf-8"?>
<chartsheet xmlns="http://schemas.openxmlformats.org/spreadsheetml/2006/main" xmlns:r="http://schemas.openxmlformats.org/officeDocument/2006/relationships">
  <sheetPr codeName="Chart19">
    <tabColor theme="9" tint="-0.249977111117893"/>
  </sheetPr>
  <sheetViews>
    <sheetView workbookViewId="0"/>
  </sheetViews>
  <pageMargins left="0.7" right="0.7" top="0.75" bottom="0.75" header="0.3" footer="0.3"/>
  <pageSetup orientation="landscape"/>
  <drawing r:id="rId1"/>
</chartsheet>
</file>

<file path=xl/chartsheets/sheet19.xml><?xml version="1.0" encoding="utf-8"?>
<chartsheet xmlns="http://schemas.openxmlformats.org/spreadsheetml/2006/main" xmlns:r="http://schemas.openxmlformats.org/officeDocument/2006/relationships">
  <sheetPr codeName="Chart20">
    <tabColor theme="9" tint="-0.249977111117893"/>
  </sheetPr>
  <sheetViews>
    <sheetView workbookViewId="0"/>
  </sheetViews>
  <pageMargins left="0.7" right="0.7" top="0.75" bottom="0.75" header="0.3" footer="0.3"/>
  <pageSetup orientation="landscape"/>
  <drawing r:id="rId1"/>
</chartsheet>
</file>

<file path=xl/chartsheets/sheet20.xml><?xml version="1.0" encoding="utf-8"?>
<chartsheet xmlns="http://schemas.openxmlformats.org/spreadsheetml/2006/main" xmlns:r="http://schemas.openxmlformats.org/officeDocument/2006/relationships">
  <sheetPr codeName="Chart21">
    <tabColor theme="9" tint="-0.249977111117893"/>
  </sheetPr>
  <sheetViews>
    <sheetView workbookViewId="0"/>
  </sheetViews>
  <pageMargins left="0.7" right="0.7" top="0.75" bottom="0.75" header="0.3" footer="0.3"/>
  <pageSetup orientation="landscape"/>
  <drawing r:id="rId1"/>
</chartsheet>
</file>

<file path=xl/chartsheets/sheet21.xml><?xml version="1.0" encoding="utf-8"?>
<chartsheet xmlns="http://schemas.openxmlformats.org/spreadsheetml/2006/main" xmlns:r="http://schemas.openxmlformats.org/officeDocument/2006/relationships">
  <sheetPr codeName="Chart3">
    <tabColor theme="9" tint="-0.249977111117893"/>
  </sheetPr>
  <sheetViews>
    <sheetView workbookViewId="0"/>
  </sheetViews>
  <pageMargins left="0.7" right="0.7" top="0.75" bottom="0.75" header="0.3" footer="0.3"/>
  <pageSetup orientation="landscape"/>
  <drawing r:id="rId1"/>
</chartsheet>
</file>

<file path=xl/chartsheets/sheet22.xml><?xml version="1.0" encoding="utf-8"?>
<chartsheet xmlns="http://schemas.openxmlformats.org/spreadsheetml/2006/main" xmlns:r="http://schemas.openxmlformats.org/officeDocument/2006/relationships">
  <sheetPr codeName="Chart7">
    <tabColor rgb="FFFFFF00"/>
  </sheetPr>
  <sheetViews>
    <sheetView workbookViewId="0"/>
  </sheetViews>
  <pageMargins left="0.7" right="0.7" top="0.75" bottom="0.75" header="0.3" footer="0.3"/>
  <pageSetup orientation="landscape"/>
  <drawing r:id="rId1"/>
</chartsheet>
</file>

<file path=xl/chartsheets/sheet23.xml><?xml version="1.0" encoding="utf-8"?>
<chartsheet xmlns="http://schemas.openxmlformats.org/spreadsheetml/2006/main" xmlns:r="http://schemas.openxmlformats.org/officeDocument/2006/relationships">
  <sheetPr codeName="Chart11">
    <tabColor rgb="FFFFFF00"/>
  </sheetPr>
  <sheetViews>
    <sheetView workbookViewId="0"/>
  </sheetViews>
  <pageMargins left="0.7" right="0.7" top="0.75" bottom="0.75" header="0.3" footer="0.3"/>
  <pageSetup orientation="landscape"/>
  <drawing r:id="rId1"/>
</chartsheet>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xdr:twoCellAnchor editAs="absolute">
    <xdr:from>
      <xdr:col>0</xdr:col>
      <xdr:colOff>85725</xdr:colOff>
      <xdr:row>1</xdr:row>
      <xdr:rowOff>66675</xdr:rowOff>
    </xdr:from>
    <xdr:to>
      <xdr:col>0</xdr:col>
      <xdr:colOff>904875</xdr:colOff>
      <xdr:row>1</xdr:row>
      <xdr:rowOff>676275</xdr:rowOff>
    </xdr:to>
    <xdr:sp macro="" textlink="">
      <xdr:nvSpPr>
        <xdr:cNvPr id="1155" name="LoadDataButton" hidden="1"/>
        <xdr:cNvSpPr>
          <a:spLocks noChangeArrowheads="1"/>
        </xdr:cNvSpPr>
      </xdr:nvSpPr>
      <xdr:spPr bwMode="auto">
        <a:xfrm>
          <a:off x="85725" y="314325"/>
          <a:ext cx="81915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absolute">
    <xdr:from>
      <xdr:col>0</xdr:col>
      <xdr:colOff>85725</xdr:colOff>
      <xdr:row>1</xdr:row>
      <xdr:rowOff>676275</xdr:rowOff>
    </xdr:from>
    <xdr:to>
      <xdr:col>0</xdr:col>
      <xdr:colOff>904875</xdr:colOff>
      <xdr:row>1</xdr:row>
      <xdr:rowOff>1285875</xdr:rowOff>
    </xdr:to>
    <xdr:sp macro="" textlink="">
      <xdr:nvSpPr>
        <xdr:cNvPr id="1156" name="ClearSpecButton" hidden="1"/>
        <xdr:cNvSpPr>
          <a:spLocks noChangeArrowheads="1"/>
        </xdr:cNvSpPr>
      </xdr:nvSpPr>
      <xdr:spPr bwMode="auto">
        <a:xfrm>
          <a:off x="85725" y="923925"/>
          <a:ext cx="81915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88900</xdr:colOff>
      <xdr:row>1</xdr:row>
      <xdr:rowOff>63500</xdr:rowOff>
    </xdr:from>
    <xdr:to>
      <xdr:col>0</xdr:col>
      <xdr:colOff>901700</xdr:colOff>
      <xdr:row>1</xdr:row>
      <xdr:rowOff>673100</xdr:rowOff>
    </xdr:to>
    <xdr:sp macro="" textlink="">
      <xdr:nvSpPr>
        <xdr:cNvPr id="1123" name="LoadDataButton" hidden="1">
          <a:extLst>
            <a:ext uri="{63B3BB69-23CF-44E3-9099-C40C66FF867C}">
              <a14:compatExt xmlns:a14="http://schemas.microsoft.com/office/drawing/2010/main" spid="_x0000_s1123"/>
            </a:ext>
          </a:extLst>
        </xdr:cNvPr>
        <xdr:cNvSpPr/>
      </xdr:nvSpPr>
      <xdr:spPr>
        <a:xfrm>
          <a:off x="0" y="0"/>
          <a:ext cx="0" cy="0"/>
        </a:xfrm>
        <a:prstGeom prst="rect">
          <a:avLst/>
        </a:prstGeom>
      </xdr:spPr>
    </xdr:sp>
    <xdr:clientData/>
  </xdr:twoCellAnchor>
  <xdr:twoCellAnchor editAs="oneCell">
    <xdr:from>
      <xdr:col>0</xdr:col>
      <xdr:colOff>88900</xdr:colOff>
      <xdr:row>1</xdr:row>
      <xdr:rowOff>673100</xdr:rowOff>
    </xdr:from>
    <xdr:to>
      <xdr:col>0</xdr:col>
      <xdr:colOff>901700</xdr:colOff>
      <xdr:row>1</xdr:row>
      <xdr:rowOff>1282700</xdr:rowOff>
    </xdr:to>
    <xdr:sp macro="" textlink="">
      <xdr:nvSpPr>
        <xdr:cNvPr id="1124" name="ClearSpecButton" hidden="1">
          <a:extLst>
            <a:ext uri="{63B3BB69-23CF-44E3-9099-C40C66FF867C}">
              <a14:compatExt xmlns:a14="http://schemas.microsoft.com/office/drawing/2010/main" spid="_x0000_s1124"/>
            </a:ext>
          </a:extLst>
        </xdr:cNvPr>
        <xdr:cNvSpPr/>
      </xdr:nvSpPr>
      <xdr:spPr>
        <a:xfrm>
          <a:off x="0" y="0"/>
          <a:ext cx="0" cy="0"/>
        </a:xfrm>
        <a:prstGeom prst="rect">
          <a:avLst/>
        </a:prstGeom>
      </xdr:spPr>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104775</xdr:colOff>
      <xdr:row>18</xdr:row>
      <xdr:rowOff>69833</xdr:rowOff>
    </xdr:from>
    <xdr:to>
      <xdr:col>1</xdr:col>
      <xdr:colOff>7620</xdr:colOff>
      <xdr:row>21</xdr:row>
      <xdr:rowOff>5063</xdr:rowOff>
    </xdr:to>
    <xdr:sp macro="" textlink="">
      <xdr:nvSpPr>
        <xdr:cNvPr id="2" name="GenerateReportButton" hidden="1"/>
        <xdr:cNvSpPr>
          <a:spLocks noChangeArrowheads="1"/>
        </xdr:cNvSpPr>
      </xdr:nvSpPr>
      <xdr:spPr bwMode="auto">
        <a:xfrm>
          <a:off x="104775" y="4330065"/>
          <a:ext cx="1762125" cy="4686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50800</xdr:colOff>
      <xdr:row>53</xdr:row>
      <xdr:rowOff>25400</xdr:rowOff>
    </xdr:from>
    <xdr:to>
      <xdr:col>3</xdr:col>
      <xdr:colOff>119380</xdr:colOff>
      <xdr:row>55</xdr:row>
      <xdr:rowOff>144781</xdr:rowOff>
    </xdr:to>
    <xdr:sp macro="" textlink="">
      <xdr:nvSpPr>
        <xdr:cNvPr id="3" name="GenerateReportButton" hidden="1">
          <a:extLst>
            <a:ext uri="{63B3BB69-23CF-44E3-9099-C40C66FF867C}">
              <a14:compatExt xmlns:a14="http://schemas.microsoft.com/office/drawing/2010/main" spid="_x0000_s17409"/>
            </a:ext>
          </a:extLst>
        </xdr:cNvPr>
        <xdr:cNvSpPr/>
      </xdr:nvSpPr>
      <xdr:spPr>
        <a:xfrm>
          <a:off x="1910080" y="6441440"/>
          <a:ext cx="1866900" cy="477520"/>
        </a:xfrm>
        <a:prstGeom prst="rect">
          <a:avLst/>
        </a:prstGeom>
      </xdr:spPr>
    </xdr:sp>
    <xdr:clientData/>
  </xdr:twoCellAnchor>
  <xdr:twoCellAnchor>
    <xdr:from>
      <xdr:col>8</xdr:col>
      <xdr:colOff>396240</xdr:colOff>
      <xdr:row>32</xdr:row>
      <xdr:rowOff>30480</xdr:rowOff>
    </xdr:from>
    <xdr:to>
      <xdr:col>13</xdr:col>
      <xdr:colOff>457200</xdr:colOff>
      <xdr:row>43</xdr:row>
      <xdr:rowOff>114300</xdr:rowOff>
    </xdr:to>
    <xdr:graphicFrame macro="">
      <xdr:nvGraphicFramePr>
        <xdr:cNvPr id="4" name="N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396240</xdr:colOff>
      <xdr:row>8</xdr:row>
      <xdr:rowOff>30480</xdr:rowOff>
    </xdr:from>
    <xdr:to>
      <xdr:col>13</xdr:col>
      <xdr:colOff>457200</xdr:colOff>
      <xdr:row>19</xdr:row>
      <xdr:rowOff>106680</xdr:rowOff>
    </xdr:to>
    <xdr:graphicFrame macro="">
      <xdr:nvGraphicFramePr>
        <xdr:cNvPr id="5" name="Gmb"/>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396240</xdr:colOff>
      <xdr:row>20</xdr:row>
      <xdr:rowOff>38100</xdr:rowOff>
    </xdr:from>
    <xdr:to>
      <xdr:col>13</xdr:col>
      <xdr:colOff>457200</xdr:colOff>
      <xdr:row>31</xdr:row>
      <xdr:rowOff>160020</xdr:rowOff>
    </xdr:to>
    <xdr:graphicFrame macro="">
      <xdr:nvGraphicFramePr>
        <xdr:cNvPr id="6" name="%Gmm"/>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396240</xdr:colOff>
      <xdr:row>44</xdr:row>
      <xdr:rowOff>68580</xdr:rowOff>
    </xdr:from>
    <xdr:to>
      <xdr:col>13</xdr:col>
      <xdr:colOff>457200</xdr:colOff>
      <xdr:row>56</xdr:row>
      <xdr:rowOff>0</xdr:rowOff>
    </xdr:to>
    <xdr:graphicFrame macro="">
      <xdr:nvGraphicFramePr>
        <xdr:cNvPr id="7" name="CF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396240</xdr:colOff>
      <xdr:row>56</xdr:row>
      <xdr:rowOff>51955</xdr:rowOff>
    </xdr:from>
    <xdr:to>
      <xdr:col>13</xdr:col>
      <xdr:colOff>457200</xdr:colOff>
      <xdr:row>67</xdr:row>
      <xdr:rowOff>173875</xdr:rowOff>
    </xdr:to>
    <xdr:graphicFrame macro="">
      <xdr:nvGraphicFramePr>
        <xdr:cNvPr id="8" name="TF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396240</xdr:colOff>
      <xdr:row>68</xdr:row>
      <xdr:rowOff>38100</xdr:rowOff>
    </xdr:from>
    <xdr:to>
      <xdr:col>13</xdr:col>
      <xdr:colOff>457200</xdr:colOff>
      <xdr:row>79</xdr:row>
      <xdr:rowOff>160020</xdr:rowOff>
    </xdr:to>
    <xdr:graphicFrame macro="">
      <xdr:nvGraphicFramePr>
        <xdr:cNvPr id="9" name="NS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396240</xdr:colOff>
      <xdr:row>80</xdr:row>
      <xdr:rowOff>24246</xdr:rowOff>
    </xdr:from>
    <xdr:to>
      <xdr:col>13</xdr:col>
      <xdr:colOff>457200</xdr:colOff>
      <xdr:row>91</xdr:row>
      <xdr:rowOff>146166</xdr:rowOff>
    </xdr:to>
    <xdr:graphicFrame macro="">
      <xdr:nvGraphicFramePr>
        <xdr:cNvPr id="10" name="CD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396240</xdr:colOff>
      <xdr:row>92</xdr:row>
      <xdr:rowOff>38100</xdr:rowOff>
    </xdr:from>
    <xdr:to>
      <xdr:col>13</xdr:col>
      <xdr:colOff>457200</xdr:colOff>
      <xdr:row>103</xdr:row>
      <xdr:rowOff>137160</xdr:rowOff>
    </xdr:to>
    <xdr:graphicFrame macro="">
      <xdr:nvGraphicFramePr>
        <xdr:cNvPr id="11" name="LockingPoin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396240</xdr:colOff>
      <xdr:row>104</xdr:row>
      <xdr:rowOff>38100</xdr:rowOff>
    </xdr:from>
    <xdr:to>
      <xdr:col>13</xdr:col>
      <xdr:colOff>457200</xdr:colOff>
      <xdr:row>115</xdr:row>
      <xdr:rowOff>160020</xdr:rowOff>
    </xdr:to>
    <xdr:graphicFrame macro="">
      <xdr:nvGraphicFramePr>
        <xdr:cNvPr id="12" name="WE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396240</xdr:colOff>
      <xdr:row>116</xdr:row>
      <xdr:rowOff>27016</xdr:rowOff>
    </xdr:from>
    <xdr:to>
      <xdr:col>13</xdr:col>
      <xdr:colOff>457200</xdr:colOff>
      <xdr:row>127</xdr:row>
      <xdr:rowOff>153785</xdr:rowOff>
    </xdr:to>
    <xdr:graphicFrame macro="">
      <xdr:nvGraphicFramePr>
        <xdr:cNvPr id="13" name="CE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2</xdr:col>
      <xdr:colOff>142875</xdr:colOff>
      <xdr:row>105</xdr:row>
      <xdr:rowOff>104775</xdr:rowOff>
    </xdr:from>
    <xdr:ext cx="184731" cy="264560"/>
    <xdr:sp macro="" textlink="">
      <xdr:nvSpPr>
        <xdr:cNvPr id="14" name="TextBox 13"/>
        <xdr:cNvSpPr txBox="1"/>
      </xdr:nvSpPr>
      <xdr:spPr>
        <a:xfrm>
          <a:off x="3067050" y="21297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28575"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0.33047</cdr:x>
      <cdr:y>0.96651</cdr:y>
    </cdr:from>
    <cdr:to>
      <cdr:x>0.69516</cdr:x>
      <cdr:y>0.99752</cdr:y>
    </cdr:to>
    <cdr:sp macro="" textlink="">
      <cdr:nvSpPr>
        <cdr:cNvPr id="2" name="TextBox 1"/>
        <cdr:cNvSpPr txBox="1"/>
      </cdr:nvSpPr>
      <cdr:spPr>
        <a:xfrm xmlns:a="http://schemas.openxmlformats.org/drawingml/2006/main">
          <a:off x="2865306" y="6081947"/>
          <a:ext cx="3161987" cy="195145"/>
        </a:xfrm>
        <a:prstGeom xmlns:a="http://schemas.openxmlformats.org/drawingml/2006/main" prst="rect">
          <a:avLst/>
        </a:prstGeom>
      </cdr:spPr>
      <cdr:style>
        <a:lnRef xmlns:a="http://schemas.openxmlformats.org/drawingml/2006/main" idx="1">
          <a:schemeClr val="accent3"/>
        </a:lnRef>
        <a:fillRef xmlns:a="http://schemas.openxmlformats.org/drawingml/2006/main" idx="2">
          <a:schemeClr val="accent3"/>
        </a:fillRef>
        <a:effectRef xmlns:a="http://schemas.openxmlformats.org/drawingml/2006/main" idx="1">
          <a:schemeClr val="accent3"/>
        </a:effectRef>
        <a:fontRef xmlns:a="http://schemas.openxmlformats.org/drawingml/2006/main" idx="minor">
          <a:schemeClr val="dk1"/>
        </a:fontRef>
      </cdr:style>
      <cdr:txBody>
        <a:bodyPr xmlns:a="http://schemas.openxmlformats.org/drawingml/2006/main" vertOverflow="clip" wrap="square" rtlCol="0" anchor="ctr"/>
        <a:lstStyle xmlns:a="http://schemas.openxmlformats.org/drawingml/2006/main"/>
        <a:p xmlns:a="http://schemas.openxmlformats.org/drawingml/2006/main">
          <a:pPr algn="ctr"/>
          <a:r>
            <a:rPr lang="en-US" sz="1100"/>
            <a:t>This worksheet's tab may be renamed</a:t>
          </a:r>
          <a:r>
            <a:rPr lang="en-US" sz="1100" baseline="0"/>
            <a:t> if desired.</a:t>
          </a:r>
          <a:endParaRPr lang="en-US" sz="1100"/>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0.33642</cdr:x>
      <cdr:y>0.96893</cdr:y>
    </cdr:from>
    <cdr:to>
      <cdr:x>0.7017</cdr:x>
      <cdr:y>1</cdr:y>
    </cdr:to>
    <cdr:sp macro="" textlink="">
      <cdr:nvSpPr>
        <cdr:cNvPr id="2" name="TextBox 1"/>
        <cdr:cNvSpPr txBox="1"/>
      </cdr:nvSpPr>
      <cdr:spPr>
        <a:xfrm xmlns:a="http://schemas.openxmlformats.org/drawingml/2006/main">
          <a:off x="2912152" y="6100347"/>
          <a:ext cx="3161987" cy="195145"/>
        </a:xfrm>
        <a:prstGeom xmlns:a="http://schemas.openxmlformats.org/drawingml/2006/main" prst="rect">
          <a:avLst/>
        </a:prstGeom>
        <a:gradFill xmlns:a="http://schemas.openxmlformats.org/drawingml/2006/main"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xmlns:a="http://schemas.openxmlformats.org/drawingml/2006/main" w="9525" cap="flat" cmpd="sng" algn="ctr">
          <a:solidFill>
            <a:srgbClr val="9BBB59">
              <a:shade val="95000"/>
              <a:satMod val="105000"/>
            </a:srgbClr>
          </a:solidFill>
          <a:prstDash val="solid"/>
        </a:ln>
        <a:effectLst xmlns:a="http://schemas.openxmlformats.org/drawingml/2006/main">
          <a:outerShdw blurRad="40000" dist="20000" dir="5400000" rotWithShape="0">
            <a:srgbClr val="000000">
              <a:alpha val="38000"/>
            </a:srgbClr>
          </a:outerShdw>
        </a:effectLst>
      </cdr:spPr>
      <cdr:style>
        <a:lnRef xmlns:a="http://schemas.openxmlformats.org/drawingml/2006/main" idx="1">
          <a:schemeClr val="accent3"/>
        </a:lnRef>
        <a:fillRef xmlns:a="http://schemas.openxmlformats.org/drawingml/2006/main" idx="2">
          <a:schemeClr val="accent3"/>
        </a:fillRef>
        <a:effectRef xmlns:a="http://schemas.openxmlformats.org/drawingml/2006/main" idx="1">
          <a:schemeClr val="accent3"/>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ctr"/>
          <a:r>
            <a:rPr lang="en-US" sz="1100"/>
            <a:t>This worksheet's tab may be renamed</a:t>
          </a:r>
          <a:r>
            <a:rPr lang="en-US" sz="1100" baseline="0"/>
            <a:t> if desired.</a:t>
          </a:r>
          <a:endParaRPr lang="en-US" sz="1100"/>
        </a:p>
      </cdr:txBody>
    </cdr:sp>
  </cdr:relSizeAnchor>
</c:userShapes>
</file>

<file path=xl/drawings/drawing21.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2.xml><?xml version="1.0" encoding="utf-8"?>
<c:userShapes xmlns:c="http://schemas.openxmlformats.org/drawingml/2006/chart">
  <cdr:relSizeAnchor xmlns:cdr="http://schemas.openxmlformats.org/drawingml/2006/chartDrawing">
    <cdr:from>
      <cdr:x>0.32199</cdr:x>
      <cdr:y>0.96893</cdr:y>
    </cdr:from>
    <cdr:to>
      <cdr:x>0.68727</cdr:x>
      <cdr:y>1</cdr:y>
    </cdr:to>
    <cdr:sp macro="" textlink="">
      <cdr:nvSpPr>
        <cdr:cNvPr id="2" name="TextBox 1"/>
        <cdr:cNvSpPr txBox="1"/>
      </cdr:nvSpPr>
      <cdr:spPr>
        <a:xfrm xmlns:a="http://schemas.openxmlformats.org/drawingml/2006/main">
          <a:off x="2787233" y="6121023"/>
          <a:ext cx="3161987" cy="195145"/>
        </a:xfrm>
        <a:prstGeom xmlns:a="http://schemas.openxmlformats.org/drawingml/2006/main" prst="rect">
          <a:avLst/>
        </a:prstGeom>
        <a:gradFill xmlns:a="http://schemas.openxmlformats.org/drawingml/2006/main"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xmlns:a="http://schemas.openxmlformats.org/drawingml/2006/main" w="9525" cap="flat" cmpd="sng" algn="ctr">
          <a:solidFill>
            <a:srgbClr val="9BBB59">
              <a:shade val="95000"/>
              <a:satMod val="105000"/>
            </a:srgbClr>
          </a:solidFill>
          <a:prstDash val="solid"/>
        </a:ln>
        <a:effectLst xmlns:a="http://schemas.openxmlformats.org/drawingml/2006/main">
          <a:outerShdw blurRad="40000" dist="20000" dir="5400000" rotWithShape="0">
            <a:srgbClr val="000000">
              <a:alpha val="38000"/>
            </a:srgbClr>
          </a:outerShdw>
        </a:effectLst>
      </cdr:spPr>
      <cdr:style>
        <a:lnRef xmlns:a="http://schemas.openxmlformats.org/drawingml/2006/main" idx="1">
          <a:schemeClr val="accent3"/>
        </a:lnRef>
        <a:fillRef xmlns:a="http://schemas.openxmlformats.org/drawingml/2006/main" idx="2">
          <a:schemeClr val="accent3"/>
        </a:fillRef>
        <a:effectRef xmlns:a="http://schemas.openxmlformats.org/drawingml/2006/main" idx="1">
          <a:schemeClr val="accent3"/>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ctr"/>
          <a:r>
            <a:rPr lang="en-US" sz="1100"/>
            <a:t>This worksheet's tab may be renamed</a:t>
          </a:r>
          <a:r>
            <a:rPr lang="en-US" sz="1100" baseline="0"/>
            <a:t> if desired.</a:t>
          </a:r>
          <a:endParaRPr lang="en-US" sz="1100"/>
        </a:p>
      </cdr:txBody>
    </cdr:sp>
  </cdr:relSizeAnchor>
</c:userShapes>
</file>

<file path=xl/drawings/drawing23.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0.34896</cdr:x>
      <cdr:y>0.96899</cdr:y>
    </cdr:from>
    <cdr:to>
      <cdr:x>0.71365</cdr:x>
      <cdr:y>1</cdr:y>
    </cdr:to>
    <cdr:sp macro="" textlink="">
      <cdr:nvSpPr>
        <cdr:cNvPr id="2" name="TextBox 1"/>
        <cdr:cNvSpPr txBox="1"/>
      </cdr:nvSpPr>
      <cdr:spPr>
        <a:xfrm xmlns:a="http://schemas.openxmlformats.org/drawingml/2006/main">
          <a:off x="3025643" y="6121023"/>
          <a:ext cx="3161987" cy="195145"/>
        </a:xfrm>
        <a:prstGeom xmlns:a="http://schemas.openxmlformats.org/drawingml/2006/main" prst="rect">
          <a:avLst/>
        </a:prstGeom>
        <a:gradFill xmlns:a="http://schemas.openxmlformats.org/drawingml/2006/main"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xmlns:a="http://schemas.openxmlformats.org/drawingml/2006/main" w="9525" cap="flat" cmpd="sng" algn="ctr">
          <a:solidFill>
            <a:srgbClr val="9BBB59">
              <a:shade val="95000"/>
              <a:satMod val="105000"/>
            </a:srgbClr>
          </a:solidFill>
          <a:prstDash val="solid"/>
        </a:ln>
        <a:effectLst xmlns:a="http://schemas.openxmlformats.org/drawingml/2006/main">
          <a:outerShdw blurRad="40000" dist="20000" dir="5400000" rotWithShape="0">
            <a:srgbClr val="000000">
              <a:alpha val="38000"/>
            </a:srgbClr>
          </a:outerShdw>
        </a:effectLst>
      </cdr:spPr>
      <cdr:style>
        <a:lnRef xmlns:a="http://schemas.openxmlformats.org/drawingml/2006/main" idx="1">
          <a:schemeClr val="accent3"/>
        </a:lnRef>
        <a:fillRef xmlns:a="http://schemas.openxmlformats.org/drawingml/2006/main" idx="2">
          <a:schemeClr val="accent3"/>
        </a:fillRef>
        <a:effectRef xmlns:a="http://schemas.openxmlformats.org/drawingml/2006/main" idx="1">
          <a:schemeClr val="accent3"/>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ctr"/>
          <a:r>
            <a:rPr lang="en-US" sz="1100"/>
            <a:t>This worksheet's tab may be renamed</a:t>
          </a:r>
          <a:r>
            <a:rPr lang="en-US" sz="1100" baseline="0"/>
            <a:t> if desired.</a:t>
          </a:r>
          <a:endParaRPr lang="en-US" sz="1100"/>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c:userShapes xmlns:c="http://schemas.openxmlformats.org/drawingml/2006/chart">
  <cdr:relSizeAnchor xmlns:cdr="http://schemas.openxmlformats.org/drawingml/2006/chartDrawing">
    <cdr:from>
      <cdr:x>0.33816</cdr:x>
      <cdr:y>0.96899</cdr:y>
    </cdr:from>
    <cdr:to>
      <cdr:x>0.70285</cdr:x>
      <cdr:y>1</cdr:y>
    </cdr:to>
    <cdr:sp macro="" textlink="">
      <cdr:nvSpPr>
        <cdr:cNvPr id="2" name="TextBox 1"/>
        <cdr:cNvSpPr txBox="1"/>
      </cdr:nvSpPr>
      <cdr:spPr>
        <a:xfrm xmlns:a="http://schemas.openxmlformats.org/drawingml/2006/main">
          <a:off x="2931955" y="6121023"/>
          <a:ext cx="3161987" cy="195145"/>
        </a:xfrm>
        <a:prstGeom xmlns:a="http://schemas.openxmlformats.org/drawingml/2006/main" prst="rect">
          <a:avLst/>
        </a:prstGeom>
        <a:gradFill xmlns:a="http://schemas.openxmlformats.org/drawingml/2006/main"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xmlns:a="http://schemas.openxmlformats.org/drawingml/2006/main" w="9525" cap="flat" cmpd="sng" algn="ctr">
          <a:solidFill>
            <a:srgbClr val="9BBB59">
              <a:shade val="95000"/>
              <a:satMod val="105000"/>
            </a:srgbClr>
          </a:solidFill>
          <a:prstDash val="solid"/>
        </a:ln>
        <a:effectLst xmlns:a="http://schemas.openxmlformats.org/drawingml/2006/main">
          <a:outerShdw blurRad="40000" dist="20000" dir="5400000" rotWithShape="0">
            <a:srgbClr val="000000">
              <a:alpha val="38000"/>
            </a:srgbClr>
          </a:outerShdw>
        </a:effectLst>
      </cdr:spPr>
      <cdr:style>
        <a:lnRef xmlns:a="http://schemas.openxmlformats.org/drawingml/2006/main" idx="1">
          <a:schemeClr val="accent3"/>
        </a:lnRef>
        <a:fillRef xmlns:a="http://schemas.openxmlformats.org/drawingml/2006/main" idx="2">
          <a:schemeClr val="accent3"/>
        </a:fillRef>
        <a:effectRef xmlns:a="http://schemas.openxmlformats.org/drawingml/2006/main" idx="1">
          <a:schemeClr val="accent3"/>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ctr"/>
          <a:r>
            <a:rPr lang="en-US" sz="1100"/>
            <a:t>This worksheet's tab may be renamed</a:t>
          </a:r>
          <a:r>
            <a:rPr lang="en-US" sz="1100" baseline="0"/>
            <a:t> if desired.</a:t>
          </a:r>
          <a:endParaRPr lang="en-US" sz="1100"/>
        </a:p>
      </cdr:txBody>
    </cdr:sp>
  </cdr:relSizeAnchor>
</c:userShapes>
</file>

<file path=xl/drawings/drawing27.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c:userShapes xmlns:c="http://schemas.openxmlformats.org/drawingml/2006/chart">
  <cdr:relSizeAnchor xmlns:cdr="http://schemas.openxmlformats.org/drawingml/2006/chartDrawing">
    <cdr:from>
      <cdr:x>0.33816</cdr:x>
      <cdr:y>0.96899</cdr:y>
    </cdr:from>
    <cdr:to>
      <cdr:x>0.70285</cdr:x>
      <cdr:y>1</cdr:y>
    </cdr:to>
    <cdr:sp macro="" textlink="">
      <cdr:nvSpPr>
        <cdr:cNvPr id="2" name="TextBox 1"/>
        <cdr:cNvSpPr txBox="1"/>
      </cdr:nvSpPr>
      <cdr:spPr>
        <a:xfrm xmlns:a="http://schemas.openxmlformats.org/drawingml/2006/main">
          <a:off x="2931955" y="6121023"/>
          <a:ext cx="3161987" cy="195145"/>
        </a:xfrm>
        <a:prstGeom xmlns:a="http://schemas.openxmlformats.org/drawingml/2006/main" prst="rect">
          <a:avLst/>
        </a:prstGeom>
        <a:gradFill xmlns:a="http://schemas.openxmlformats.org/drawingml/2006/main"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xmlns:a="http://schemas.openxmlformats.org/drawingml/2006/main" w="9525" cap="flat" cmpd="sng" algn="ctr">
          <a:solidFill>
            <a:srgbClr val="9BBB59">
              <a:shade val="95000"/>
              <a:satMod val="105000"/>
            </a:srgbClr>
          </a:solidFill>
          <a:prstDash val="solid"/>
        </a:ln>
        <a:effectLst xmlns:a="http://schemas.openxmlformats.org/drawingml/2006/main">
          <a:outerShdw blurRad="40000" dist="20000" dir="5400000" rotWithShape="0">
            <a:srgbClr val="000000">
              <a:alpha val="38000"/>
            </a:srgbClr>
          </a:outerShdw>
        </a:effectLst>
      </cdr:spPr>
      <cdr:style>
        <a:lnRef xmlns:a="http://schemas.openxmlformats.org/drawingml/2006/main" idx="1">
          <a:schemeClr val="accent3"/>
        </a:lnRef>
        <a:fillRef xmlns:a="http://schemas.openxmlformats.org/drawingml/2006/main" idx="2">
          <a:schemeClr val="accent3"/>
        </a:fillRef>
        <a:effectRef xmlns:a="http://schemas.openxmlformats.org/drawingml/2006/main" idx="1">
          <a:schemeClr val="accent3"/>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ctr"/>
          <a:r>
            <a:rPr lang="en-US" sz="1100"/>
            <a:t>This worksheet's tab may be renamed</a:t>
          </a:r>
          <a:r>
            <a:rPr lang="en-US" sz="1100" baseline="0"/>
            <a:t> if desired.</a:t>
          </a:r>
          <a:endParaRPr lang="en-US" sz="1100"/>
        </a:p>
      </cdr:txBody>
    </cdr:sp>
  </cdr:relSizeAnchor>
</c:userShapes>
</file>

<file path=xl/drawings/drawing29.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AF262"/>
  <sheetViews>
    <sheetView tabSelected="1" zoomScaleNormal="100" workbookViewId="0">
      <pane xSplit="1" ySplit="10" topLeftCell="B11" activePane="bottomRight" state="frozen"/>
      <selection activeCell="B11" sqref="B11"/>
      <selection pane="topRight" activeCell="B11" sqref="B11"/>
      <selection pane="bottomLeft" activeCell="B11" sqref="B11"/>
      <selection pane="bottomRight" activeCell="B11" sqref="B11"/>
    </sheetView>
  </sheetViews>
  <sheetFormatPr defaultColWidth="8.85546875" defaultRowHeight="15" x14ac:dyDescent="0.25"/>
  <cols>
    <col min="1" max="1" width="14.85546875" style="7" customWidth="1"/>
    <col min="2" max="2" width="8.42578125" style="7" customWidth="1"/>
    <col min="3" max="3" width="8.85546875" style="7" customWidth="1"/>
    <col min="4" max="4" width="8.85546875" style="7"/>
    <col min="5" max="5" width="9.140625" style="7" customWidth="1"/>
    <col min="6" max="6" width="10" style="7" customWidth="1"/>
    <col min="7" max="10" width="8.85546875" style="7"/>
    <col min="11" max="11" width="10" style="7" customWidth="1"/>
    <col min="12" max="15" width="8.85546875" style="7"/>
    <col min="16" max="16" width="10" style="7" customWidth="1"/>
    <col min="17" max="20" width="8.85546875" style="7"/>
    <col min="21" max="21" width="10" style="7" customWidth="1"/>
    <col min="22" max="25" width="8.85546875" style="7"/>
    <col min="26" max="26" width="10" style="7" customWidth="1"/>
    <col min="27" max="30" width="8.85546875" style="7"/>
    <col min="31" max="31" width="10" style="7" customWidth="1"/>
    <col min="32" max="32" width="8.85546875" style="255"/>
    <col min="33" max="33" width="9.42578125" style="7" bestFit="1" customWidth="1"/>
    <col min="34" max="16384" width="8.85546875" style="7"/>
  </cols>
  <sheetData>
    <row r="1" spans="1:32" s="256" customFormat="1" ht="19.5" customHeight="1" thickBot="1" x14ac:dyDescent="0.35">
      <c r="A1" s="251" t="s">
        <v>94</v>
      </c>
      <c r="B1" s="1442" t="s">
        <v>137</v>
      </c>
      <c r="C1" s="1442"/>
      <c r="D1" s="1442"/>
      <c r="E1" s="1443"/>
      <c r="F1" s="252"/>
      <c r="G1" s="1441" t="s">
        <v>138</v>
      </c>
      <c r="H1" s="1442"/>
      <c r="I1" s="1442"/>
      <c r="J1" s="1443"/>
      <c r="K1" s="252"/>
      <c r="L1" s="1441" t="s">
        <v>139</v>
      </c>
      <c r="M1" s="1442"/>
      <c r="N1" s="1442"/>
      <c r="O1" s="1443"/>
      <c r="P1" s="253"/>
      <c r="Q1" s="1441" t="s">
        <v>140</v>
      </c>
      <c r="R1" s="1442"/>
      <c r="S1" s="1442"/>
      <c r="T1" s="1443"/>
      <c r="U1" s="253"/>
      <c r="V1" s="1441" t="s">
        <v>141</v>
      </c>
      <c r="W1" s="1442"/>
      <c r="X1" s="1442"/>
      <c r="Y1" s="1443"/>
      <c r="Z1" s="254"/>
      <c r="AA1" s="1441" t="s">
        <v>142</v>
      </c>
      <c r="AB1" s="1442"/>
      <c r="AC1" s="1442"/>
      <c r="AD1" s="1443"/>
      <c r="AE1" s="254"/>
      <c r="AF1" s="255"/>
    </row>
    <row r="2" spans="1:32" ht="108" customHeight="1" thickBot="1" x14ac:dyDescent="0.3">
      <c r="A2" s="257" t="s">
        <v>3</v>
      </c>
      <c r="B2" s="1433"/>
      <c r="C2" s="1434"/>
      <c r="D2" s="1434"/>
      <c r="E2" s="1435"/>
      <c r="F2" s="260"/>
      <c r="G2" s="1436"/>
      <c r="H2" s="1434"/>
      <c r="I2" s="1434"/>
      <c r="J2" s="1435"/>
      <c r="K2" s="263"/>
      <c r="L2" s="1436"/>
      <c r="M2" s="1434"/>
      <c r="N2" s="1434"/>
      <c r="O2" s="1435"/>
      <c r="P2" s="267"/>
      <c r="Q2" s="1436"/>
      <c r="R2" s="1434"/>
      <c r="S2" s="1434"/>
      <c r="T2" s="1435"/>
      <c r="U2" s="271"/>
      <c r="V2" s="1437"/>
      <c r="W2" s="1438"/>
      <c r="X2" s="1438"/>
      <c r="Y2" s="1439"/>
      <c r="Z2" s="272"/>
      <c r="AA2" s="1437"/>
      <c r="AB2" s="1438"/>
      <c r="AC2" s="1438"/>
      <c r="AD2" s="1439"/>
      <c r="AE2" s="276"/>
    </row>
    <row r="3" spans="1:32" x14ac:dyDescent="0.25">
      <c r="A3" s="277" t="s">
        <v>11</v>
      </c>
      <c r="B3" s="278"/>
      <c r="C3" s="279"/>
      <c r="D3" s="279"/>
      <c r="E3" s="280"/>
      <c r="F3" s="281"/>
      <c r="G3" s="282"/>
      <c r="H3" s="283"/>
      <c r="I3" s="283"/>
      <c r="J3" s="284"/>
      <c r="K3" s="285"/>
      <c r="L3" s="286"/>
      <c r="M3" s="287"/>
      <c r="N3" s="287"/>
      <c r="O3" s="288"/>
      <c r="P3" s="289" t="s">
        <v>122</v>
      </c>
      <c r="Q3" s="290"/>
      <c r="R3" s="291"/>
      <c r="S3" s="291"/>
      <c r="T3" s="292"/>
      <c r="U3" s="293" t="s">
        <v>122</v>
      </c>
      <c r="V3" s="294"/>
      <c r="W3" s="295"/>
      <c r="X3" s="295"/>
      <c r="Y3" s="296"/>
      <c r="Z3" s="297" t="s">
        <v>122</v>
      </c>
      <c r="AA3" s="298"/>
      <c r="AB3" s="299"/>
      <c r="AC3" s="299"/>
      <c r="AD3" s="300"/>
      <c r="AE3" s="301" t="s">
        <v>122</v>
      </c>
    </row>
    <row r="4" spans="1:32" ht="15.75" thickBot="1" x14ac:dyDescent="0.3">
      <c r="A4" s="277" t="s">
        <v>1</v>
      </c>
      <c r="B4" s="302"/>
      <c r="C4" s="303"/>
      <c r="D4" s="303"/>
      <c r="E4" s="304"/>
      <c r="F4" s="1087"/>
      <c r="G4" s="305"/>
      <c r="H4" s="306"/>
      <c r="I4" s="306"/>
      <c r="J4" s="307"/>
      <c r="K4" s="308"/>
      <c r="L4" s="309"/>
      <c r="M4" s="310"/>
      <c r="N4" s="310"/>
      <c r="O4" s="311"/>
      <c r="P4" s="312"/>
      <c r="Q4" s="313"/>
      <c r="R4" s="314"/>
      <c r="S4" s="314"/>
      <c r="T4" s="315"/>
      <c r="U4" s="316"/>
      <c r="V4" s="317"/>
      <c r="W4" s="318"/>
      <c r="X4" s="318"/>
      <c r="Y4" s="319"/>
      <c r="Z4" s="320"/>
      <c r="AA4" s="321"/>
      <c r="AB4" s="322"/>
      <c r="AC4" s="322"/>
      <c r="AD4" s="323"/>
      <c r="AE4" s="324"/>
    </row>
    <row r="5" spans="1:32" ht="15.75" thickBot="1" x14ac:dyDescent="0.3">
      <c r="A5" s="277" t="s">
        <v>93</v>
      </c>
      <c r="B5" s="248"/>
      <c r="C5" s="249"/>
      <c r="D5" s="249"/>
      <c r="E5" s="250"/>
      <c r="F5" s="1069"/>
      <c r="G5" s="248"/>
      <c r="H5" s="249"/>
      <c r="I5" s="249"/>
      <c r="J5" s="250"/>
      <c r="K5" s="1072"/>
      <c r="L5" s="248"/>
      <c r="M5" s="249"/>
      <c r="N5" s="249"/>
      <c r="O5" s="250"/>
      <c r="P5" s="1075"/>
      <c r="Q5" s="248"/>
      <c r="R5" s="249"/>
      <c r="S5" s="249"/>
      <c r="T5" s="250"/>
      <c r="U5" s="1078"/>
      <c r="V5" s="248"/>
      <c r="W5" s="249"/>
      <c r="X5" s="249"/>
      <c r="Y5" s="250"/>
      <c r="Z5" s="1081"/>
      <c r="AA5" s="248"/>
      <c r="AB5" s="249"/>
      <c r="AC5" s="249"/>
      <c r="AD5" s="250"/>
      <c r="AE5" s="1084"/>
    </row>
    <row r="6" spans="1:32" ht="15.75" thickBot="1" x14ac:dyDescent="0.3">
      <c r="A6" s="277" t="s">
        <v>55</v>
      </c>
      <c r="B6" s="1210"/>
      <c r="C6" s="1211"/>
      <c r="D6" s="1211"/>
      <c r="E6" s="1212"/>
      <c r="F6" s="1070"/>
      <c r="G6" s="325"/>
      <c r="H6" s="326"/>
      <c r="I6" s="326"/>
      <c r="J6" s="327"/>
      <c r="K6" s="1073"/>
      <c r="L6" s="328"/>
      <c r="M6" s="329"/>
      <c r="N6" s="329"/>
      <c r="O6" s="330"/>
      <c r="P6" s="1076"/>
      <c r="Q6" s="331"/>
      <c r="R6" s="332"/>
      <c r="S6" s="332"/>
      <c r="T6" s="333"/>
      <c r="U6" s="1079"/>
      <c r="V6" s="334"/>
      <c r="W6" s="335"/>
      <c r="X6" s="335"/>
      <c r="Y6" s="336"/>
      <c r="Z6" s="1082"/>
      <c r="AA6" s="337"/>
      <c r="AB6" s="338"/>
      <c r="AC6" s="338"/>
      <c r="AD6" s="339"/>
      <c r="AE6" s="1085"/>
    </row>
    <row r="7" spans="1:32" ht="15.75" thickBot="1" x14ac:dyDescent="0.3">
      <c r="A7" s="1209" t="s">
        <v>85</v>
      </c>
      <c r="B7" s="1428"/>
      <c r="C7" s="1216"/>
      <c r="D7" s="1216"/>
      <c r="E7" s="1217"/>
      <c r="F7" s="1071"/>
      <c r="G7" s="340"/>
      <c r="H7" s="341"/>
      <c r="I7" s="341"/>
      <c r="J7" s="342"/>
      <c r="K7" s="1074"/>
      <c r="L7" s="343"/>
      <c r="M7" s="344"/>
      <c r="N7" s="344"/>
      <c r="O7" s="345"/>
      <c r="P7" s="1077"/>
      <c r="Q7" s="346"/>
      <c r="R7" s="347"/>
      <c r="S7" s="347"/>
      <c r="T7" s="348"/>
      <c r="U7" s="1080"/>
      <c r="V7" s="349"/>
      <c r="W7" s="350"/>
      <c r="X7" s="350"/>
      <c r="Y7" s="351"/>
      <c r="Z7" s="1083"/>
      <c r="AA7" s="352"/>
      <c r="AB7" s="353"/>
      <c r="AC7" s="353"/>
      <c r="AD7" s="354"/>
      <c r="AE7" s="1086"/>
    </row>
    <row r="8" spans="1:32" ht="15.75" thickBot="1" x14ac:dyDescent="0.3">
      <c r="A8" s="277"/>
      <c r="B8" s="1213"/>
      <c r="C8" s="1214"/>
      <c r="D8" s="1214"/>
      <c r="E8" s="1215"/>
      <c r="F8" s="1094"/>
      <c r="G8" s="1196"/>
      <c r="H8" s="1195"/>
      <c r="I8" s="1195"/>
      <c r="J8" s="1195"/>
      <c r="K8" s="1095"/>
      <c r="L8" s="1197"/>
      <c r="M8" s="1198"/>
      <c r="N8" s="1198"/>
      <c r="O8" s="1199"/>
      <c r="P8" s="1096"/>
      <c r="Q8" s="1200"/>
      <c r="R8" s="1201"/>
      <c r="S8" s="1201"/>
      <c r="T8" s="1202"/>
      <c r="U8" s="1097"/>
      <c r="V8" s="1203"/>
      <c r="W8" s="1204"/>
      <c r="X8" s="1204"/>
      <c r="Y8" s="1205"/>
      <c r="Z8" s="1098"/>
      <c r="AA8" s="1206"/>
      <c r="AB8" s="1207"/>
      <c r="AC8" s="1207"/>
      <c r="AD8" s="1208"/>
      <c r="AE8" s="1099"/>
    </row>
    <row r="9" spans="1:32" x14ac:dyDescent="0.25">
      <c r="A9" s="277" t="s">
        <v>8</v>
      </c>
      <c r="B9" s="356"/>
      <c r="C9" s="357"/>
      <c r="D9" s="357"/>
      <c r="E9" s="358"/>
      <c r="F9" s="1088"/>
      <c r="G9" s="359"/>
      <c r="H9" s="360"/>
      <c r="I9" s="360"/>
      <c r="J9" s="361"/>
      <c r="K9" s="1089"/>
      <c r="L9" s="362"/>
      <c r="M9" s="363"/>
      <c r="N9" s="363"/>
      <c r="O9" s="364"/>
      <c r="P9" s="1090"/>
      <c r="Q9" s="365"/>
      <c r="R9" s="366"/>
      <c r="S9" s="366"/>
      <c r="T9" s="367"/>
      <c r="U9" s="1091"/>
      <c r="V9" s="368"/>
      <c r="W9" s="369"/>
      <c r="X9" s="369"/>
      <c r="Y9" s="370"/>
      <c r="Z9" s="1092"/>
      <c r="AA9" s="371"/>
      <c r="AB9" s="372"/>
      <c r="AC9" s="372"/>
      <c r="AD9" s="373"/>
      <c r="AE9" s="1093"/>
    </row>
    <row r="10" spans="1:32" ht="73.5" customHeight="1" thickBot="1" x14ac:dyDescent="0.3">
      <c r="A10" s="374" t="s">
        <v>0</v>
      </c>
      <c r="B10" s="375"/>
      <c r="C10" s="376"/>
      <c r="D10" s="376"/>
      <c r="E10" s="377"/>
      <c r="F10" s="378"/>
      <c r="G10" s="379"/>
      <c r="H10" s="380"/>
      <c r="I10" s="380"/>
      <c r="J10" s="381"/>
      <c r="K10" s="382"/>
      <c r="L10" s="383"/>
      <c r="M10" s="384"/>
      <c r="N10" s="384"/>
      <c r="O10" s="385"/>
      <c r="P10" s="386"/>
      <c r="Q10" s="387"/>
      <c r="R10" s="388"/>
      <c r="S10" s="388"/>
      <c r="T10" s="389"/>
      <c r="U10" s="390"/>
      <c r="V10" s="391"/>
      <c r="W10" s="392"/>
      <c r="X10" s="392"/>
      <c r="Y10" s="393"/>
      <c r="Z10" s="394"/>
      <c r="AA10" s="395"/>
      <c r="AB10" s="396"/>
      <c r="AC10" s="396"/>
      <c r="AD10" s="397"/>
      <c r="AE10" s="398"/>
    </row>
    <row r="11" spans="1:32" x14ac:dyDescent="0.25">
      <c r="A11" s="399">
        <v>0</v>
      </c>
      <c r="B11" s="400"/>
      <c r="C11" s="400"/>
      <c r="D11" s="400"/>
      <c r="E11" s="400"/>
      <c r="F11" s="401"/>
      <c r="G11" s="400"/>
      <c r="H11" s="400"/>
      <c r="I11" s="400"/>
      <c r="J11" s="400"/>
      <c r="K11" s="402"/>
      <c r="L11" s="400"/>
      <c r="M11" s="400"/>
      <c r="N11" s="400"/>
      <c r="O11" s="400"/>
      <c r="P11" s="403"/>
      <c r="Q11" s="400"/>
      <c r="R11" s="400"/>
      <c r="S11" s="400"/>
      <c r="T11" s="400"/>
      <c r="U11" s="404"/>
      <c r="V11" s="400"/>
      <c r="W11" s="400"/>
      <c r="X11" s="400"/>
      <c r="Y11" s="400"/>
      <c r="Z11" s="405"/>
      <c r="AA11" s="400"/>
      <c r="AB11" s="400"/>
      <c r="AC11" s="400"/>
      <c r="AD11" s="400"/>
      <c r="AE11" s="406"/>
    </row>
    <row r="12" spans="1:32" x14ac:dyDescent="0.25">
      <c r="A12" s="399">
        <v>1</v>
      </c>
      <c r="B12" s="400"/>
      <c r="C12" s="400"/>
      <c r="D12" s="400"/>
      <c r="E12" s="400"/>
      <c r="F12" s="407"/>
      <c r="G12" s="400"/>
      <c r="H12" s="400"/>
      <c r="I12" s="400"/>
      <c r="J12" s="400"/>
      <c r="K12" s="408"/>
      <c r="L12" s="400"/>
      <c r="M12" s="400"/>
      <c r="N12" s="400"/>
      <c r="O12" s="400"/>
      <c r="P12" s="409"/>
      <c r="Q12" s="400"/>
      <c r="R12" s="400"/>
      <c r="S12" s="400"/>
      <c r="T12" s="400"/>
      <c r="U12" s="404"/>
      <c r="V12" s="400"/>
      <c r="W12" s="400"/>
      <c r="X12" s="400"/>
      <c r="Y12" s="400"/>
      <c r="Z12" s="410"/>
      <c r="AA12" s="400"/>
      <c r="AB12" s="400"/>
      <c r="AC12" s="400"/>
      <c r="AD12" s="400"/>
      <c r="AE12" s="406"/>
    </row>
    <row r="13" spans="1:32" x14ac:dyDescent="0.25">
      <c r="A13" s="399">
        <v>2</v>
      </c>
      <c r="B13" s="400"/>
      <c r="C13" s="400"/>
      <c r="D13" s="400"/>
      <c r="E13" s="400"/>
      <c r="F13" s="407"/>
      <c r="G13" s="400"/>
      <c r="H13" s="400"/>
      <c r="I13" s="400"/>
      <c r="J13" s="400"/>
      <c r="K13" s="408"/>
      <c r="L13" s="400"/>
      <c r="M13" s="400"/>
      <c r="N13" s="400"/>
      <c r="O13" s="400"/>
      <c r="P13" s="409"/>
      <c r="Q13" s="400"/>
      <c r="R13" s="400"/>
      <c r="S13" s="400"/>
      <c r="T13" s="400"/>
      <c r="U13" s="404"/>
      <c r="V13" s="400"/>
      <c r="W13" s="400"/>
      <c r="X13" s="400"/>
      <c r="Y13" s="400"/>
      <c r="Z13" s="410"/>
      <c r="AA13" s="400"/>
      <c r="AB13" s="400"/>
      <c r="AC13" s="400"/>
      <c r="AD13" s="400"/>
      <c r="AE13" s="406"/>
    </row>
    <row r="14" spans="1:32" x14ac:dyDescent="0.25">
      <c r="A14" s="399">
        <v>3</v>
      </c>
      <c r="B14" s="400"/>
      <c r="C14" s="400"/>
      <c r="D14" s="400"/>
      <c r="E14" s="400"/>
      <c r="F14" s="407"/>
      <c r="G14" s="400"/>
      <c r="H14" s="400"/>
      <c r="I14" s="400"/>
      <c r="J14" s="400"/>
      <c r="K14" s="408"/>
      <c r="L14" s="400"/>
      <c r="M14" s="400"/>
      <c r="N14" s="400"/>
      <c r="O14" s="400"/>
      <c r="P14" s="409"/>
      <c r="Q14" s="400"/>
      <c r="R14" s="400"/>
      <c r="S14" s="400"/>
      <c r="T14" s="400"/>
      <c r="U14" s="404"/>
      <c r="V14" s="400"/>
      <c r="W14" s="400"/>
      <c r="X14" s="400"/>
      <c r="Y14" s="400"/>
      <c r="Z14" s="410"/>
      <c r="AA14" s="400"/>
      <c r="AB14" s="400"/>
      <c r="AC14" s="400"/>
      <c r="AD14" s="400"/>
      <c r="AE14" s="406"/>
    </row>
    <row r="15" spans="1:32" x14ac:dyDescent="0.25">
      <c r="A15" s="399">
        <v>4</v>
      </c>
      <c r="B15" s="400"/>
      <c r="C15" s="400"/>
      <c r="D15" s="400"/>
      <c r="E15" s="400"/>
      <c r="F15" s="407"/>
      <c r="G15" s="400"/>
      <c r="H15" s="400"/>
      <c r="I15" s="400"/>
      <c r="J15" s="400"/>
      <c r="K15" s="408"/>
      <c r="L15" s="400"/>
      <c r="M15" s="400"/>
      <c r="N15" s="400"/>
      <c r="O15" s="400"/>
      <c r="P15" s="409"/>
      <c r="Q15" s="400"/>
      <c r="R15" s="400"/>
      <c r="S15" s="400"/>
      <c r="T15" s="400"/>
      <c r="U15" s="404"/>
      <c r="V15" s="400"/>
      <c r="W15" s="400"/>
      <c r="X15" s="400"/>
      <c r="Y15" s="400"/>
      <c r="Z15" s="410"/>
      <c r="AA15" s="400"/>
      <c r="AB15" s="400"/>
      <c r="AC15" s="400"/>
      <c r="AD15" s="400"/>
      <c r="AE15" s="406"/>
    </row>
    <row r="16" spans="1:32" x14ac:dyDescent="0.25">
      <c r="A16" s="399">
        <v>5</v>
      </c>
      <c r="B16" s="400"/>
      <c r="C16" s="400"/>
      <c r="D16" s="400"/>
      <c r="E16" s="400"/>
      <c r="F16" s="407"/>
      <c r="G16" s="400"/>
      <c r="H16" s="400"/>
      <c r="I16" s="400"/>
      <c r="J16" s="400"/>
      <c r="K16" s="408"/>
      <c r="L16" s="400"/>
      <c r="M16" s="400"/>
      <c r="N16" s="400"/>
      <c r="O16" s="400"/>
      <c r="P16" s="409"/>
      <c r="Q16" s="400"/>
      <c r="R16" s="400"/>
      <c r="S16" s="400"/>
      <c r="T16" s="400"/>
      <c r="U16" s="404"/>
      <c r="V16" s="400"/>
      <c r="W16" s="400"/>
      <c r="X16" s="400"/>
      <c r="Y16" s="400"/>
      <c r="Z16" s="410"/>
      <c r="AA16" s="400"/>
      <c r="AB16" s="400"/>
      <c r="AC16" s="400"/>
      <c r="AD16" s="400"/>
      <c r="AE16" s="406"/>
    </row>
    <row r="17" spans="1:31" x14ac:dyDescent="0.25">
      <c r="A17" s="399">
        <v>6</v>
      </c>
      <c r="B17" s="400"/>
      <c r="C17" s="400"/>
      <c r="D17" s="400"/>
      <c r="E17" s="400"/>
      <c r="F17" s="407"/>
      <c r="G17" s="400"/>
      <c r="H17" s="400"/>
      <c r="I17" s="400"/>
      <c r="J17" s="400"/>
      <c r="K17" s="408"/>
      <c r="L17" s="400"/>
      <c r="M17" s="400"/>
      <c r="N17" s="400"/>
      <c r="O17" s="400"/>
      <c r="P17" s="409"/>
      <c r="Q17" s="400"/>
      <c r="R17" s="400"/>
      <c r="S17" s="400"/>
      <c r="T17" s="400"/>
      <c r="U17" s="404"/>
      <c r="V17" s="400"/>
      <c r="W17" s="400"/>
      <c r="X17" s="400"/>
      <c r="Y17" s="400"/>
      <c r="Z17" s="410"/>
      <c r="AA17" s="400"/>
      <c r="AB17" s="400"/>
      <c r="AC17" s="400"/>
      <c r="AD17" s="400"/>
      <c r="AE17" s="406"/>
    </row>
    <row r="18" spans="1:31" x14ac:dyDescent="0.25">
      <c r="A18" s="399">
        <v>7</v>
      </c>
      <c r="B18" s="400"/>
      <c r="C18" s="400"/>
      <c r="D18" s="400"/>
      <c r="E18" s="400"/>
      <c r="F18" s="407"/>
      <c r="G18" s="400"/>
      <c r="H18" s="400"/>
      <c r="I18" s="400"/>
      <c r="J18" s="400"/>
      <c r="K18" s="408"/>
      <c r="L18" s="400"/>
      <c r="M18" s="400"/>
      <c r="N18" s="400"/>
      <c r="O18" s="400"/>
      <c r="P18" s="409"/>
      <c r="Q18" s="400"/>
      <c r="R18" s="400"/>
      <c r="S18" s="400"/>
      <c r="T18" s="400"/>
      <c r="U18" s="404"/>
      <c r="V18" s="400"/>
      <c r="W18" s="400"/>
      <c r="X18" s="400"/>
      <c r="Y18" s="400"/>
      <c r="Z18" s="410"/>
      <c r="AA18" s="400"/>
      <c r="AB18" s="400"/>
      <c r="AC18" s="400"/>
      <c r="AD18" s="400"/>
      <c r="AE18" s="406"/>
    </row>
    <row r="19" spans="1:31" x14ac:dyDescent="0.25">
      <c r="A19" s="399">
        <v>8</v>
      </c>
      <c r="B19" s="400"/>
      <c r="C19" s="400"/>
      <c r="D19" s="400"/>
      <c r="E19" s="400"/>
      <c r="F19" s="407"/>
      <c r="G19" s="400"/>
      <c r="H19" s="400"/>
      <c r="I19" s="400"/>
      <c r="J19" s="400"/>
      <c r="K19" s="408"/>
      <c r="L19" s="400"/>
      <c r="M19" s="400"/>
      <c r="N19" s="400"/>
      <c r="O19" s="400"/>
      <c r="P19" s="409"/>
      <c r="Q19" s="400"/>
      <c r="R19" s="400"/>
      <c r="S19" s="400"/>
      <c r="T19" s="400"/>
      <c r="U19" s="404"/>
      <c r="V19" s="400"/>
      <c r="W19" s="400"/>
      <c r="X19" s="400"/>
      <c r="Y19" s="400"/>
      <c r="Z19" s="410"/>
      <c r="AA19" s="400"/>
      <c r="AB19" s="400"/>
      <c r="AC19" s="400"/>
      <c r="AD19" s="400"/>
      <c r="AE19" s="406"/>
    </row>
    <row r="20" spans="1:31" x14ac:dyDescent="0.25">
      <c r="A20" s="399">
        <v>9</v>
      </c>
      <c r="B20" s="400"/>
      <c r="C20" s="400"/>
      <c r="D20" s="400"/>
      <c r="E20" s="400"/>
      <c r="F20" s="407"/>
      <c r="G20" s="400"/>
      <c r="H20" s="400"/>
      <c r="I20" s="400"/>
      <c r="J20" s="400"/>
      <c r="K20" s="408"/>
      <c r="L20" s="400"/>
      <c r="M20" s="400"/>
      <c r="N20" s="400"/>
      <c r="O20" s="400"/>
      <c r="P20" s="409"/>
      <c r="Q20" s="400"/>
      <c r="R20" s="400"/>
      <c r="S20" s="400"/>
      <c r="T20" s="400"/>
      <c r="U20" s="404"/>
      <c r="V20" s="400"/>
      <c r="W20" s="400"/>
      <c r="X20" s="400"/>
      <c r="Y20" s="400"/>
      <c r="Z20" s="410"/>
      <c r="AA20" s="400"/>
      <c r="AB20" s="400"/>
      <c r="AC20" s="400"/>
      <c r="AD20" s="400"/>
      <c r="AE20" s="406"/>
    </row>
    <row r="21" spans="1:31" x14ac:dyDescent="0.25">
      <c r="A21" s="399">
        <v>10</v>
      </c>
      <c r="B21" s="400"/>
      <c r="C21" s="400"/>
      <c r="D21" s="400"/>
      <c r="E21" s="400"/>
      <c r="F21" s="407"/>
      <c r="G21" s="400"/>
      <c r="H21" s="400"/>
      <c r="I21" s="400"/>
      <c r="J21" s="400"/>
      <c r="K21" s="408"/>
      <c r="L21" s="400"/>
      <c r="M21" s="400"/>
      <c r="N21" s="400"/>
      <c r="O21" s="400"/>
      <c r="P21" s="409"/>
      <c r="Q21" s="400"/>
      <c r="R21" s="400"/>
      <c r="S21" s="400"/>
      <c r="T21" s="400"/>
      <c r="U21" s="404"/>
      <c r="V21" s="400"/>
      <c r="W21" s="400"/>
      <c r="X21" s="400"/>
      <c r="Y21" s="400"/>
      <c r="Z21" s="410"/>
      <c r="AA21" s="400"/>
      <c r="AB21" s="400"/>
      <c r="AC21" s="400"/>
      <c r="AD21" s="400"/>
      <c r="AE21" s="406"/>
    </row>
    <row r="22" spans="1:31" x14ac:dyDescent="0.25">
      <c r="A22" s="399">
        <v>11</v>
      </c>
      <c r="B22" s="400"/>
      <c r="C22" s="400"/>
      <c r="D22" s="400"/>
      <c r="E22" s="400"/>
      <c r="F22" s="407"/>
      <c r="G22" s="400"/>
      <c r="H22" s="400"/>
      <c r="I22" s="400"/>
      <c r="J22" s="400"/>
      <c r="K22" s="408"/>
      <c r="L22" s="400"/>
      <c r="M22" s="400"/>
      <c r="N22" s="400"/>
      <c r="O22" s="400"/>
      <c r="P22" s="409"/>
      <c r="Q22" s="400"/>
      <c r="R22" s="400"/>
      <c r="S22" s="400"/>
      <c r="T22" s="400"/>
      <c r="U22" s="404"/>
      <c r="V22" s="400"/>
      <c r="W22" s="400"/>
      <c r="X22" s="400"/>
      <c r="Y22" s="400"/>
      <c r="Z22" s="410"/>
      <c r="AA22" s="400"/>
      <c r="AB22" s="400"/>
      <c r="AC22" s="400"/>
      <c r="AD22" s="400"/>
      <c r="AE22" s="406"/>
    </row>
    <row r="23" spans="1:31" x14ac:dyDescent="0.25">
      <c r="A23" s="399">
        <v>12</v>
      </c>
      <c r="B23" s="400"/>
      <c r="C23" s="400"/>
      <c r="D23" s="400"/>
      <c r="E23" s="400"/>
      <c r="F23" s="407"/>
      <c r="G23" s="400"/>
      <c r="H23" s="400"/>
      <c r="I23" s="400"/>
      <c r="J23" s="400"/>
      <c r="K23" s="408"/>
      <c r="L23" s="400"/>
      <c r="M23" s="400"/>
      <c r="N23" s="400"/>
      <c r="O23" s="400"/>
      <c r="P23" s="409"/>
      <c r="Q23" s="400"/>
      <c r="R23" s="400"/>
      <c r="S23" s="400"/>
      <c r="T23" s="400"/>
      <c r="U23" s="404"/>
      <c r="V23" s="400"/>
      <c r="W23" s="400"/>
      <c r="X23" s="400"/>
      <c r="Y23" s="400"/>
      <c r="Z23" s="410"/>
      <c r="AA23" s="400"/>
      <c r="AB23" s="400"/>
      <c r="AC23" s="400"/>
      <c r="AD23" s="400"/>
      <c r="AE23" s="406"/>
    </row>
    <row r="24" spans="1:31" x14ac:dyDescent="0.25">
      <c r="A24" s="399">
        <v>13</v>
      </c>
      <c r="B24" s="400"/>
      <c r="C24" s="400"/>
      <c r="D24" s="400"/>
      <c r="E24" s="400"/>
      <c r="F24" s="407"/>
      <c r="G24" s="400"/>
      <c r="H24" s="400"/>
      <c r="I24" s="400"/>
      <c r="J24" s="400"/>
      <c r="K24" s="408"/>
      <c r="L24" s="400"/>
      <c r="M24" s="400"/>
      <c r="N24" s="400"/>
      <c r="O24" s="400"/>
      <c r="P24" s="409"/>
      <c r="Q24" s="400"/>
      <c r="R24" s="400"/>
      <c r="S24" s="400"/>
      <c r="T24" s="400"/>
      <c r="U24" s="404"/>
      <c r="V24" s="400"/>
      <c r="W24" s="400"/>
      <c r="X24" s="400"/>
      <c r="Y24" s="400"/>
      <c r="Z24" s="410"/>
      <c r="AA24" s="400"/>
      <c r="AB24" s="400"/>
      <c r="AC24" s="400"/>
      <c r="AD24" s="400"/>
      <c r="AE24" s="406"/>
    </row>
    <row r="25" spans="1:31" x14ac:dyDescent="0.25">
      <c r="A25" s="399">
        <v>14</v>
      </c>
      <c r="B25" s="400"/>
      <c r="C25" s="400"/>
      <c r="D25" s="400"/>
      <c r="E25" s="400"/>
      <c r="F25" s="407"/>
      <c r="G25" s="400"/>
      <c r="H25" s="400"/>
      <c r="I25" s="400"/>
      <c r="J25" s="400"/>
      <c r="K25" s="408"/>
      <c r="L25" s="400"/>
      <c r="M25" s="400"/>
      <c r="N25" s="400"/>
      <c r="O25" s="400"/>
      <c r="P25" s="409"/>
      <c r="Q25" s="400"/>
      <c r="R25" s="400"/>
      <c r="S25" s="400"/>
      <c r="T25" s="400"/>
      <c r="U25" s="404"/>
      <c r="V25" s="400"/>
      <c r="W25" s="400"/>
      <c r="X25" s="400"/>
      <c r="Y25" s="400"/>
      <c r="Z25" s="410"/>
      <c r="AA25" s="400"/>
      <c r="AB25" s="400"/>
      <c r="AC25" s="400"/>
      <c r="AD25" s="400"/>
      <c r="AE25" s="406"/>
    </row>
    <row r="26" spans="1:31" x14ac:dyDescent="0.25">
      <c r="A26" s="399">
        <v>15</v>
      </c>
      <c r="B26" s="400"/>
      <c r="C26" s="400"/>
      <c r="D26" s="400"/>
      <c r="E26" s="400"/>
      <c r="F26" s="407"/>
      <c r="G26" s="400"/>
      <c r="H26" s="400"/>
      <c r="I26" s="400"/>
      <c r="J26" s="400"/>
      <c r="K26" s="408"/>
      <c r="L26" s="400"/>
      <c r="M26" s="400"/>
      <c r="N26" s="400"/>
      <c r="O26" s="400"/>
      <c r="P26" s="409"/>
      <c r="Q26" s="400"/>
      <c r="R26" s="400"/>
      <c r="S26" s="400"/>
      <c r="T26" s="400"/>
      <c r="U26" s="404"/>
      <c r="V26" s="400"/>
      <c r="W26" s="400"/>
      <c r="X26" s="400"/>
      <c r="Y26" s="400"/>
      <c r="Z26" s="410"/>
      <c r="AA26" s="400"/>
      <c r="AB26" s="400"/>
      <c r="AC26" s="400"/>
      <c r="AD26" s="400"/>
      <c r="AE26" s="406"/>
    </row>
    <row r="27" spans="1:31" x14ac:dyDescent="0.25">
      <c r="A27" s="399">
        <v>16</v>
      </c>
      <c r="B27" s="400"/>
      <c r="C27" s="400"/>
      <c r="D27" s="400"/>
      <c r="E27" s="400"/>
      <c r="F27" s="407"/>
      <c r="G27" s="400"/>
      <c r="H27" s="400"/>
      <c r="I27" s="400"/>
      <c r="J27" s="400"/>
      <c r="K27" s="408"/>
      <c r="L27" s="400"/>
      <c r="M27" s="400"/>
      <c r="N27" s="400"/>
      <c r="O27" s="400"/>
      <c r="P27" s="409"/>
      <c r="Q27" s="400"/>
      <c r="R27" s="400"/>
      <c r="S27" s="400"/>
      <c r="T27" s="400"/>
      <c r="U27" s="404"/>
      <c r="V27" s="400"/>
      <c r="W27" s="400"/>
      <c r="X27" s="400"/>
      <c r="Y27" s="400"/>
      <c r="Z27" s="410"/>
      <c r="AA27" s="400"/>
      <c r="AB27" s="400"/>
      <c r="AC27" s="400"/>
      <c r="AD27" s="400"/>
      <c r="AE27" s="406"/>
    </row>
    <row r="28" spans="1:31" x14ac:dyDescent="0.25">
      <c r="A28" s="399">
        <v>17</v>
      </c>
      <c r="B28" s="400"/>
      <c r="C28" s="400"/>
      <c r="D28" s="400"/>
      <c r="E28" s="400"/>
      <c r="F28" s="407"/>
      <c r="G28" s="400"/>
      <c r="H28" s="400"/>
      <c r="I28" s="400"/>
      <c r="J28" s="400"/>
      <c r="K28" s="408"/>
      <c r="L28" s="400"/>
      <c r="M28" s="400"/>
      <c r="N28" s="400"/>
      <c r="O28" s="400"/>
      <c r="P28" s="409"/>
      <c r="Q28" s="400"/>
      <c r="R28" s="400"/>
      <c r="S28" s="400"/>
      <c r="T28" s="400"/>
      <c r="U28" s="404"/>
      <c r="V28" s="400"/>
      <c r="W28" s="400"/>
      <c r="X28" s="400"/>
      <c r="Y28" s="400"/>
      <c r="Z28" s="410"/>
      <c r="AA28" s="400"/>
      <c r="AB28" s="400"/>
      <c r="AC28" s="400"/>
      <c r="AD28" s="400"/>
      <c r="AE28" s="406"/>
    </row>
    <row r="29" spans="1:31" x14ac:dyDescent="0.25">
      <c r="A29" s="399">
        <v>18</v>
      </c>
      <c r="B29" s="400"/>
      <c r="C29" s="400"/>
      <c r="D29" s="400"/>
      <c r="E29" s="400"/>
      <c r="F29" s="407"/>
      <c r="G29" s="400"/>
      <c r="H29" s="400"/>
      <c r="I29" s="400"/>
      <c r="J29" s="400"/>
      <c r="K29" s="408"/>
      <c r="L29" s="400"/>
      <c r="M29" s="400"/>
      <c r="N29" s="400"/>
      <c r="O29" s="400"/>
      <c r="P29" s="409"/>
      <c r="Q29" s="400"/>
      <c r="R29" s="400"/>
      <c r="S29" s="400"/>
      <c r="T29" s="400"/>
      <c r="U29" s="404"/>
      <c r="V29" s="400"/>
      <c r="W29" s="400"/>
      <c r="X29" s="400"/>
      <c r="Y29" s="400"/>
      <c r="Z29" s="410"/>
      <c r="AA29" s="400"/>
      <c r="AB29" s="400"/>
      <c r="AC29" s="400"/>
      <c r="AD29" s="400"/>
      <c r="AE29" s="406"/>
    </row>
    <row r="30" spans="1:31" x14ac:dyDescent="0.25">
      <c r="A30" s="399">
        <v>19</v>
      </c>
      <c r="B30" s="400"/>
      <c r="C30" s="400"/>
      <c r="D30" s="400"/>
      <c r="E30" s="400"/>
      <c r="F30" s="407"/>
      <c r="G30" s="400"/>
      <c r="H30" s="400"/>
      <c r="I30" s="400"/>
      <c r="J30" s="400"/>
      <c r="K30" s="408"/>
      <c r="L30" s="400"/>
      <c r="M30" s="400"/>
      <c r="N30" s="400"/>
      <c r="O30" s="400"/>
      <c r="P30" s="409"/>
      <c r="Q30" s="400"/>
      <c r="R30" s="400"/>
      <c r="S30" s="400"/>
      <c r="T30" s="400"/>
      <c r="U30" s="404"/>
      <c r="V30" s="400"/>
      <c r="W30" s="400"/>
      <c r="X30" s="400"/>
      <c r="Y30" s="400"/>
      <c r="Z30" s="410"/>
      <c r="AA30" s="400"/>
      <c r="AB30" s="400"/>
      <c r="AC30" s="400"/>
      <c r="AD30" s="400"/>
      <c r="AE30" s="406"/>
    </row>
    <row r="31" spans="1:31" x14ac:dyDescent="0.25">
      <c r="A31" s="399">
        <v>20</v>
      </c>
      <c r="B31" s="400"/>
      <c r="C31" s="400"/>
      <c r="D31" s="400"/>
      <c r="E31" s="400"/>
      <c r="F31" s="407"/>
      <c r="G31" s="400"/>
      <c r="H31" s="400"/>
      <c r="I31" s="400"/>
      <c r="J31" s="400"/>
      <c r="K31" s="408"/>
      <c r="L31" s="400"/>
      <c r="M31" s="400"/>
      <c r="N31" s="400"/>
      <c r="O31" s="400"/>
      <c r="P31" s="409"/>
      <c r="Q31" s="400"/>
      <c r="R31" s="400"/>
      <c r="S31" s="400"/>
      <c r="T31" s="400"/>
      <c r="U31" s="404"/>
      <c r="V31" s="400"/>
      <c r="W31" s="400"/>
      <c r="X31" s="400"/>
      <c r="Y31" s="400"/>
      <c r="Z31" s="410"/>
      <c r="AA31" s="400"/>
      <c r="AB31" s="400"/>
      <c r="AC31" s="400"/>
      <c r="AD31" s="400"/>
      <c r="AE31" s="406"/>
    </row>
    <row r="32" spans="1:31" x14ac:dyDescent="0.25">
      <c r="A32" s="399">
        <v>21</v>
      </c>
      <c r="B32" s="400"/>
      <c r="C32" s="400"/>
      <c r="D32" s="400"/>
      <c r="E32" s="400"/>
      <c r="F32" s="407"/>
      <c r="G32" s="400"/>
      <c r="H32" s="400"/>
      <c r="I32" s="400"/>
      <c r="J32" s="400"/>
      <c r="K32" s="408"/>
      <c r="L32" s="400"/>
      <c r="M32" s="400"/>
      <c r="N32" s="400"/>
      <c r="O32" s="400"/>
      <c r="P32" s="409"/>
      <c r="Q32" s="400"/>
      <c r="R32" s="400"/>
      <c r="S32" s="400"/>
      <c r="T32" s="400"/>
      <c r="U32" s="404"/>
      <c r="V32" s="400"/>
      <c r="W32" s="400"/>
      <c r="X32" s="400"/>
      <c r="Y32" s="400"/>
      <c r="Z32" s="410"/>
      <c r="AA32" s="400"/>
      <c r="AB32" s="400"/>
      <c r="AC32" s="400"/>
      <c r="AD32" s="400"/>
      <c r="AE32" s="406"/>
    </row>
    <row r="33" spans="1:31" x14ac:dyDescent="0.25">
      <c r="A33" s="399">
        <v>22</v>
      </c>
      <c r="B33" s="400"/>
      <c r="C33" s="400"/>
      <c r="D33" s="400"/>
      <c r="E33" s="400"/>
      <c r="F33" s="407"/>
      <c r="G33" s="400"/>
      <c r="H33" s="400"/>
      <c r="I33" s="400"/>
      <c r="J33" s="400"/>
      <c r="K33" s="408"/>
      <c r="L33" s="400"/>
      <c r="M33" s="400"/>
      <c r="N33" s="400"/>
      <c r="O33" s="400"/>
      <c r="P33" s="409"/>
      <c r="Q33" s="400"/>
      <c r="R33" s="400"/>
      <c r="S33" s="400"/>
      <c r="T33" s="400"/>
      <c r="U33" s="404"/>
      <c r="V33" s="400"/>
      <c r="W33" s="400"/>
      <c r="X33" s="400"/>
      <c r="Y33" s="400"/>
      <c r="Z33" s="410"/>
      <c r="AA33" s="400"/>
      <c r="AB33" s="400"/>
      <c r="AC33" s="400"/>
      <c r="AD33" s="400"/>
      <c r="AE33" s="406"/>
    </row>
    <row r="34" spans="1:31" x14ac:dyDescent="0.25">
      <c r="A34" s="399">
        <v>23</v>
      </c>
      <c r="B34" s="400"/>
      <c r="C34" s="400"/>
      <c r="D34" s="400"/>
      <c r="E34" s="400"/>
      <c r="F34" s="407"/>
      <c r="G34" s="400"/>
      <c r="H34" s="400"/>
      <c r="I34" s="400"/>
      <c r="J34" s="400"/>
      <c r="K34" s="408"/>
      <c r="L34" s="400"/>
      <c r="M34" s="400"/>
      <c r="N34" s="400"/>
      <c r="O34" s="400"/>
      <c r="P34" s="409"/>
      <c r="Q34" s="400"/>
      <c r="R34" s="400"/>
      <c r="S34" s="400"/>
      <c r="T34" s="400"/>
      <c r="U34" s="404"/>
      <c r="V34" s="400"/>
      <c r="W34" s="400"/>
      <c r="X34" s="400"/>
      <c r="Y34" s="400"/>
      <c r="Z34" s="410"/>
      <c r="AA34" s="400"/>
      <c r="AB34" s="400"/>
      <c r="AC34" s="400"/>
      <c r="AD34" s="400"/>
      <c r="AE34" s="406"/>
    </row>
    <row r="35" spans="1:31" x14ac:dyDescent="0.25">
      <c r="A35" s="399">
        <v>24</v>
      </c>
      <c r="B35" s="400"/>
      <c r="C35" s="400"/>
      <c r="D35" s="400"/>
      <c r="E35" s="400"/>
      <c r="F35" s="407"/>
      <c r="G35" s="400"/>
      <c r="H35" s="400"/>
      <c r="I35" s="400"/>
      <c r="J35" s="400"/>
      <c r="K35" s="408"/>
      <c r="L35" s="400"/>
      <c r="M35" s="400"/>
      <c r="N35" s="400"/>
      <c r="O35" s="400"/>
      <c r="P35" s="409"/>
      <c r="Q35" s="400"/>
      <c r="R35" s="400"/>
      <c r="S35" s="400"/>
      <c r="T35" s="400"/>
      <c r="U35" s="404"/>
      <c r="V35" s="400"/>
      <c r="W35" s="400"/>
      <c r="X35" s="400"/>
      <c r="Y35" s="400"/>
      <c r="Z35" s="410"/>
      <c r="AA35" s="400"/>
      <c r="AB35" s="400"/>
      <c r="AC35" s="400"/>
      <c r="AD35" s="400"/>
      <c r="AE35" s="406"/>
    </row>
    <row r="36" spans="1:31" x14ac:dyDescent="0.25">
      <c r="A36" s="399">
        <v>25</v>
      </c>
      <c r="B36" s="400"/>
      <c r="C36" s="400"/>
      <c r="D36" s="400"/>
      <c r="E36" s="400"/>
      <c r="F36" s="407"/>
      <c r="G36" s="400"/>
      <c r="H36" s="400"/>
      <c r="I36" s="400"/>
      <c r="J36" s="400"/>
      <c r="K36" s="408"/>
      <c r="L36" s="400"/>
      <c r="M36" s="400"/>
      <c r="N36" s="400"/>
      <c r="O36" s="400"/>
      <c r="P36" s="409"/>
      <c r="Q36" s="400"/>
      <c r="R36" s="400"/>
      <c r="S36" s="400"/>
      <c r="T36" s="400"/>
      <c r="U36" s="404"/>
      <c r="V36" s="400"/>
      <c r="W36" s="400"/>
      <c r="X36" s="400"/>
      <c r="Y36" s="400"/>
      <c r="Z36" s="410"/>
      <c r="AA36" s="400"/>
      <c r="AB36" s="400"/>
      <c r="AC36" s="400"/>
      <c r="AD36" s="400"/>
      <c r="AE36" s="406"/>
    </row>
    <row r="37" spans="1:31" x14ac:dyDescent="0.25">
      <c r="A37" s="399">
        <v>26</v>
      </c>
      <c r="B37" s="400"/>
      <c r="C37" s="400"/>
      <c r="D37" s="400"/>
      <c r="E37" s="400"/>
      <c r="F37" s="407"/>
      <c r="G37" s="400"/>
      <c r="H37" s="400"/>
      <c r="I37" s="400"/>
      <c r="J37" s="400"/>
      <c r="K37" s="408"/>
      <c r="L37" s="400"/>
      <c r="M37" s="400"/>
      <c r="N37" s="400"/>
      <c r="O37" s="400"/>
      <c r="P37" s="409"/>
      <c r="Q37" s="400"/>
      <c r="R37" s="400"/>
      <c r="S37" s="400"/>
      <c r="T37" s="400"/>
      <c r="U37" s="404"/>
      <c r="V37" s="400"/>
      <c r="W37" s="400"/>
      <c r="X37" s="400"/>
      <c r="Y37" s="400"/>
      <c r="Z37" s="410"/>
      <c r="AA37" s="400"/>
      <c r="AB37" s="400"/>
      <c r="AC37" s="400"/>
      <c r="AD37" s="400"/>
      <c r="AE37" s="406"/>
    </row>
    <row r="38" spans="1:31" x14ac:dyDescent="0.25">
      <c r="A38" s="399">
        <v>27</v>
      </c>
      <c r="B38" s="400"/>
      <c r="C38" s="400"/>
      <c r="D38" s="400"/>
      <c r="E38" s="400"/>
      <c r="F38" s="407"/>
      <c r="G38" s="400"/>
      <c r="H38" s="400"/>
      <c r="I38" s="400"/>
      <c r="J38" s="400"/>
      <c r="K38" s="408"/>
      <c r="L38" s="400"/>
      <c r="M38" s="400"/>
      <c r="N38" s="400"/>
      <c r="O38" s="400"/>
      <c r="P38" s="409"/>
      <c r="Q38" s="400"/>
      <c r="R38" s="400"/>
      <c r="S38" s="400"/>
      <c r="T38" s="400"/>
      <c r="U38" s="404"/>
      <c r="V38" s="400"/>
      <c r="W38" s="400"/>
      <c r="X38" s="400"/>
      <c r="Y38" s="400"/>
      <c r="Z38" s="410"/>
      <c r="AA38" s="400"/>
      <c r="AB38" s="400"/>
      <c r="AC38" s="400"/>
      <c r="AD38" s="400"/>
      <c r="AE38" s="406"/>
    </row>
    <row r="39" spans="1:31" x14ac:dyDescent="0.25">
      <c r="A39" s="399">
        <v>28</v>
      </c>
      <c r="B39" s="400"/>
      <c r="C39" s="400"/>
      <c r="D39" s="400"/>
      <c r="E39" s="400"/>
      <c r="F39" s="407"/>
      <c r="G39" s="400"/>
      <c r="H39" s="400"/>
      <c r="I39" s="400"/>
      <c r="J39" s="400"/>
      <c r="K39" s="408"/>
      <c r="L39" s="400"/>
      <c r="M39" s="400"/>
      <c r="N39" s="400"/>
      <c r="O39" s="400"/>
      <c r="P39" s="409"/>
      <c r="Q39" s="400"/>
      <c r="R39" s="400"/>
      <c r="S39" s="400"/>
      <c r="T39" s="400"/>
      <c r="U39" s="404"/>
      <c r="V39" s="400"/>
      <c r="W39" s="400"/>
      <c r="X39" s="400"/>
      <c r="Y39" s="400"/>
      <c r="Z39" s="410"/>
      <c r="AA39" s="400"/>
      <c r="AB39" s="400"/>
      <c r="AC39" s="400"/>
      <c r="AD39" s="400"/>
      <c r="AE39" s="406"/>
    </row>
    <row r="40" spans="1:31" x14ac:dyDescent="0.25">
      <c r="A40" s="399">
        <v>29</v>
      </c>
      <c r="B40" s="400"/>
      <c r="C40" s="400"/>
      <c r="D40" s="400"/>
      <c r="E40" s="400"/>
      <c r="F40" s="407"/>
      <c r="G40" s="400"/>
      <c r="H40" s="400"/>
      <c r="I40" s="400"/>
      <c r="J40" s="400"/>
      <c r="K40" s="408"/>
      <c r="L40" s="400"/>
      <c r="M40" s="400"/>
      <c r="N40" s="400"/>
      <c r="O40" s="400"/>
      <c r="P40" s="409"/>
      <c r="Q40" s="400"/>
      <c r="R40" s="400"/>
      <c r="S40" s="400"/>
      <c r="T40" s="400"/>
      <c r="U40" s="404"/>
      <c r="V40" s="400"/>
      <c r="W40" s="400"/>
      <c r="X40" s="400"/>
      <c r="Y40" s="400"/>
      <c r="Z40" s="410"/>
      <c r="AA40" s="400"/>
      <c r="AB40" s="400"/>
      <c r="AC40" s="400"/>
      <c r="AD40" s="400"/>
      <c r="AE40" s="406"/>
    </row>
    <row r="41" spans="1:31" x14ac:dyDescent="0.25">
      <c r="A41" s="399">
        <v>30</v>
      </c>
      <c r="B41" s="400"/>
      <c r="C41" s="400"/>
      <c r="D41" s="400"/>
      <c r="E41" s="400"/>
      <c r="F41" s="407"/>
      <c r="G41" s="400"/>
      <c r="H41" s="400"/>
      <c r="I41" s="400"/>
      <c r="J41" s="400"/>
      <c r="K41" s="408"/>
      <c r="L41" s="400"/>
      <c r="M41" s="400"/>
      <c r="N41" s="400"/>
      <c r="O41" s="400"/>
      <c r="P41" s="409"/>
      <c r="Q41" s="400"/>
      <c r="R41" s="400"/>
      <c r="S41" s="400"/>
      <c r="T41" s="400"/>
      <c r="U41" s="404"/>
      <c r="V41" s="400"/>
      <c r="W41" s="400"/>
      <c r="X41" s="400"/>
      <c r="Y41" s="400"/>
      <c r="Z41" s="410"/>
      <c r="AA41" s="400"/>
      <c r="AB41" s="400"/>
      <c r="AC41" s="400"/>
      <c r="AD41" s="400"/>
      <c r="AE41" s="406"/>
    </row>
    <row r="42" spans="1:31" x14ac:dyDescent="0.25">
      <c r="A42" s="399">
        <v>31</v>
      </c>
      <c r="B42" s="400"/>
      <c r="C42" s="400"/>
      <c r="D42" s="400"/>
      <c r="E42" s="400"/>
      <c r="F42" s="407"/>
      <c r="G42" s="400"/>
      <c r="H42" s="400"/>
      <c r="I42" s="400"/>
      <c r="J42" s="400"/>
      <c r="K42" s="408"/>
      <c r="L42" s="400"/>
      <c r="M42" s="400"/>
      <c r="N42" s="400"/>
      <c r="O42" s="400"/>
      <c r="P42" s="409"/>
      <c r="Q42" s="400"/>
      <c r="R42" s="400"/>
      <c r="S42" s="400"/>
      <c r="T42" s="400"/>
      <c r="U42" s="404"/>
      <c r="V42" s="400"/>
      <c r="W42" s="400"/>
      <c r="X42" s="400"/>
      <c r="Y42" s="400"/>
      <c r="Z42" s="410"/>
      <c r="AA42" s="400"/>
      <c r="AB42" s="400"/>
      <c r="AC42" s="400"/>
      <c r="AD42" s="400"/>
      <c r="AE42" s="406"/>
    </row>
    <row r="43" spans="1:31" x14ac:dyDescent="0.25">
      <c r="A43" s="399">
        <v>32</v>
      </c>
      <c r="B43" s="400"/>
      <c r="C43" s="400"/>
      <c r="D43" s="400"/>
      <c r="E43" s="400"/>
      <c r="F43" s="407"/>
      <c r="G43" s="400"/>
      <c r="H43" s="400"/>
      <c r="I43" s="400"/>
      <c r="J43" s="400"/>
      <c r="K43" s="408"/>
      <c r="L43" s="400"/>
      <c r="M43" s="400"/>
      <c r="N43" s="400"/>
      <c r="O43" s="400"/>
      <c r="P43" s="409"/>
      <c r="Q43" s="400"/>
      <c r="R43" s="400"/>
      <c r="S43" s="400"/>
      <c r="T43" s="400"/>
      <c r="U43" s="404"/>
      <c r="V43" s="400"/>
      <c r="W43" s="400"/>
      <c r="X43" s="400"/>
      <c r="Y43" s="400"/>
      <c r="Z43" s="410"/>
      <c r="AA43" s="400"/>
      <c r="AB43" s="400"/>
      <c r="AC43" s="400"/>
      <c r="AD43" s="400"/>
      <c r="AE43" s="406"/>
    </row>
    <row r="44" spans="1:31" x14ac:dyDescent="0.25">
      <c r="A44" s="399">
        <v>33</v>
      </c>
      <c r="B44" s="400"/>
      <c r="C44" s="400"/>
      <c r="D44" s="400"/>
      <c r="E44" s="400"/>
      <c r="F44" s="407"/>
      <c r="G44" s="400"/>
      <c r="H44" s="400"/>
      <c r="I44" s="400"/>
      <c r="J44" s="400"/>
      <c r="K44" s="408"/>
      <c r="L44" s="400"/>
      <c r="M44" s="400"/>
      <c r="N44" s="400"/>
      <c r="O44" s="400"/>
      <c r="P44" s="409"/>
      <c r="Q44" s="400"/>
      <c r="R44" s="400"/>
      <c r="S44" s="400"/>
      <c r="T44" s="400"/>
      <c r="U44" s="404"/>
      <c r="V44" s="400"/>
      <c r="W44" s="400"/>
      <c r="X44" s="400"/>
      <c r="Y44" s="400"/>
      <c r="Z44" s="410"/>
      <c r="AA44" s="400"/>
      <c r="AB44" s="400"/>
      <c r="AC44" s="400"/>
      <c r="AD44" s="400"/>
      <c r="AE44" s="406"/>
    </row>
    <row r="45" spans="1:31" x14ac:dyDescent="0.25">
      <c r="A45" s="399">
        <v>34</v>
      </c>
      <c r="B45" s="400"/>
      <c r="C45" s="400"/>
      <c r="D45" s="400"/>
      <c r="E45" s="400"/>
      <c r="F45" s="407"/>
      <c r="G45" s="400"/>
      <c r="H45" s="400"/>
      <c r="I45" s="400"/>
      <c r="J45" s="400"/>
      <c r="K45" s="408"/>
      <c r="L45" s="400"/>
      <c r="M45" s="400"/>
      <c r="N45" s="400"/>
      <c r="O45" s="400"/>
      <c r="P45" s="409"/>
      <c r="Q45" s="400"/>
      <c r="R45" s="400"/>
      <c r="S45" s="400"/>
      <c r="T45" s="400"/>
      <c r="U45" s="404"/>
      <c r="V45" s="400"/>
      <c r="W45" s="400"/>
      <c r="X45" s="400"/>
      <c r="Y45" s="400"/>
      <c r="Z45" s="410"/>
      <c r="AA45" s="400"/>
      <c r="AB45" s="400"/>
      <c r="AC45" s="400"/>
      <c r="AD45" s="400"/>
      <c r="AE45" s="406"/>
    </row>
    <row r="46" spans="1:31" x14ac:dyDescent="0.25">
      <c r="A46" s="399">
        <v>35</v>
      </c>
      <c r="B46" s="400"/>
      <c r="C46" s="400"/>
      <c r="D46" s="400"/>
      <c r="E46" s="400"/>
      <c r="F46" s="407"/>
      <c r="G46" s="400"/>
      <c r="H46" s="400"/>
      <c r="I46" s="400"/>
      <c r="J46" s="400"/>
      <c r="K46" s="408"/>
      <c r="L46" s="400"/>
      <c r="M46" s="400"/>
      <c r="N46" s="400"/>
      <c r="O46" s="400"/>
      <c r="P46" s="409"/>
      <c r="Q46" s="400"/>
      <c r="R46" s="400"/>
      <c r="S46" s="400"/>
      <c r="T46" s="400"/>
      <c r="U46" s="404"/>
      <c r="V46" s="400"/>
      <c r="W46" s="400"/>
      <c r="X46" s="400"/>
      <c r="Y46" s="400"/>
      <c r="Z46" s="410"/>
      <c r="AA46" s="400"/>
      <c r="AB46" s="400"/>
      <c r="AC46" s="400"/>
      <c r="AD46" s="400"/>
      <c r="AE46" s="406"/>
    </row>
    <row r="47" spans="1:31" x14ac:dyDescent="0.25">
      <c r="A47" s="399">
        <v>36</v>
      </c>
      <c r="B47" s="400"/>
      <c r="C47" s="400"/>
      <c r="D47" s="400"/>
      <c r="E47" s="400"/>
      <c r="F47" s="407"/>
      <c r="G47" s="400"/>
      <c r="H47" s="400"/>
      <c r="I47" s="400"/>
      <c r="J47" s="400"/>
      <c r="K47" s="408"/>
      <c r="L47" s="400"/>
      <c r="M47" s="400"/>
      <c r="N47" s="400"/>
      <c r="O47" s="400"/>
      <c r="P47" s="409"/>
      <c r="Q47" s="400"/>
      <c r="R47" s="400"/>
      <c r="S47" s="400"/>
      <c r="T47" s="400"/>
      <c r="U47" s="404"/>
      <c r="V47" s="400"/>
      <c r="W47" s="400"/>
      <c r="X47" s="400"/>
      <c r="Y47" s="400"/>
      <c r="Z47" s="410"/>
      <c r="AA47" s="400"/>
      <c r="AB47" s="400"/>
      <c r="AC47" s="400"/>
      <c r="AD47" s="400"/>
      <c r="AE47" s="406"/>
    </row>
    <row r="48" spans="1:31" x14ac:dyDescent="0.25">
      <c r="A48" s="399">
        <v>37</v>
      </c>
      <c r="B48" s="400"/>
      <c r="C48" s="400"/>
      <c r="D48" s="400"/>
      <c r="E48" s="400"/>
      <c r="F48" s="407"/>
      <c r="G48" s="400"/>
      <c r="H48" s="400"/>
      <c r="I48" s="400"/>
      <c r="J48" s="400"/>
      <c r="K48" s="408"/>
      <c r="L48" s="400"/>
      <c r="M48" s="400"/>
      <c r="N48" s="400"/>
      <c r="O48" s="400"/>
      <c r="P48" s="409"/>
      <c r="Q48" s="400"/>
      <c r="R48" s="400"/>
      <c r="S48" s="400"/>
      <c r="T48" s="400"/>
      <c r="U48" s="404"/>
      <c r="V48" s="400"/>
      <c r="W48" s="400"/>
      <c r="X48" s="400"/>
      <c r="Y48" s="400"/>
      <c r="Z48" s="410"/>
      <c r="AA48" s="400"/>
      <c r="AB48" s="400"/>
      <c r="AC48" s="400"/>
      <c r="AD48" s="400"/>
      <c r="AE48" s="406"/>
    </row>
    <row r="49" spans="1:31" x14ac:dyDescent="0.25">
      <c r="A49" s="399">
        <v>38</v>
      </c>
      <c r="B49" s="400"/>
      <c r="C49" s="400"/>
      <c r="D49" s="400"/>
      <c r="E49" s="400"/>
      <c r="F49" s="407"/>
      <c r="G49" s="400"/>
      <c r="H49" s="400"/>
      <c r="I49" s="400"/>
      <c r="J49" s="400"/>
      <c r="K49" s="408"/>
      <c r="L49" s="400"/>
      <c r="M49" s="400"/>
      <c r="N49" s="400"/>
      <c r="O49" s="400"/>
      <c r="P49" s="409"/>
      <c r="Q49" s="400"/>
      <c r="R49" s="400"/>
      <c r="S49" s="400"/>
      <c r="T49" s="400"/>
      <c r="U49" s="404"/>
      <c r="V49" s="400"/>
      <c r="W49" s="400"/>
      <c r="X49" s="400"/>
      <c r="Y49" s="400"/>
      <c r="Z49" s="410"/>
      <c r="AA49" s="400"/>
      <c r="AB49" s="400"/>
      <c r="AC49" s="400"/>
      <c r="AD49" s="400"/>
      <c r="AE49" s="406"/>
    </row>
    <row r="50" spans="1:31" x14ac:dyDescent="0.25">
      <c r="A50" s="399">
        <v>39</v>
      </c>
      <c r="B50" s="400"/>
      <c r="C50" s="400"/>
      <c r="D50" s="400"/>
      <c r="E50" s="400"/>
      <c r="F50" s="407"/>
      <c r="G50" s="400"/>
      <c r="H50" s="400"/>
      <c r="I50" s="400"/>
      <c r="J50" s="400"/>
      <c r="K50" s="408"/>
      <c r="L50" s="400"/>
      <c r="M50" s="400"/>
      <c r="N50" s="400"/>
      <c r="O50" s="400"/>
      <c r="P50" s="409"/>
      <c r="Q50" s="400"/>
      <c r="R50" s="400"/>
      <c r="S50" s="400"/>
      <c r="T50" s="400"/>
      <c r="U50" s="404"/>
      <c r="V50" s="400"/>
      <c r="W50" s="400"/>
      <c r="X50" s="400"/>
      <c r="Y50" s="400"/>
      <c r="Z50" s="410"/>
      <c r="AA50" s="400"/>
      <c r="AB50" s="400"/>
      <c r="AC50" s="400"/>
      <c r="AD50" s="400"/>
      <c r="AE50" s="406"/>
    </row>
    <row r="51" spans="1:31" x14ac:dyDescent="0.25">
      <c r="A51" s="399">
        <v>40</v>
      </c>
      <c r="B51" s="400"/>
      <c r="C51" s="400"/>
      <c r="D51" s="400"/>
      <c r="E51" s="400"/>
      <c r="F51" s="407"/>
      <c r="G51" s="400"/>
      <c r="H51" s="400"/>
      <c r="I51" s="400"/>
      <c r="J51" s="400"/>
      <c r="K51" s="408"/>
      <c r="L51" s="400"/>
      <c r="M51" s="400"/>
      <c r="N51" s="400"/>
      <c r="O51" s="400"/>
      <c r="P51" s="409"/>
      <c r="Q51" s="400"/>
      <c r="R51" s="400"/>
      <c r="S51" s="400"/>
      <c r="T51" s="400"/>
      <c r="U51" s="404"/>
      <c r="V51" s="400"/>
      <c r="W51" s="400"/>
      <c r="X51" s="400"/>
      <c r="Y51" s="400"/>
      <c r="Z51" s="410"/>
      <c r="AA51" s="400"/>
      <c r="AB51" s="400"/>
      <c r="AC51" s="400"/>
      <c r="AD51" s="400"/>
      <c r="AE51" s="406"/>
    </row>
    <row r="52" spans="1:31" x14ac:dyDescent="0.25">
      <c r="A52" s="399">
        <v>41</v>
      </c>
      <c r="B52" s="400"/>
      <c r="C52" s="400"/>
      <c r="D52" s="400"/>
      <c r="E52" s="400"/>
      <c r="F52" s="407"/>
      <c r="G52" s="400"/>
      <c r="H52" s="400"/>
      <c r="I52" s="400"/>
      <c r="J52" s="400"/>
      <c r="K52" s="408"/>
      <c r="L52" s="400"/>
      <c r="M52" s="400"/>
      <c r="N52" s="400"/>
      <c r="O52" s="400"/>
      <c r="P52" s="409"/>
      <c r="Q52" s="400"/>
      <c r="R52" s="400"/>
      <c r="S52" s="400"/>
      <c r="T52" s="400"/>
      <c r="U52" s="404"/>
      <c r="V52" s="400"/>
      <c r="W52" s="400"/>
      <c r="X52" s="400"/>
      <c r="Y52" s="400"/>
      <c r="Z52" s="410"/>
      <c r="AA52" s="400"/>
      <c r="AB52" s="400"/>
      <c r="AC52" s="400"/>
      <c r="AD52" s="400"/>
      <c r="AE52" s="406"/>
    </row>
    <row r="53" spans="1:31" x14ac:dyDescent="0.25">
      <c r="A53" s="399">
        <v>42</v>
      </c>
      <c r="B53" s="400"/>
      <c r="C53" s="400"/>
      <c r="D53" s="400"/>
      <c r="E53" s="400"/>
      <c r="F53" s="407"/>
      <c r="G53" s="400"/>
      <c r="H53" s="400"/>
      <c r="I53" s="400"/>
      <c r="J53" s="400"/>
      <c r="K53" s="408"/>
      <c r="L53" s="400"/>
      <c r="M53" s="400"/>
      <c r="N53" s="400"/>
      <c r="O53" s="400"/>
      <c r="P53" s="409"/>
      <c r="Q53" s="400"/>
      <c r="R53" s="400"/>
      <c r="S53" s="400"/>
      <c r="T53" s="400"/>
      <c r="U53" s="404"/>
      <c r="V53" s="400"/>
      <c r="W53" s="400"/>
      <c r="X53" s="400"/>
      <c r="Y53" s="400"/>
      <c r="Z53" s="410"/>
      <c r="AA53" s="400"/>
      <c r="AB53" s="400"/>
      <c r="AC53" s="400"/>
      <c r="AD53" s="400"/>
      <c r="AE53" s="406"/>
    </row>
    <row r="54" spans="1:31" x14ac:dyDescent="0.25">
      <c r="A54" s="399">
        <v>43</v>
      </c>
      <c r="B54" s="400"/>
      <c r="C54" s="400"/>
      <c r="D54" s="400"/>
      <c r="E54" s="400"/>
      <c r="F54" s="407"/>
      <c r="G54" s="400"/>
      <c r="H54" s="400"/>
      <c r="I54" s="400"/>
      <c r="J54" s="400"/>
      <c r="K54" s="408"/>
      <c r="L54" s="400"/>
      <c r="M54" s="400"/>
      <c r="N54" s="400"/>
      <c r="O54" s="400"/>
      <c r="P54" s="409"/>
      <c r="Q54" s="400"/>
      <c r="R54" s="400"/>
      <c r="S54" s="400"/>
      <c r="T54" s="400"/>
      <c r="U54" s="404"/>
      <c r="V54" s="400"/>
      <c r="W54" s="400"/>
      <c r="X54" s="400"/>
      <c r="Y54" s="400"/>
      <c r="Z54" s="410"/>
      <c r="AA54" s="400"/>
      <c r="AB54" s="400"/>
      <c r="AC54" s="400"/>
      <c r="AD54" s="400"/>
      <c r="AE54" s="406"/>
    </row>
    <row r="55" spans="1:31" x14ac:dyDescent="0.25">
      <c r="A55" s="399">
        <v>44</v>
      </c>
      <c r="B55" s="400"/>
      <c r="C55" s="400"/>
      <c r="D55" s="400"/>
      <c r="E55" s="400"/>
      <c r="F55" s="407"/>
      <c r="G55" s="400"/>
      <c r="H55" s="400"/>
      <c r="I55" s="400"/>
      <c r="J55" s="400"/>
      <c r="K55" s="408"/>
      <c r="L55" s="400"/>
      <c r="M55" s="400"/>
      <c r="N55" s="400"/>
      <c r="O55" s="400"/>
      <c r="P55" s="409"/>
      <c r="Q55" s="400"/>
      <c r="R55" s="400"/>
      <c r="S55" s="400"/>
      <c r="T55" s="400"/>
      <c r="U55" s="404"/>
      <c r="V55" s="400"/>
      <c r="W55" s="400"/>
      <c r="X55" s="400"/>
      <c r="Y55" s="400"/>
      <c r="Z55" s="410"/>
      <c r="AA55" s="400"/>
      <c r="AB55" s="400"/>
      <c r="AC55" s="400"/>
      <c r="AD55" s="400"/>
      <c r="AE55" s="406"/>
    </row>
    <row r="56" spans="1:31" x14ac:dyDescent="0.25">
      <c r="A56" s="399">
        <v>45</v>
      </c>
      <c r="B56" s="400"/>
      <c r="C56" s="400"/>
      <c r="D56" s="400"/>
      <c r="E56" s="400"/>
      <c r="F56" s="407"/>
      <c r="G56" s="400"/>
      <c r="H56" s="400"/>
      <c r="I56" s="400"/>
      <c r="J56" s="400"/>
      <c r="K56" s="408"/>
      <c r="L56" s="400"/>
      <c r="M56" s="400"/>
      <c r="N56" s="400"/>
      <c r="O56" s="400"/>
      <c r="P56" s="409"/>
      <c r="Q56" s="400"/>
      <c r="R56" s="400"/>
      <c r="S56" s="400"/>
      <c r="T56" s="400"/>
      <c r="U56" s="404"/>
      <c r="V56" s="400"/>
      <c r="W56" s="400"/>
      <c r="X56" s="400"/>
      <c r="Y56" s="400"/>
      <c r="Z56" s="410"/>
      <c r="AA56" s="400"/>
      <c r="AB56" s="400"/>
      <c r="AC56" s="400"/>
      <c r="AD56" s="400"/>
      <c r="AE56" s="406"/>
    </row>
    <row r="57" spans="1:31" x14ac:dyDescent="0.25">
      <c r="A57" s="399">
        <v>46</v>
      </c>
      <c r="B57" s="400"/>
      <c r="C57" s="400"/>
      <c r="D57" s="400"/>
      <c r="E57" s="400"/>
      <c r="F57" s="407"/>
      <c r="G57" s="400"/>
      <c r="H57" s="400"/>
      <c r="I57" s="400"/>
      <c r="J57" s="400"/>
      <c r="K57" s="408"/>
      <c r="L57" s="400"/>
      <c r="M57" s="400"/>
      <c r="N57" s="400"/>
      <c r="O57" s="400"/>
      <c r="P57" s="409"/>
      <c r="Q57" s="400"/>
      <c r="R57" s="400"/>
      <c r="S57" s="400"/>
      <c r="T57" s="400"/>
      <c r="U57" s="404"/>
      <c r="V57" s="400"/>
      <c r="W57" s="400"/>
      <c r="X57" s="400"/>
      <c r="Y57" s="400"/>
      <c r="Z57" s="410"/>
      <c r="AA57" s="400"/>
      <c r="AB57" s="400"/>
      <c r="AC57" s="400"/>
      <c r="AD57" s="400"/>
      <c r="AE57" s="406"/>
    </row>
    <row r="58" spans="1:31" x14ac:dyDescent="0.25">
      <c r="A58" s="399">
        <v>47</v>
      </c>
      <c r="B58" s="400"/>
      <c r="C58" s="400"/>
      <c r="D58" s="400"/>
      <c r="E58" s="400"/>
      <c r="F58" s="407"/>
      <c r="G58" s="400"/>
      <c r="H58" s="400"/>
      <c r="I58" s="400"/>
      <c r="J58" s="400"/>
      <c r="K58" s="408"/>
      <c r="L58" s="400"/>
      <c r="M58" s="400"/>
      <c r="N58" s="400"/>
      <c r="O58" s="400"/>
      <c r="P58" s="409"/>
      <c r="Q58" s="400"/>
      <c r="R58" s="400"/>
      <c r="S58" s="400"/>
      <c r="T58" s="400"/>
      <c r="U58" s="404"/>
      <c r="V58" s="400"/>
      <c r="W58" s="400"/>
      <c r="X58" s="400"/>
      <c r="Y58" s="400"/>
      <c r="Z58" s="410"/>
      <c r="AA58" s="400"/>
      <c r="AB58" s="400"/>
      <c r="AC58" s="400"/>
      <c r="AD58" s="400"/>
      <c r="AE58" s="406"/>
    </row>
    <row r="59" spans="1:31" x14ac:dyDescent="0.25">
      <c r="A59" s="399">
        <v>48</v>
      </c>
      <c r="B59" s="400"/>
      <c r="C59" s="400"/>
      <c r="D59" s="400"/>
      <c r="E59" s="400"/>
      <c r="F59" s="407"/>
      <c r="G59" s="400"/>
      <c r="H59" s="400"/>
      <c r="I59" s="400"/>
      <c r="J59" s="400"/>
      <c r="K59" s="408"/>
      <c r="L59" s="400"/>
      <c r="M59" s="400"/>
      <c r="N59" s="400"/>
      <c r="O59" s="400"/>
      <c r="P59" s="409"/>
      <c r="Q59" s="400"/>
      <c r="R59" s="400"/>
      <c r="S59" s="400"/>
      <c r="T59" s="400"/>
      <c r="U59" s="404"/>
      <c r="V59" s="400"/>
      <c r="W59" s="400"/>
      <c r="X59" s="400"/>
      <c r="Y59" s="400"/>
      <c r="Z59" s="410"/>
      <c r="AA59" s="400"/>
      <c r="AB59" s="400"/>
      <c r="AC59" s="400"/>
      <c r="AD59" s="400"/>
      <c r="AE59" s="406"/>
    </row>
    <row r="60" spans="1:31" x14ac:dyDescent="0.25">
      <c r="A60" s="399">
        <v>49</v>
      </c>
      <c r="B60" s="400"/>
      <c r="C60" s="400"/>
      <c r="D60" s="400"/>
      <c r="E60" s="400"/>
      <c r="F60" s="407"/>
      <c r="G60" s="400"/>
      <c r="H60" s="400"/>
      <c r="I60" s="400"/>
      <c r="J60" s="400"/>
      <c r="K60" s="408"/>
      <c r="L60" s="400"/>
      <c r="M60" s="400"/>
      <c r="N60" s="400"/>
      <c r="O60" s="400"/>
      <c r="P60" s="409"/>
      <c r="Q60" s="400"/>
      <c r="R60" s="400"/>
      <c r="S60" s="400"/>
      <c r="T60" s="400"/>
      <c r="U60" s="404"/>
      <c r="V60" s="400"/>
      <c r="W60" s="400"/>
      <c r="X60" s="400"/>
      <c r="Y60" s="400"/>
      <c r="Z60" s="410"/>
      <c r="AA60" s="400"/>
      <c r="AB60" s="400"/>
      <c r="AC60" s="400"/>
      <c r="AD60" s="400"/>
      <c r="AE60" s="406"/>
    </row>
    <row r="61" spans="1:31" x14ac:dyDescent="0.25">
      <c r="A61" s="399">
        <v>50</v>
      </c>
      <c r="B61" s="400"/>
      <c r="C61" s="400"/>
      <c r="D61" s="400"/>
      <c r="E61" s="400"/>
      <c r="F61" s="407"/>
      <c r="G61" s="400"/>
      <c r="H61" s="400"/>
      <c r="I61" s="400"/>
      <c r="J61" s="400"/>
      <c r="K61" s="408"/>
      <c r="L61" s="400"/>
      <c r="M61" s="400"/>
      <c r="N61" s="400"/>
      <c r="O61" s="400"/>
      <c r="P61" s="409"/>
      <c r="Q61" s="400"/>
      <c r="R61" s="400"/>
      <c r="S61" s="400"/>
      <c r="T61" s="400"/>
      <c r="U61" s="404"/>
      <c r="V61" s="400"/>
      <c r="W61" s="400"/>
      <c r="X61" s="400"/>
      <c r="Y61" s="400"/>
      <c r="Z61" s="410"/>
      <c r="AA61" s="400"/>
      <c r="AB61" s="400"/>
      <c r="AC61" s="400"/>
      <c r="AD61" s="400"/>
      <c r="AE61" s="406"/>
    </row>
    <row r="62" spans="1:31" x14ac:dyDescent="0.25">
      <c r="A62" s="399">
        <v>51</v>
      </c>
      <c r="B62" s="400"/>
      <c r="C62" s="400"/>
      <c r="D62" s="400"/>
      <c r="E62" s="400"/>
      <c r="F62" s="407"/>
      <c r="G62" s="400"/>
      <c r="H62" s="400"/>
      <c r="I62" s="400"/>
      <c r="J62" s="400"/>
      <c r="K62" s="408"/>
      <c r="L62" s="400"/>
      <c r="M62" s="400"/>
      <c r="N62" s="400"/>
      <c r="O62" s="400"/>
      <c r="P62" s="409"/>
      <c r="Q62" s="400"/>
      <c r="R62" s="400"/>
      <c r="S62" s="400"/>
      <c r="T62" s="400"/>
      <c r="U62" s="404"/>
      <c r="V62" s="400"/>
      <c r="W62" s="400"/>
      <c r="X62" s="400"/>
      <c r="Y62" s="400"/>
      <c r="Z62" s="410"/>
      <c r="AA62" s="400"/>
      <c r="AB62" s="400"/>
      <c r="AC62" s="400"/>
      <c r="AD62" s="400"/>
      <c r="AE62" s="406"/>
    </row>
    <row r="63" spans="1:31" x14ac:dyDescent="0.25">
      <c r="A63" s="399">
        <v>52</v>
      </c>
      <c r="B63" s="400"/>
      <c r="C63" s="400"/>
      <c r="D63" s="400"/>
      <c r="E63" s="400"/>
      <c r="F63" s="407"/>
      <c r="G63" s="400"/>
      <c r="H63" s="400"/>
      <c r="I63" s="400"/>
      <c r="J63" s="400"/>
      <c r="K63" s="408"/>
      <c r="L63" s="400"/>
      <c r="M63" s="400"/>
      <c r="N63" s="400"/>
      <c r="O63" s="400"/>
      <c r="P63" s="409"/>
      <c r="Q63" s="400"/>
      <c r="R63" s="400"/>
      <c r="S63" s="400"/>
      <c r="T63" s="400"/>
      <c r="U63" s="404"/>
      <c r="V63" s="400"/>
      <c r="W63" s="400"/>
      <c r="X63" s="400"/>
      <c r="Y63" s="400"/>
      <c r="Z63" s="410"/>
      <c r="AA63" s="400"/>
      <c r="AB63" s="400"/>
      <c r="AC63" s="400"/>
      <c r="AD63" s="400"/>
      <c r="AE63" s="406"/>
    </row>
    <row r="64" spans="1:31" x14ac:dyDescent="0.25">
      <c r="A64" s="399">
        <v>53</v>
      </c>
      <c r="B64" s="400"/>
      <c r="C64" s="400"/>
      <c r="D64" s="400"/>
      <c r="E64" s="400"/>
      <c r="F64" s="407"/>
      <c r="G64" s="400"/>
      <c r="H64" s="400"/>
      <c r="I64" s="400"/>
      <c r="J64" s="400"/>
      <c r="K64" s="408"/>
      <c r="L64" s="400"/>
      <c r="M64" s="400"/>
      <c r="N64" s="400"/>
      <c r="O64" s="400"/>
      <c r="P64" s="409"/>
      <c r="Q64" s="400"/>
      <c r="R64" s="400"/>
      <c r="S64" s="400"/>
      <c r="T64" s="400"/>
      <c r="U64" s="404"/>
      <c r="V64" s="400"/>
      <c r="W64" s="400"/>
      <c r="X64" s="400"/>
      <c r="Y64" s="400"/>
      <c r="Z64" s="410"/>
      <c r="AA64" s="400"/>
      <c r="AB64" s="400"/>
      <c r="AC64" s="400"/>
      <c r="AD64" s="400"/>
      <c r="AE64" s="406"/>
    </row>
    <row r="65" spans="1:31" x14ac:dyDescent="0.25">
      <c r="A65" s="399">
        <v>54</v>
      </c>
      <c r="B65" s="400"/>
      <c r="C65" s="400"/>
      <c r="D65" s="400"/>
      <c r="E65" s="400"/>
      <c r="F65" s="407"/>
      <c r="G65" s="400"/>
      <c r="H65" s="400"/>
      <c r="I65" s="400"/>
      <c r="J65" s="400"/>
      <c r="K65" s="408"/>
      <c r="L65" s="400"/>
      <c r="M65" s="400"/>
      <c r="N65" s="400"/>
      <c r="O65" s="400"/>
      <c r="P65" s="409"/>
      <c r="Q65" s="400"/>
      <c r="R65" s="400"/>
      <c r="S65" s="400"/>
      <c r="T65" s="400"/>
      <c r="U65" s="404"/>
      <c r="V65" s="400"/>
      <c r="W65" s="400"/>
      <c r="X65" s="400"/>
      <c r="Y65" s="400"/>
      <c r="Z65" s="410"/>
      <c r="AA65" s="400"/>
      <c r="AB65" s="400"/>
      <c r="AC65" s="400"/>
      <c r="AD65" s="400"/>
      <c r="AE65" s="406"/>
    </row>
    <row r="66" spans="1:31" x14ac:dyDescent="0.25">
      <c r="A66" s="399">
        <v>55</v>
      </c>
      <c r="B66" s="400"/>
      <c r="C66" s="400"/>
      <c r="D66" s="400"/>
      <c r="E66" s="400"/>
      <c r="F66" s="407"/>
      <c r="G66" s="400"/>
      <c r="H66" s="400"/>
      <c r="I66" s="400"/>
      <c r="J66" s="400"/>
      <c r="K66" s="408"/>
      <c r="L66" s="400"/>
      <c r="M66" s="400"/>
      <c r="N66" s="400"/>
      <c r="O66" s="400"/>
      <c r="P66" s="409"/>
      <c r="Q66" s="400"/>
      <c r="R66" s="400"/>
      <c r="S66" s="400"/>
      <c r="T66" s="400"/>
      <c r="U66" s="404"/>
      <c r="V66" s="400"/>
      <c r="W66" s="400"/>
      <c r="X66" s="400"/>
      <c r="Y66" s="400"/>
      <c r="Z66" s="410"/>
      <c r="AA66" s="400"/>
      <c r="AB66" s="400"/>
      <c r="AC66" s="400"/>
      <c r="AD66" s="400"/>
      <c r="AE66" s="406"/>
    </row>
    <row r="67" spans="1:31" x14ac:dyDescent="0.25">
      <c r="A67" s="399">
        <v>56</v>
      </c>
      <c r="B67" s="400"/>
      <c r="C67" s="400"/>
      <c r="D67" s="400"/>
      <c r="E67" s="400"/>
      <c r="F67" s="407"/>
      <c r="G67" s="400"/>
      <c r="H67" s="400"/>
      <c r="I67" s="400"/>
      <c r="J67" s="400"/>
      <c r="K67" s="408"/>
      <c r="L67" s="400"/>
      <c r="M67" s="400"/>
      <c r="N67" s="400"/>
      <c r="O67" s="400"/>
      <c r="P67" s="409"/>
      <c r="Q67" s="400"/>
      <c r="R67" s="400"/>
      <c r="S67" s="400"/>
      <c r="T67" s="400"/>
      <c r="U67" s="404"/>
      <c r="V67" s="400"/>
      <c r="W67" s="400"/>
      <c r="X67" s="400"/>
      <c r="Y67" s="400"/>
      <c r="Z67" s="410"/>
      <c r="AA67" s="400"/>
      <c r="AB67" s="400"/>
      <c r="AC67" s="400"/>
      <c r="AD67" s="400"/>
      <c r="AE67" s="406"/>
    </row>
    <row r="68" spans="1:31" x14ac:dyDescent="0.25">
      <c r="A68" s="399">
        <v>57</v>
      </c>
      <c r="B68" s="400"/>
      <c r="C68" s="400"/>
      <c r="D68" s="400"/>
      <c r="E68" s="400"/>
      <c r="F68" s="407"/>
      <c r="G68" s="400"/>
      <c r="H68" s="400"/>
      <c r="I68" s="400"/>
      <c r="J68" s="400"/>
      <c r="K68" s="408"/>
      <c r="L68" s="400"/>
      <c r="M68" s="400"/>
      <c r="N68" s="400"/>
      <c r="O68" s="400"/>
      <c r="P68" s="409"/>
      <c r="Q68" s="400"/>
      <c r="R68" s="400"/>
      <c r="S68" s="400"/>
      <c r="T68" s="400"/>
      <c r="U68" s="404"/>
      <c r="V68" s="400"/>
      <c r="W68" s="400"/>
      <c r="X68" s="400"/>
      <c r="Y68" s="400"/>
      <c r="Z68" s="410"/>
      <c r="AA68" s="400"/>
      <c r="AB68" s="400"/>
      <c r="AC68" s="400"/>
      <c r="AD68" s="400"/>
      <c r="AE68" s="406"/>
    </row>
    <row r="69" spans="1:31" x14ac:dyDescent="0.25">
      <c r="A69" s="399">
        <v>58</v>
      </c>
      <c r="B69" s="400"/>
      <c r="C69" s="400"/>
      <c r="D69" s="400"/>
      <c r="E69" s="400"/>
      <c r="F69" s="407"/>
      <c r="G69" s="400"/>
      <c r="H69" s="400"/>
      <c r="I69" s="400"/>
      <c r="J69" s="400"/>
      <c r="K69" s="408"/>
      <c r="L69" s="400"/>
      <c r="M69" s="400"/>
      <c r="N69" s="400"/>
      <c r="O69" s="400"/>
      <c r="P69" s="409"/>
      <c r="Q69" s="400"/>
      <c r="R69" s="400"/>
      <c r="S69" s="400"/>
      <c r="T69" s="400"/>
      <c r="U69" s="404"/>
      <c r="V69" s="400"/>
      <c r="W69" s="400"/>
      <c r="X69" s="400"/>
      <c r="Y69" s="400"/>
      <c r="Z69" s="410"/>
      <c r="AA69" s="400"/>
      <c r="AB69" s="400"/>
      <c r="AC69" s="400"/>
      <c r="AD69" s="400"/>
      <c r="AE69" s="406"/>
    </row>
    <row r="70" spans="1:31" x14ac:dyDescent="0.25">
      <c r="A70" s="399">
        <v>59</v>
      </c>
      <c r="B70" s="400"/>
      <c r="C70" s="400"/>
      <c r="D70" s="400"/>
      <c r="E70" s="400"/>
      <c r="F70" s="407"/>
      <c r="G70" s="400"/>
      <c r="H70" s="400"/>
      <c r="I70" s="400"/>
      <c r="J70" s="400"/>
      <c r="K70" s="408"/>
      <c r="L70" s="400"/>
      <c r="M70" s="400"/>
      <c r="N70" s="400"/>
      <c r="O70" s="400"/>
      <c r="P70" s="409"/>
      <c r="Q70" s="400"/>
      <c r="R70" s="400"/>
      <c r="S70" s="400"/>
      <c r="T70" s="400"/>
      <c r="U70" s="404"/>
      <c r="V70" s="400"/>
      <c r="W70" s="400"/>
      <c r="X70" s="400"/>
      <c r="Y70" s="400"/>
      <c r="Z70" s="410"/>
      <c r="AA70" s="400"/>
      <c r="AB70" s="400"/>
      <c r="AC70" s="400"/>
      <c r="AD70" s="400"/>
      <c r="AE70" s="406"/>
    </row>
    <row r="71" spans="1:31" x14ac:dyDescent="0.25">
      <c r="A71" s="399">
        <v>60</v>
      </c>
      <c r="B71" s="400"/>
      <c r="C71" s="400"/>
      <c r="D71" s="400"/>
      <c r="E71" s="400"/>
      <c r="F71" s="407"/>
      <c r="G71" s="400"/>
      <c r="H71" s="400"/>
      <c r="I71" s="400"/>
      <c r="J71" s="400"/>
      <c r="K71" s="408"/>
      <c r="L71" s="400"/>
      <c r="M71" s="400"/>
      <c r="N71" s="400"/>
      <c r="O71" s="400"/>
      <c r="P71" s="409"/>
      <c r="Q71" s="400"/>
      <c r="R71" s="400"/>
      <c r="S71" s="400"/>
      <c r="T71" s="400"/>
      <c r="U71" s="404"/>
      <c r="V71" s="400"/>
      <c r="W71" s="400"/>
      <c r="X71" s="400"/>
      <c r="Y71" s="400"/>
      <c r="Z71" s="410"/>
      <c r="AA71" s="400"/>
      <c r="AB71" s="400"/>
      <c r="AC71" s="400"/>
      <c r="AD71" s="400"/>
      <c r="AE71" s="406"/>
    </row>
    <row r="72" spans="1:31" x14ac:dyDescent="0.25">
      <c r="A72" s="399">
        <v>61</v>
      </c>
      <c r="B72" s="400"/>
      <c r="C72" s="400"/>
      <c r="D72" s="400"/>
      <c r="E72" s="400"/>
      <c r="F72" s="407"/>
      <c r="G72" s="400"/>
      <c r="H72" s="400"/>
      <c r="I72" s="400"/>
      <c r="J72" s="400"/>
      <c r="K72" s="408"/>
      <c r="L72" s="400"/>
      <c r="M72" s="400"/>
      <c r="N72" s="400"/>
      <c r="O72" s="400"/>
      <c r="P72" s="409"/>
      <c r="Q72" s="400"/>
      <c r="R72" s="400"/>
      <c r="S72" s="400"/>
      <c r="T72" s="400"/>
      <c r="U72" s="404"/>
      <c r="V72" s="400"/>
      <c r="W72" s="400"/>
      <c r="X72" s="400"/>
      <c r="Y72" s="400"/>
      <c r="Z72" s="410"/>
      <c r="AA72" s="400"/>
      <c r="AB72" s="400"/>
      <c r="AC72" s="400"/>
      <c r="AD72" s="400"/>
      <c r="AE72" s="406"/>
    </row>
    <row r="73" spans="1:31" x14ac:dyDescent="0.25">
      <c r="A73" s="399">
        <v>62</v>
      </c>
      <c r="B73" s="400"/>
      <c r="C73" s="400"/>
      <c r="D73" s="400"/>
      <c r="E73" s="400"/>
      <c r="F73" s="407"/>
      <c r="G73" s="400"/>
      <c r="H73" s="400"/>
      <c r="I73" s="400"/>
      <c r="J73" s="400"/>
      <c r="K73" s="408"/>
      <c r="L73" s="400"/>
      <c r="M73" s="400"/>
      <c r="N73" s="400"/>
      <c r="O73" s="400"/>
      <c r="P73" s="409"/>
      <c r="Q73" s="400"/>
      <c r="R73" s="400"/>
      <c r="S73" s="400"/>
      <c r="T73" s="400"/>
      <c r="U73" s="404"/>
      <c r="V73" s="400"/>
      <c r="W73" s="400"/>
      <c r="X73" s="400"/>
      <c r="Y73" s="400"/>
      <c r="Z73" s="410"/>
      <c r="AA73" s="400"/>
      <c r="AB73" s="400"/>
      <c r="AC73" s="400"/>
      <c r="AD73" s="400"/>
      <c r="AE73" s="406"/>
    </row>
    <row r="74" spans="1:31" x14ac:dyDescent="0.25">
      <c r="A74" s="399">
        <v>63</v>
      </c>
      <c r="B74" s="400"/>
      <c r="C74" s="400"/>
      <c r="D74" s="400"/>
      <c r="E74" s="400"/>
      <c r="F74" s="407"/>
      <c r="G74" s="400"/>
      <c r="H74" s="400"/>
      <c r="I74" s="400"/>
      <c r="J74" s="400"/>
      <c r="K74" s="408"/>
      <c r="L74" s="400"/>
      <c r="M74" s="400"/>
      <c r="N74" s="400"/>
      <c r="O74" s="400"/>
      <c r="P74" s="409"/>
      <c r="Q74" s="400"/>
      <c r="R74" s="400"/>
      <c r="S74" s="400"/>
      <c r="T74" s="400"/>
      <c r="U74" s="404"/>
      <c r="V74" s="400"/>
      <c r="W74" s="400"/>
      <c r="X74" s="400"/>
      <c r="Y74" s="400"/>
      <c r="Z74" s="410"/>
      <c r="AA74" s="400"/>
      <c r="AB74" s="400"/>
      <c r="AC74" s="400"/>
      <c r="AD74" s="400"/>
      <c r="AE74" s="406"/>
    </row>
    <row r="75" spans="1:31" x14ac:dyDescent="0.25">
      <c r="A75" s="399">
        <v>64</v>
      </c>
      <c r="B75" s="400"/>
      <c r="C75" s="400"/>
      <c r="D75" s="400"/>
      <c r="E75" s="400"/>
      <c r="F75" s="407"/>
      <c r="G75" s="400"/>
      <c r="H75" s="400"/>
      <c r="I75" s="400"/>
      <c r="J75" s="400"/>
      <c r="K75" s="408"/>
      <c r="L75" s="400"/>
      <c r="M75" s="400"/>
      <c r="N75" s="400"/>
      <c r="O75" s="400"/>
      <c r="P75" s="409"/>
      <c r="Q75" s="400"/>
      <c r="R75" s="400"/>
      <c r="S75" s="400"/>
      <c r="T75" s="400"/>
      <c r="U75" s="404"/>
      <c r="V75" s="400"/>
      <c r="W75" s="400"/>
      <c r="X75" s="400"/>
      <c r="Y75" s="400"/>
      <c r="Z75" s="410"/>
      <c r="AA75" s="400"/>
      <c r="AB75" s="400"/>
      <c r="AC75" s="400"/>
      <c r="AD75" s="400"/>
      <c r="AE75" s="406"/>
    </row>
    <row r="76" spans="1:31" x14ac:dyDescent="0.25">
      <c r="A76" s="399">
        <v>65</v>
      </c>
      <c r="B76" s="400"/>
      <c r="C76" s="400"/>
      <c r="D76" s="400"/>
      <c r="E76" s="400"/>
      <c r="F76" s="407"/>
      <c r="G76" s="400"/>
      <c r="H76" s="400"/>
      <c r="I76" s="400"/>
      <c r="J76" s="400"/>
      <c r="K76" s="408"/>
      <c r="L76" s="400"/>
      <c r="M76" s="400"/>
      <c r="N76" s="400"/>
      <c r="O76" s="400"/>
      <c r="P76" s="409"/>
      <c r="Q76" s="400"/>
      <c r="R76" s="400"/>
      <c r="S76" s="400"/>
      <c r="T76" s="400"/>
      <c r="U76" s="404"/>
      <c r="V76" s="400"/>
      <c r="W76" s="400"/>
      <c r="X76" s="400"/>
      <c r="Y76" s="400"/>
      <c r="Z76" s="410"/>
      <c r="AA76" s="400"/>
      <c r="AB76" s="400"/>
      <c r="AC76" s="400"/>
      <c r="AD76" s="400"/>
      <c r="AE76" s="406"/>
    </row>
    <row r="77" spans="1:31" x14ac:dyDescent="0.25">
      <c r="A77" s="399">
        <v>66</v>
      </c>
      <c r="B77" s="400"/>
      <c r="C77" s="400"/>
      <c r="D77" s="400"/>
      <c r="E77" s="400"/>
      <c r="F77" s="407"/>
      <c r="G77" s="400"/>
      <c r="H77" s="400"/>
      <c r="I77" s="400"/>
      <c r="J77" s="400"/>
      <c r="K77" s="408"/>
      <c r="L77" s="400"/>
      <c r="M77" s="400"/>
      <c r="N77" s="400"/>
      <c r="O77" s="400"/>
      <c r="P77" s="409"/>
      <c r="Q77" s="400"/>
      <c r="R77" s="400"/>
      <c r="S77" s="400"/>
      <c r="T77" s="400"/>
      <c r="U77" s="404"/>
      <c r="V77" s="400"/>
      <c r="W77" s="400"/>
      <c r="X77" s="400"/>
      <c r="Y77" s="400"/>
      <c r="Z77" s="410"/>
      <c r="AA77" s="400"/>
      <c r="AB77" s="400"/>
      <c r="AC77" s="400"/>
      <c r="AD77" s="400"/>
      <c r="AE77" s="406"/>
    </row>
    <row r="78" spans="1:31" x14ac:dyDescent="0.25">
      <c r="A78" s="399">
        <v>67</v>
      </c>
      <c r="B78" s="400"/>
      <c r="C78" s="400"/>
      <c r="D78" s="400"/>
      <c r="E78" s="400"/>
      <c r="F78" s="407"/>
      <c r="G78" s="400"/>
      <c r="H78" s="400"/>
      <c r="I78" s="400"/>
      <c r="J78" s="400"/>
      <c r="K78" s="408"/>
      <c r="L78" s="400"/>
      <c r="M78" s="400"/>
      <c r="N78" s="400"/>
      <c r="O78" s="400"/>
      <c r="P78" s="409"/>
      <c r="Q78" s="400"/>
      <c r="R78" s="400"/>
      <c r="S78" s="400"/>
      <c r="T78" s="400"/>
      <c r="U78" s="404"/>
      <c r="V78" s="400"/>
      <c r="W78" s="400"/>
      <c r="X78" s="400"/>
      <c r="Y78" s="400"/>
      <c r="Z78" s="410"/>
      <c r="AA78" s="400"/>
      <c r="AB78" s="400"/>
      <c r="AC78" s="400"/>
      <c r="AD78" s="400"/>
      <c r="AE78" s="406"/>
    </row>
    <row r="79" spans="1:31" x14ac:dyDescent="0.25">
      <c r="A79" s="399">
        <v>68</v>
      </c>
      <c r="B79" s="400"/>
      <c r="C79" s="400"/>
      <c r="D79" s="400"/>
      <c r="E79" s="400"/>
      <c r="F79" s="407"/>
      <c r="G79" s="400"/>
      <c r="H79" s="400"/>
      <c r="I79" s="400"/>
      <c r="J79" s="400"/>
      <c r="K79" s="408"/>
      <c r="L79" s="400"/>
      <c r="M79" s="400"/>
      <c r="N79" s="400"/>
      <c r="O79" s="400"/>
      <c r="P79" s="409"/>
      <c r="Q79" s="400"/>
      <c r="R79" s="400"/>
      <c r="S79" s="400"/>
      <c r="T79" s="400"/>
      <c r="U79" s="404"/>
      <c r="V79" s="400"/>
      <c r="W79" s="400"/>
      <c r="X79" s="400"/>
      <c r="Y79" s="400"/>
      <c r="Z79" s="410"/>
      <c r="AA79" s="400"/>
      <c r="AB79" s="400"/>
      <c r="AC79" s="400"/>
      <c r="AD79" s="400"/>
      <c r="AE79" s="406"/>
    </row>
    <row r="80" spans="1:31" x14ac:dyDescent="0.25">
      <c r="A80" s="399">
        <v>69</v>
      </c>
      <c r="B80" s="400"/>
      <c r="C80" s="400"/>
      <c r="D80" s="400"/>
      <c r="E80" s="400"/>
      <c r="F80" s="407"/>
      <c r="G80" s="400"/>
      <c r="H80" s="400"/>
      <c r="I80" s="400"/>
      <c r="J80" s="400"/>
      <c r="K80" s="408"/>
      <c r="L80" s="400"/>
      <c r="M80" s="400"/>
      <c r="N80" s="400"/>
      <c r="O80" s="400"/>
      <c r="P80" s="409"/>
      <c r="Q80" s="400"/>
      <c r="R80" s="400"/>
      <c r="S80" s="400"/>
      <c r="T80" s="400"/>
      <c r="U80" s="404"/>
      <c r="V80" s="400"/>
      <c r="W80" s="400"/>
      <c r="X80" s="400"/>
      <c r="Y80" s="400"/>
      <c r="Z80" s="410"/>
      <c r="AA80" s="400"/>
      <c r="AB80" s="400"/>
      <c r="AC80" s="400"/>
      <c r="AD80" s="400"/>
      <c r="AE80" s="406"/>
    </row>
    <row r="81" spans="1:31" x14ac:dyDescent="0.25">
      <c r="A81" s="399">
        <v>70</v>
      </c>
      <c r="B81" s="400"/>
      <c r="C81" s="400"/>
      <c r="D81" s="400"/>
      <c r="E81" s="400"/>
      <c r="F81" s="407"/>
      <c r="G81" s="400"/>
      <c r="H81" s="400"/>
      <c r="I81" s="400"/>
      <c r="J81" s="400"/>
      <c r="K81" s="408"/>
      <c r="L81" s="400"/>
      <c r="M81" s="400"/>
      <c r="N81" s="400"/>
      <c r="O81" s="400"/>
      <c r="P81" s="409"/>
      <c r="Q81" s="400"/>
      <c r="R81" s="400"/>
      <c r="S81" s="400"/>
      <c r="T81" s="400"/>
      <c r="U81" s="404"/>
      <c r="V81" s="400"/>
      <c r="W81" s="400"/>
      <c r="X81" s="400"/>
      <c r="Y81" s="400"/>
      <c r="Z81" s="410"/>
      <c r="AA81" s="400"/>
      <c r="AB81" s="400"/>
      <c r="AC81" s="400"/>
      <c r="AD81" s="400"/>
      <c r="AE81" s="406"/>
    </row>
    <row r="82" spans="1:31" x14ac:dyDescent="0.25">
      <c r="A82" s="399">
        <v>71</v>
      </c>
      <c r="B82" s="400"/>
      <c r="C82" s="400"/>
      <c r="D82" s="400"/>
      <c r="E82" s="400"/>
      <c r="F82" s="407"/>
      <c r="G82" s="400"/>
      <c r="H82" s="400"/>
      <c r="I82" s="400"/>
      <c r="J82" s="400"/>
      <c r="K82" s="408"/>
      <c r="L82" s="400"/>
      <c r="M82" s="400"/>
      <c r="N82" s="400"/>
      <c r="O82" s="400"/>
      <c r="P82" s="409"/>
      <c r="Q82" s="400"/>
      <c r="R82" s="400"/>
      <c r="S82" s="400"/>
      <c r="T82" s="400"/>
      <c r="U82" s="404"/>
      <c r="V82" s="400"/>
      <c r="W82" s="400"/>
      <c r="X82" s="400"/>
      <c r="Y82" s="400"/>
      <c r="Z82" s="410"/>
      <c r="AA82" s="400"/>
      <c r="AB82" s="400"/>
      <c r="AC82" s="400"/>
      <c r="AD82" s="400"/>
      <c r="AE82" s="406"/>
    </row>
    <row r="83" spans="1:31" x14ac:dyDescent="0.25">
      <c r="A83" s="399">
        <v>72</v>
      </c>
      <c r="B83" s="400"/>
      <c r="C83" s="400"/>
      <c r="D83" s="400"/>
      <c r="E83" s="400"/>
      <c r="F83" s="407"/>
      <c r="G83" s="400"/>
      <c r="H83" s="400"/>
      <c r="I83" s="400"/>
      <c r="J83" s="400"/>
      <c r="K83" s="408"/>
      <c r="L83" s="400"/>
      <c r="M83" s="400"/>
      <c r="N83" s="400"/>
      <c r="O83" s="400"/>
      <c r="P83" s="409"/>
      <c r="Q83" s="400"/>
      <c r="R83" s="400"/>
      <c r="S83" s="400"/>
      <c r="T83" s="400"/>
      <c r="U83" s="404"/>
      <c r="V83" s="400"/>
      <c r="W83" s="400"/>
      <c r="X83" s="400"/>
      <c r="Y83" s="400"/>
      <c r="Z83" s="410"/>
      <c r="AA83" s="400"/>
      <c r="AB83" s="400"/>
      <c r="AC83" s="400"/>
      <c r="AD83" s="400"/>
      <c r="AE83" s="406"/>
    </row>
    <row r="84" spans="1:31" x14ac:dyDescent="0.25">
      <c r="A84" s="399">
        <v>73</v>
      </c>
      <c r="B84" s="400"/>
      <c r="C84" s="400"/>
      <c r="D84" s="400"/>
      <c r="E84" s="400"/>
      <c r="F84" s="407"/>
      <c r="G84" s="400"/>
      <c r="H84" s="400"/>
      <c r="I84" s="400"/>
      <c r="J84" s="400"/>
      <c r="K84" s="408"/>
      <c r="L84" s="400"/>
      <c r="M84" s="400"/>
      <c r="N84" s="400"/>
      <c r="O84" s="400"/>
      <c r="P84" s="409"/>
      <c r="Q84" s="400"/>
      <c r="R84" s="400"/>
      <c r="S84" s="400"/>
      <c r="T84" s="400"/>
      <c r="U84" s="404"/>
      <c r="V84" s="400"/>
      <c r="W84" s="400"/>
      <c r="X84" s="400"/>
      <c r="Y84" s="400"/>
      <c r="Z84" s="410"/>
      <c r="AA84" s="400"/>
      <c r="AB84" s="400"/>
      <c r="AC84" s="400"/>
      <c r="AD84" s="400"/>
      <c r="AE84" s="406"/>
    </row>
    <row r="85" spans="1:31" x14ac:dyDescent="0.25">
      <c r="A85" s="399">
        <v>74</v>
      </c>
      <c r="B85" s="400"/>
      <c r="C85" s="400"/>
      <c r="D85" s="400"/>
      <c r="E85" s="400"/>
      <c r="F85" s="407"/>
      <c r="G85" s="400"/>
      <c r="H85" s="400"/>
      <c r="I85" s="400"/>
      <c r="J85" s="400"/>
      <c r="K85" s="408"/>
      <c r="L85" s="400"/>
      <c r="M85" s="400"/>
      <c r="N85" s="400"/>
      <c r="O85" s="400"/>
      <c r="P85" s="409"/>
      <c r="Q85" s="400"/>
      <c r="R85" s="400"/>
      <c r="S85" s="400"/>
      <c r="T85" s="400"/>
      <c r="U85" s="404"/>
      <c r="V85" s="400"/>
      <c r="W85" s="400"/>
      <c r="X85" s="400"/>
      <c r="Y85" s="400"/>
      <c r="Z85" s="410"/>
      <c r="AA85" s="400"/>
      <c r="AB85" s="400"/>
      <c r="AC85" s="400"/>
      <c r="AD85" s="400"/>
      <c r="AE85" s="406"/>
    </row>
    <row r="86" spans="1:31" x14ac:dyDescent="0.25">
      <c r="A86" s="399">
        <v>75</v>
      </c>
      <c r="B86" s="400"/>
      <c r="C86" s="400"/>
      <c r="D86" s="400"/>
      <c r="E86" s="400"/>
      <c r="F86" s="407"/>
      <c r="G86" s="400"/>
      <c r="H86" s="400"/>
      <c r="I86" s="400"/>
      <c r="J86" s="400"/>
      <c r="K86" s="408"/>
      <c r="L86" s="400"/>
      <c r="M86" s="400"/>
      <c r="N86" s="400"/>
      <c r="O86" s="400"/>
      <c r="P86" s="409"/>
      <c r="Q86" s="400"/>
      <c r="R86" s="400"/>
      <c r="S86" s="400"/>
      <c r="T86" s="400"/>
      <c r="U86" s="404"/>
      <c r="V86" s="400"/>
      <c r="W86" s="400"/>
      <c r="X86" s="400"/>
      <c r="Y86" s="400"/>
      <c r="Z86" s="410"/>
      <c r="AA86" s="400"/>
      <c r="AB86" s="400"/>
      <c r="AC86" s="400"/>
      <c r="AD86" s="400"/>
      <c r="AE86" s="406"/>
    </row>
    <row r="87" spans="1:31" x14ac:dyDescent="0.25">
      <c r="A87" s="399">
        <v>76</v>
      </c>
      <c r="B87" s="400"/>
      <c r="C87" s="400"/>
      <c r="D87" s="400"/>
      <c r="E87" s="400"/>
      <c r="F87" s="407"/>
      <c r="G87" s="400"/>
      <c r="H87" s="400"/>
      <c r="I87" s="400"/>
      <c r="J87" s="400"/>
      <c r="K87" s="408"/>
      <c r="L87" s="400"/>
      <c r="M87" s="400"/>
      <c r="N87" s="400"/>
      <c r="O87" s="400"/>
      <c r="P87" s="409"/>
      <c r="Q87" s="400"/>
      <c r="R87" s="400"/>
      <c r="S87" s="400"/>
      <c r="T87" s="400"/>
      <c r="U87" s="404"/>
      <c r="V87" s="400"/>
      <c r="W87" s="400"/>
      <c r="X87" s="400"/>
      <c r="Y87" s="400"/>
      <c r="Z87" s="410"/>
      <c r="AA87" s="400"/>
      <c r="AB87" s="400"/>
      <c r="AC87" s="400"/>
      <c r="AD87" s="400"/>
      <c r="AE87" s="406"/>
    </row>
    <row r="88" spans="1:31" x14ac:dyDescent="0.25">
      <c r="A88" s="399">
        <v>77</v>
      </c>
      <c r="B88" s="400"/>
      <c r="C88" s="400"/>
      <c r="D88" s="400"/>
      <c r="E88" s="400"/>
      <c r="F88" s="407"/>
      <c r="G88" s="400"/>
      <c r="H88" s="400"/>
      <c r="I88" s="400"/>
      <c r="J88" s="400"/>
      <c r="K88" s="408"/>
      <c r="L88" s="400"/>
      <c r="M88" s="400"/>
      <c r="N88" s="400"/>
      <c r="O88" s="400"/>
      <c r="P88" s="409"/>
      <c r="Q88" s="400"/>
      <c r="R88" s="400"/>
      <c r="S88" s="400"/>
      <c r="T88" s="400"/>
      <c r="U88" s="404"/>
      <c r="V88" s="400"/>
      <c r="W88" s="400"/>
      <c r="X88" s="400"/>
      <c r="Y88" s="400"/>
      <c r="Z88" s="410"/>
      <c r="AA88" s="400"/>
      <c r="AB88" s="400"/>
      <c r="AC88" s="400"/>
      <c r="AD88" s="400"/>
      <c r="AE88" s="406"/>
    </row>
    <row r="89" spans="1:31" x14ac:dyDescent="0.25">
      <c r="A89" s="399">
        <v>78</v>
      </c>
      <c r="B89" s="400"/>
      <c r="C89" s="400"/>
      <c r="D89" s="400"/>
      <c r="E89" s="400"/>
      <c r="F89" s="407"/>
      <c r="G89" s="400"/>
      <c r="H89" s="400"/>
      <c r="I89" s="400"/>
      <c r="J89" s="400"/>
      <c r="K89" s="408"/>
      <c r="L89" s="400"/>
      <c r="M89" s="400"/>
      <c r="N89" s="400"/>
      <c r="O89" s="400"/>
      <c r="P89" s="409"/>
      <c r="Q89" s="400"/>
      <c r="R89" s="400"/>
      <c r="S89" s="400"/>
      <c r="T89" s="400"/>
      <c r="U89" s="404"/>
      <c r="V89" s="400"/>
      <c r="W89" s="400"/>
      <c r="X89" s="400"/>
      <c r="Y89" s="400"/>
      <c r="Z89" s="410"/>
      <c r="AA89" s="400"/>
      <c r="AB89" s="400"/>
      <c r="AC89" s="400"/>
      <c r="AD89" s="400"/>
      <c r="AE89" s="406"/>
    </row>
    <row r="90" spans="1:31" x14ac:dyDescent="0.25">
      <c r="A90" s="399">
        <v>79</v>
      </c>
      <c r="B90" s="400"/>
      <c r="C90" s="400"/>
      <c r="D90" s="400"/>
      <c r="E90" s="400"/>
      <c r="F90" s="407"/>
      <c r="G90" s="400"/>
      <c r="H90" s="400"/>
      <c r="I90" s="400"/>
      <c r="J90" s="400"/>
      <c r="K90" s="408"/>
      <c r="L90" s="400"/>
      <c r="M90" s="400"/>
      <c r="N90" s="400"/>
      <c r="O90" s="400"/>
      <c r="P90" s="409"/>
      <c r="Q90" s="400"/>
      <c r="R90" s="400"/>
      <c r="S90" s="400"/>
      <c r="T90" s="400"/>
      <c r="U90" s="404"/>
      <c r="V90" s="400"/>
      <c r="W90" s="400"/>
      <c r="X90" s="400"/>
      <c r="Y90" s="400"/>
      <c r="Z90" s="410"/>
      <c r="AA90" s="400"/>
      <c r="AB90" s="400"/>
      <c r="AC90" s="400"/>
      <c r="AD90" s="400"/>
      <c r="AE90" s="406"/>
    </row>
    <row r="91" spans="1:31" x14ac:dyDescent="0.25">
      <c r="A91" s="399">
        <v>80</v>
      </c>
      <c r="B91" s="400"/>
      <c r="C91" s="400"/>
      <c r="D91" s="400"/>
      <c r="E91" s="400"/>
      <c r="F91" s="407"/>
      <c r="G91" s="400"/>
      <c r="H91" s="400"/>
      <c r="I91" s="400"/>
      <c r="J91" s="400"/>
      <c r="K91" s="408"/>
      <c r="L91" s="400"/>
      <c r="M91" s="400"/>
      <c r="N91" s="400"/>
      <c r="O91" s="400"/>
      <c r="P91" s="409"/>
      <c r="Q91" s="400"/>
      <c r="R91" s="400"/>
      <c r="S91" s="400"/>
      <c r="T91" s="400"/>
      <c r="U91" s="404"/>
      <c r="V91" s="400"/>
      <c r="W91" s="400"/>
      <c r="X91" s="400"/>
      <c r="Y91" s="400"/>
      <c r="Z91" s="410"/>
      <c r="AA91" s="400"/>
      <c r="AB91" s="400"/>
      <c r="AC91" s="400"/>
      <c r="AD91" s="400"/>
      <c r="AE91" s="406"/>
    </row>
    <row r="92" spans="1:31" x14ac:dyDescent="0.25">
      <c r="A92" s="399">
        <v>81</v>
      </c>
      <c r="B92" s="400"/>
      <c r="C92" s="400"/>
      <c r="D92" s="400"/>
      <c r="E92" s="400"/>
      <c r="F92" s="407"/>
      <c r="G92" s="400"/>
      <c r="H92" s="400"/>
      <c r="I92" s="400"/>
      <c r="J92" s="400"/>
      <c r="K92" s="408"/>
      <c r="L92" s="400"/>
      <c r="M92" s="400"/>
      <c r="N92" s="400"/>
      <c r="O92" s="400"/>
      <c r="P92" s="409"/>
      <c r="Q92" s="400"/>
      <c r="R92" s="400"/>
      <c r="S92" s="400"/>
      <c r="T92" s="400"/>
      <c r="U92" s="404"/>
      <c r="V92" s="400"/>
      <c r="W92" s="400"/>
      <c r="X92" s="400"/>
      <c r="Y92" s="400"/>
      <c r="Z92" s="410"/>
      <c r="AA92" s="400"/>
      <c r="AB92" s="400"/>
      <c r="AC92" s="400"/>
      <c r="AD92" s="400"/>
      <c r="AE92" s="406"/>
    </row>
    <row r="93" spans="1:31" x14ac:dyDescent="0.25">
      <c r="A93" s="399">
        <v>82</v>
      </c>
      <c r="B93" s="400"/>
      <c r="C93" s="400"/>
      <c r="D93" s="400"/>
      <c r="E93" s="400"/>
      <c r="F93" s="407"/>
      <c r="G93" s="400"/>
      <c r="H93" s="400"/>
      <c r="I93" s="400"/>
      <c r="J93" s="400"/>
      <c r="K93" s="408"/>
      <c r="L93" s="400"/>
      <c r="M93" s="400"/>
      <c r="N93" s="400"/>
      <c r="O93" s="400"/>
      <c r="P93" s="409"/>
      <c r="Q93" s="400"/>
      <c r="R93" s="400"/>
      <c r="S93" s="400"/>
      <c r="T93" s="400"/>
      <c r="U93" s="404"/>
      <c r="V93" s="400"/>
      <c r="W93" s="400"/>
      <c r="X93" s="400"/>
      <c r="Y93" s="400"/>
      <c r="Z93" s="410"/>
      <c r="AA93" s="400"/>
      <c r="AB93" s="400"/>
      <c r="AC93" s="400"/>
      <c r="AD93" s="400"/>
      <c r="AE93" s="406"/>
    </row>
    <row r="94" spans="1:31" x14ac:dyDescent="0.25">
      <c r="A94" s="399">
        <v>83</v>
      </c>
      <c r="B94" s="400"/>
      <c r="C94" s="400"/>
      <c r="D94" s="400"/>
      <c r="E94" s="400"/>
      <c r="F94" s="407"/>
      <c r="G94" s="400"/>
      <c r="H94" s="400"/>
      <c r="I94" s="400"/>
      <c r="J94" s="400"/>
      <c r="K94" s="408"/>
      <c r="L94" s="400"/>
      <c r="M94" s="400"/>
      <c r="N94" s="400"/>
      <c r="O94" s="400"/>
      <c r="P94" s="409"/>
      <c r="Q94" s="400"/>
      <c r="R94" s="400"/>
      <c r="S94" s="400"/>
      <c r="T94" s="400"/>
      <c r="U94" s="404"/>
      <c r="V94" s="400"/>
      <c r="W94" s="400"/>
      <c r="X94" s="400"/>
      <c r="Y94" s="400"/>
      <c r="Z94" s="410"/>
      <c r="AA94" s="400"/>
      <c r="AB94" s="400"/>
      <c r="AC94" s="400"/>
      <c r="AD94" s="400"/>
      <c r="AE94" s="406"/>
    </row>
    <row r="95" spans="1:31" x14ac:dyDescent="0.25">
      <c r="A95" s="399">
        <v>84</v>
      </c>
      <c r="B95" s="400"/>
      <c r="C95" s="400"/>
      <c r="D95" s="400"/>
      <c r="E95" s="400"/>
      <c r="F95" s="407"/>
      <c r="G95" s="400"/>
      <c r="H95" s="400"/>
      <c r="I95" s="400"/>
      <c r="J95" s="400"/>
      <c r="K95" s="408"/>
      <c r="L95" s="400"/>
      <c r="M95" s="400"/>
      <c r="N95" s="400"/>
      <c r="O95" s="400"/>
      <c r="P95" s="409"/>
      <c r="Q95" s="400"/>
      <c r="R95" s="400"/>
      <c r="S95" s="400"/>
      <c r="T95" s="400"/>
      <c r="U95" s="404"/>
      <c r="V95" s="400"/>
      <c r="W95" s="400"/>
      <c r="X95" s="400"/>
      <c r="Y95" s="400"/>
      <c r="Z95" s="410"/>
      <c r="AA95" s="400"/>
      <c r="AB95" s="400"/>
      <c r="AC95" s="400"/>
      <c r="AD95" s="400"/>
      <c r="AE95" s="406"/>
    </row>
    <row r="96" spans="1:31" x14ac:dyDescent="0.25">
      <c r="A96" s="399">
        <v>85</v>
      </c>
      <c r="B96" s="400"/>
      <c r="C96" s="400"/>
      <c r="D96" s="400"/>
      <c r="E96" s="400"/>
      <c r="F96" s="407"/>
      <c r="G96" s="400"/>
      <c r="H96" s="400"/>
      <c r="I96" s="400"/>
      <c r="J96" s="400"/>
      <c r="K96" s="408"/>
      <c r="L96" s="400"/>
      <c r="M96" s="400"/>
      <c r="N96" s="400"/>
      <c r="O96" s="400"/>
      <c r="P96" s="409"/>
      <c r="Q96" s="400"/>
      <c r="R96" s="400"/>
      <c r="S96" s="400"/>
      <c r="T96" s="400"/>
      <c r="U96" s="404"/>
      <c r="V96" s="400"/>
      <c r="W96" s="400"/>
      <c r="X96" s="400"/>
      <c r="Y96" s="400"/>
      <c r="Z96" s="410"/>
      <c r="AA96" s="400"/>
      <c r="AB96" s="400"/>
      <c r="AC96" s="400"/>
      <c r="AD96" s="400"/>
      <c r="AE96" s="406"/>
    </row>
    <row r="97" spans="1:31" x14ac:dyDescent="0.25">
      <c r="A97" s="399">
        <v>86</v>
      </c>
      <c r="B97" s="400"/>
      <c r="C97" s="400"/>
      <c r="D97" s="400"/>
      <c r="E97" s="400"/>
      <c r="F97" s="407"/>
      <c r="G97" s="400"/>
      <c r="H97" s="400"/>
      <c r="I97" s="400"/>
      <c r="J97" s="400"/>
      <c r="K97" s="408"/>
      <c r="L97" s="400"/>
      <c r="M97" s="400"/>
      <c r="N97" s="400"/>
      <c r="O97" s="400"/>
      <c r="P97" s="409"/>
      <c r="Q97" s="400"/>
      <c r="R97" s="400"/>
      <c r="S97" s="400"/>
      <c r="T97" s="400"/>
      <c r="U97" s="404"/>
      <c r="V97" s="400"/>
      <c r="W97" s="400"/>
      <c r="X97" s="400"/>
      <c r="Y97" s="400"/>
      <c r="Z97" s="410"/>
      <c r="AA97" s="400"/>
      <c r="AB97" s="400"/>
      <c r="AC97" s="400"/>
      <c r="AD97" s="400"/>
      <c r="AE97" s="406"/>
    </row>
    <row r="98" spans="1:31" x14ac:dyDescent="0.25">
      <c r="A98" s="399">
        <v>87</v>
      </c>
      <c r="B98" s="400"/>
      <c r="C98" s="400"/>
      <c r="D98" s="400"/>
      <c r="E98" s="400"/>
      <c r="F98" s="407"/>
      <c r="G98" s="400"/>
      <c r="H98" s="400"/>
      <c r="I98" s="400"/>
      <c r="J98" s="400"/>
      <c r="K98" s="408"/>
      <c r="L98" s="400"/>
      <c r="M98" s="400"/>
      <c r="N98" s="400"/>
      <c r="O98" s="400"/>
      <c r="P98" s="409"/>
      <c r="Q98" s="400"/>
      <c r="R98" s="400"/>
      <c r="S98" s="400"/>
      <c r="T98" s="400"/>
      <c r="U98" s="404"/>
      <c r="V98" s="400"/>
      <c r="W98" s="400"/>
      <c r="X98" s="400"/>
      <c r="Y98" s="400"/>
      <c r="Z98" s="410"/>
      <c r="AA98" s="400"/>
      <c r="AB98" s="400"/>
      <c r="AC98" s="400"/>
      <c r="AD98" s="400"/>
      <c r="AE98" s="406"/>
    </row>
    <row r="99" spans="1:31" x14ac:dyDescent="0.25">
      <c r="A99" s="399">
        <v>88</v>
      </c>
      <c r="B99" s="400"/>
      <c r="C99" s="400"/>
      <c r="D99" s="400"/>
      <c r="E99" s="400"/>
      <c r="F99" s="407"/>
      <c r="G99" s="400"/>
      <c r="H99" s="400"/>
      <c r="I99" s="400"/>
      <c r="J99" s="400"/>
      <c r="K99" s="408"/>
      <c r="L99" s="400"/>
      <c r="M99" s="400"/>
      <c r="N99" s="400"/>
      <c r="O99" s="400"/>
      <c r="P99" s="409"/>
      <c r="Q99" s="400"/>
      <c r="R99" s="400"/>
      <c r="S99" s="400"/>
      <c r="T99" s="400"/>
      <c r="U99" s="404"/>
      <c r="V99" s="400"/>
      <c r="W99" s="400"/>
      <c r="X99" s="400"/>
      <c r="Y99" s="400"/>
      <c r="Z99" s="410"/>
      <c r="AA99" s="400"/>
      <c r="AB99" s="400"/>
      <c r="AC99" s="400"/>
      <c r="AD99" s="400"/>
      <c r="AE99" s="406"/>
    </row>
    <row r="100" spans="1:31" x14ac:dyDescent="0.25">
      <c r="A100" s="399">
        <v>89</v>
      </c>
      <c r="B100" s="400"/>
      <c r="C100" s="400"/>
      <c r="D100" s="400"/>
      <c r="E100" s="400"/>
      <c r="F100" s="407"/>
      <c r="G100" s="400"/>
      <c r="H100" s="400"/>
      <c r="I100" s="400"/>
      <c r="J100" s="400"/>
      <c r="K100" s="408"/>
      <c r="L100" s="400"/>
      <c r="M100" s="400"/>
      <c r="N100" s="400"/>
      <c r="O100" s="400"/>
      <c r="P100" s="409"/>
      <c r="Q100" s="400"/>
      <c r="R100" s="400"/>
      <c r="S100" s="400"/>
      <c r="T100" s="400"/>
      <c r="U100" s="404"/>
      <c r="V100" s="400"/>
      <c r="W100" s="400"/>
      <c r="X100" s="400"/>
      <c r="Y100" s="400"/>
      <c r="Z100" s="410"/>
      <c r="AA100" s="400"/>
      <c r="AB100" s="400"/>
      <c r="AC100" s="400"/>
      <c r="AD100" s="400"/>
      <c r="AE100" s="406"/>
    </row>
    <row r="101" spans="1:31" x14ac:dyDescent="0.25">
      <c r="A101" s="399">
        <v>90</v>
      </c>
      <c r="B101" s="400"/>
      <c r="C101" s="400"/>
      <c r="D101" s="400"/>
      <c r="E101" s="400"/>
      <c r="F101" s="407"/>
      <c r="G101" s="400"/>
      <c r="H101" s="400"/>
      <c r="I101" s="400"/>
      <c r="J101" s="400"/>
      <c r="K101" s="408"/>
      <c r="L101" s="400"/>
      <c r="M101" s="400"/>
      <c r="N101" s="400"/>
      <c r="O101" s="400"/>
      <c r="P101" s="409"/>
      <c r="Q101" s="400"/>
      <c r="R101" s="400"/>
      <c r="S101" s="400"/>
      <c r="T101" s="400"/>
      <c r="U101" s="404"/>
      <c r="V101" s="400"/>
      <c r="W101" s="400"/>
      <c r="X101" s="400"/>
      <c r="Y101" s="400"/>
      <c r="Z101" s="410"/>
      <c r="AA101" s="400"/>
      <c r="AB101" s="400"/>
      <c r="AC101" s="400"/>
      <c r="AD101" s="400"/>
      <c r="AE101" s="406"/>
    </row>
    <row r="102" spans="1:31" x14ac:dyDescent="0.25">
      <c r="A102" s="399">
        <v>91</v>
      </c>
      <c r="B102" s="400"/>
      <c r="C102" s="400"/>
      <c r="D102" s="400"/>
      <c r="E102" s="400"/>
      <c r="F102" s="407"/>
      <c r="G102" s="400"/>
      <c r="H102" s="400"/>
      <c r="I102" s="400"/>
      <c r="J102" s="400"/>
      <c r="K102" s="408"/>
      <c r="L102" s="400"/>
      <c r="M102" s="400"/>
      <c r="N102" s="400"/>
      <c r="O102" s="400"/>
      <c r="P102" s="409"/>
      <c r="Q102" s="400"/>
      <c r="R102" s="400"/>
      <c r="S102" s="400"/>
      <c r="T102" s="400"/>
      <c r="U102" s="404"/>
      <c r="V102" s="400"/>
      <c r="W102" s="400"/>
      <c r="X102" s="400"/>
      <c r="Y102" s="400"/>
      <c r="Z102" s="410"/>
      <c r="AA102" s="400"/>
      <c r="AB102" s="400"/>
      <c r="AC102" s="400"/>
      <c r="AD102" s="400"/>
      <c r="AE102" s="406"/>
    </row>
    <row r="103" spans="1:31" x14ac:dyDescent="0.25">
      <c r="A103" s="399">
        <v>92</v>
      </c>
      <c r="B103" s="400"/>
      <c r="C103" s="400"/>
      <c r="D103" s="400"/>
      <c r="E103" s="400"/>
      <c r="F103" s="407"/>
      <c r="G103" s="400"/>
      <c r="H103" s="400"/>
      <c r="I103" s="400"/>
      <c r="J103" s="400"/>
      <c r="K103" s="408"/>
      <c r="L103" s="400"/>
      <c r="M103" s="400"/>
      <c r="N103" s="400"/>
      <c r="O103" s="400"/>
      <c r="P103" s="409"/>
      <c r="Q103" s="400"/>
      <c r="R103" s="400"/>
      <c r="S103" s="400"/>
      <c r="T103" s="400"/>
      <c r="U103" s="404"/>
      <c r="V103" s="400"/>
      <c r="W103" s="400"/>
      <c r="X103" s="400"/>
      <c r="Y103" s="400"/>
      <c r="Z103" s="410"/>
      <c r="AA103" s="400"/>
      <c r="AB103" s="400"/>
      <c r="AC103" s="400"/>
      <c r="AD103" s="400"/>
      <c r="AE103" s="406"/>
    </row>
    <row r="104" spans="1:31" x14ac:dyDescent="0.25">
      <c r="A104" s="399">
        <v>93</v>
      </c>
      <c r="B104" s="400"/>
      <c r="C104" s="400"/>
      <c r="D104" s="400"/>
      <c r="E104" s="400"/>
      <c r="F104" s="407"/>
      <c r="G104" s="400"/>
      <c r="H104" s="400"/>
      <c r="I104" s="400"/>
      <c r="J104" s="400"/>
      <c r="K104" s="408"/>
      <c r="L104" s="400"/>
      <c r="M104" s="400"/>
      <c r="N104" s="400"/>
      <c r="O104" s="400"/>
      <c r="P104" s="409"/>
      <c r="Q104" s="400"/>
      <c r="R104" s="400"/>
      <c r="S104" s="400"/>
      <c r="T104" s="400"/>
      <c r="U104" s="404"/>
      <c r="V104" s="400"/>
      <c r="W104" s="400"/>
      <c r="X104" s="400"/>
      <c r="Y104" s="400"/>
      <c r="Z104" s="410"/>
      <c r="AA104" s="400"/>
      <c r="AB104" s="400"/>
      <c r="AC104" s="400"/>
      <c r="AD104" s="400"/>
      <c r="AE104" s="406"/>
    </row>
    <row r="105" spans="1:31" x14ac:dyDescent="0.25">
      <c r="A105" s="399">
        <v>94</v>
      </c>
      <c r="B105" s="400"/>
      <c r="C105" s="400"/>
      <c r="D105" s="400"/>
      <c r="E105" s="400"/>
      <c r="F105" s="407"/>
      <c r="G105" s="400"/>
      <c r="H105" s="400"/>
      <c r="I105" s="400"/>
      <c r="J105" s="400"/>
      <c r="K105" s="408"/>
      <c r="L105" s="400"/>
      <c r="M105" s="400"/>
      <c r="N105" s="400"/>
      <c r="O105" s="400"/>
      <c r="P105" s="409"/>
      <c r="Q105" s="400"/>
      <c r="R105" s="400"/>
      <c r="S105" s="400"/>
      <c r="T105" s="400"/>
      <c r="U105" s="404"/>
      <c r="V105" s="400"/>
      <c r="W105" s="400"/>
      <c r="X105" s="400"/>
      <c r="Y105" s="400"/>
      <c r="Z105" s="410"/>
      <c r="AA105" s="400"/>
      <c r="AB105" s="400"/>
      <c r="AC105" s="400"/>
      <c r="AD105" s="400"/>
      <c r="AE105" s="406"/>
    </row>
    <row r="106" spans="1:31" x14ac:dyDescent="0.25">
      <c r="A106" s="399">
        <v>95</v>
      </c>
      <c r="B106" s="400"/>
      <c r="C106" s="400"/>
      <c r="D106" s="400"/>
      <c r="E106" s="400"/>
      <c r="F106" s="407"/>
      <c r="G106" s="400"/>
      <c r="H106" s="400"/>
      <c r="I106" s="400"/>
      <c r="J106" s="400"/>
      <c r="K106" s="408"/>
      <c r="L106" s="400"/>
      <c r="M106" s="400"/>
      <c r="N106" s="400"/>
      <c r="O106" s="400"/>
      <c r="P106" s="409"/>
      <c r="Q106" s="400"/>
      <c r="R106" s="400"/>
      <c r="S106" s="400"/>
      <c r="T106" s="400"/>
      <c r="U106" s="404"/>
      <c r="V106" s="400"/>
      <c r="W106" s="400"/>
      <c r="X106" s="400"/>
      <c r="Y106" s="400"/>
      <c r="Z106" s="410"/>
      <c r="AA106" s="400"/>
      <c r="AB106" s="400"/>
      <c r="AC106" s="400"/>
      <c r="AD106" s="400"/>
      <c r="AE106" s="406"/>
    </row>
    <row r="107" spans="1:31" x14ac:dyDescent="0.25">
      <c r="A107" s="399">
        <v>96</v>
      </c>
      <c r="B107" s="400"/>
      <c r="C107" s="400"/>
      <c r="D107" s="400"/>
      <c r="E107" s="400"/>
      <c r="F107" s="407"/>
      <c r="G107" s="400"/>
      <c r="H107" s="400"/>
      <c r="I107" s="400"/>
      <c r="J107" s="400"/>
      <c r="K107" s="408"/>
      <c r="L107" s="400"/>
      <c r="M107" s="400"/>
      <c r="N107" s="400"/>
      <c r="O107" s="400"/>
      <c r="P107" s="409"/>
      <c r="Q107" s="400"/>
      <c r="R107" s="400"/>
      <c r="S107" s="400"/>
      <c r="T107" s="400"/>
      <c r="U107" s="404"/>
      <c r="V107" s="400"/>
      <c r="W107" s="400"/>
      <c r="X107" s="400"/>
      <c r="Y107" s="400"/>
      <c r="Z107" s="410"/>
      <c r="AA107" s="400"/>
      <c r="AB107" s="400"/>
      <c r="AC107" s="400"/>
      <c r="AD107" s="400"/>
      <c r="AE107" s="406"/>
    </row>
    <row r="108" spans="1:31" x14ac:dyDescent="0.25">
      <c r="A108" s="399">
        <v>97</v>
      </c>
      <c r="B108" s="400"/>
      <c r="C108" s="400"/>
      <c r="D108" s="400"/>
      <c r="E108" s="400"/>
      <c r="F108" s="407"/>
      <c r="G108" s="400"/>
      <c r="H108" s="400"/>
      <c r="I108" s="400"/>
      <c r="J108" s="400"/>
      <c r="K108" s="408"/>
      <c r="L108" s="400"/>
      <c r="M108" s="400"/>
      <c r="N108" s="400"/>
      <c r="O108" s="400"/>
      <c r="P108" s="409"/>
      <c r="Q108" s="400"/>
      <c r="R108" s="400"/>
      <c r="S108" s="400"/>
      <c r="T108" s="400"/>
      <c r="U108" s="404"/>
      <c r="V108" s="400"/>
      <c r="W108" s="400"/>
      <c r="X108" s="400"/>
      <c r="Y108" s="400"/>
      <c r="Z108" s="410"/>
      <c r="AA108" s="400"/>
      <c r="AB108" s="400"/>
      <c r="AC108" s="400"/>
      <c r="AD108" s="400"/>
      <c r="AE108" s="406"/>
    </row>
    <row r="109" spans="1:31" x14ac:dyDescent="0.25">
      <c r="A109" s="399">
        <v>98</v>
      </c>
      <c r="B109" s="400"/>
      <c r="C109" s="400"/>
      <c r="D109" s="400"/>
      <c r="E109" s="400"/>
      <c r="F109" s="407"/>
      <c r="G109" s="400"/>
      <c r="H109" s="400"/>
      <c r="I109" s="400"/>
      <c r="J109" s="400"/>
      <c r="K109" s="408"/>
      <c r="L109" s="400"/>
      <c r="M109" s="400"/>
      <c r="N109" s="400"/>
      <c r="O109" s="400"/>
      <c r="P109" s="409"/>
      <c r="Q109" s="400"/>
      <c r="R109" s="400"/>
      <c r="S109" s="400"/>
      <c r="T109" s="400"/>
      <c r="U109" s="404"/>
      <c r="V109" s="400"/>
      <c r="W109" s="400"/>
      <c r="X109" s="400"/>
      <c r="Y109" s="400"/>
      <c r="Z109" s="410"/>
      <c r="AA109" s="400"/>
      <c r="AB109" s="400"/>
      <c r="AC109" s="400"/>
      <c r="AD109" s="400"/>
      <c r="AE109" s="406"/>
    </row>
    <row r="110" spans="1:31" x14ac:dyDescent="0.25">
      <c r="A110" s="399">
        <v>99</v>
      </c>
      <c r="B110" s="400"/>
      <c r="C110" s="400"/>
      <c r="D110" s="400"/>
      <c r="E110" s="400"/>
      <c r="F110" s="407"/>
      <c r="G110" s="400"/>
      <c r="H110" s="400"/>
      <c r="I110" s="400"/>
      <c r="J110" s="400"/>
      <c r="K110" s="408"/>
      <c r="L110" s="400"/>
      <c r="M110" s="400"/>
      <c r="N110" s="400"/>
      <c r="O110" s="400"/>
      <c r="P110" s="409"/>
      <c r="Q110" s="400"/>
      <c r="R110" s="400"/>
      <c r="S110" s="400"/>
      <c r="T110" s="400"/>
      <c r="U110" s="404"/>
      <c r="V110" s="400"/>
      <c r="W110" s="400"/>
      <c r="X110" s="400"/>
      <c r="Y110" s="400"/>
      <c r="Z110" s="410"/>
      <c r="AA110" s="400"/>
      <c r="AB110" s="400"/>
      <c r="AC110" s="400"/>
      <c r="AD110" s="400"/>
      <c r="AE110" s="406"/>
    </row>
    <row r="111" spans="1:31" x14ac:dyDescent="0.25">
      <c r="A111" s="399">
        <v>100</v>
      </c>
      <c r="B111" s="400"/>
      <c r="C111" s="400"/>
      <c r="D111" s="400"/>
      <c r="E111" s="400"/>
      <c r="F111" s="407"/>
      <c r="G111" s="400"/>
      <c r="H111" s="400"/>
      <c r="I111" s="400"/>
      <c r="J111" s="400"/>
      <c r="K111" s="408"/>
      <c r="L111" s="400"/>
      <c r="M111" s="400"/>
      <c r="N111" s="400"/>
      <c r="O111" s="400"/>
      <c r="P111" s="409"/>
      <c r="Q111" s="400"/>
      <c r="R111" s="400"/>
      <c r="S111" s="400"/>
      <c r="T111" s="400"/>
      <c r="U111" s="404"/>
      <c r="V111" s="400"/>
      <c r="W111" s="400"/>
      <c r="X111" s="400"/>
      <c r="Y111" s="400"/>
      <c r="Z111" s="410"/>
      <c r="AA111" s="400"/>
      <c r="AB111" s="400"/>
      <c r="AC111" s="400"/>
      <c r="AD111" s="400"/>
      <c r="AE111" s="406"/>
    </row>
    <row r="112" spans="1:31" x14ac:dyDescent="0.25">
      <c r="A112" s="399">
        <v>101</v>
      </c>
      <c r="B112" s="400"/>
      <c r="C112" s="400"/>
      <c r="D112" s="400"/>
      <c r="E112" s="400"/>
      <c r="F112" s="407"/>
      <c r="G112" s="400"/>
      <c r="H112" s="400"/>
      <c r="I112" s="400"/>
      <c r="J112" s="400"/>
      <c r="K112" s="408"/>
      <c r="L112" s="400"/>
      <c r="M112" s="400"/>
      <c r="N112" s="400"/>
      <c r="O112" s="400"/>
      <c r="P112" s="409"/>
      <c r="Q112" s="400"/>
      <c r="R112" s="400"/>
      <c r="S112" s="400"/>
      <c r="T112" s="400"/>
      <c r="U112" s="404"/>
      <c r="V112" s="400"/>
      <c r="W112" s="400"/>
      <c r="X112" s="400"/>
      <c r="Y112" s="400"/>
      <c r="Z112" s="410"/>
      <c r="AA112" s="400"/>
      <c r="AB112" s="400"/>
      <c r="AC112" s="400"/>
      <c r="AD112" s="400"/>
      <c r="AE112" s="406"/>
    </row>
    <row r="113" spans="1:31" x14ac:dyDescent="0.25">
      <c r="A113" s="399">
        <v>102</v>
      </c>
      <c r="B113" s="400"/>
      <c r="C113" s="400"/>
      <c r="D113" s="400"/>
      <c r="E113" s="400"/>
      <c r="F113" s="407"/>
      <c r="G113" s="400"/>
      <c r="H113" s="400"/>
      <c r="I113" s="400"/>
      <c r="J113" s="400"/>
      <c r="K113" s="408"/>
      <c r="L113" s="400"/>
      <c r="M113" s="400"/>
      <c r="N113" s="400"/>
      <c r="O113" s="400"/>
      <c r="P113" s="409"/>
      <c r="Q113" s="400"/>
      <c r="R113" s="400"/>
      <c r="S113" s="400"/>
      <c r="T113" s="400"/>
      <c r="U113" s="404"/>
      <c r="V113" s="400"/>
      <c r="W113" s="400"/>
      <c r="X113" s="400"/>
      <c r="Y113" s="400"/>
      <c r="Z113" s="410"/>
      <c r="AA113" s="400"/>
      <c r="AB113" s="400"/>
      <c r="AC113" s="400"/>
      <c r="AD113" s="400"/>
      <c r="AE113" s="406"/>
    </row>
    <row r="114" spans="1:31" x14ac:dyDescent="0.25">
      <c r="A114" s="399">
        <v>103</v>
      </c>
      <c r="B114" s="400"/>
      <c r="C114" s="400"/>
      <c r="D114" s="400"/>
      <c r="E114" s="400"/>
      <c r="F114" s="407"/>
      <c r="G114" s="400"/>
      <c r="H114" s="400"/>
      <c r="I114" s="400"/>
      <c r="J114" s="400"/>
      <c r="K114" s="408"/>
      <c r="L114" s="400"/>
      <c r="M114" s="400"/>
      <c r="N114" s="400"/>
      <c r="O114" s="400"/>
      <c r="P114" s="409"/>
      <c r="Q114" s="400"/>
      <c r="R114" s="400"/>
      <c r="S114" s="400"/>
      <c r="T114" s="400"/>
      <c r="U114" s="404"/>
      <c r="V114" s="400"/>
      <c r="W114" s="400"/>
      <c r="X114" s="400"/>
      <c r="Y114" s="400"/>
      <c r="Z114" s="410"/>
      <c r="AA114" s="400"/>
      <c r="AB114" s="400"/>
      <c r="AC114" s="400"/>
      <c r="AD114" s="400"/>
      <c r="AE114" s="406"/>
    </row>
    <row r="115" spans="1:31" x14ac:dyDescent="0.25">
      <c r="A115" s="399">
        <v>104</v>
      </c>
      <c r="B115" s="400"/>
      <c r="C115" s="400"/>
      <c r="D115" s="400"/>
      <c r="E115" s="400"/>
      <c r="F115" s="407"/>
      <c r="G115" s="400"/>
      <c r="H115" s="400"/>
      <c r="I115" s="400"/>
      <c r="J115" s="400"/>
      <c r="K115" s="408"/>
      <c r="L115" s="400"/>
      <c r="M115" s="400"/>
      <c r="N115" s="400"/>
      <c r="O115" s="400"/>
      <c r="P115" s="409"/>
      <c r="Q115" s="400"/>
      <c r="R115" s="400"/>
      <c r="S115" s="400"/>
      <c r="T115" s="400"/>
      <c r="U115" s="404"/>
      <c r="V115" s="400"/>
      <c r="W115" s="400"/>
      <c r="X115" s="400"/>
      <c r="Y115" s="400"/>
      <c r="Z115" s="410"/>
      <c r="AA115" s="400"/>
      <c r="AB115" s="400"/>
      <c r="AC115" s="400"/>
      <c r="AD115" s="400"/>
      <c r="AE115" s="406"/>
    </row>
    <row r="116" spans="1:31" x14ac:dyDescent="0.25">
      <c r="A116" s="399">
        <v>105</v>
      </c>
      <c r="B116" s="400"/>
      <c r="C116" s="400"/>
      <c r="D116" s="400"/>
      <c r="E116" s="400"/>
      <c r="F116" s="407"/>
      <c r="G116" s="400"/>
      <c r="H116" s="400"/>
      <c r="I116" s="400"/>
      <c r="J116" s="400"/>
      <c r="K116" s="408"/>
      <c r="L116" s="400"/>
      <c r="M116" s="400"/>
      <c r="N116" s="400"/>
      <c r="O116" s="400"/>
      <c r="P116" s="409"/>
      <c r="Q116" s="400"/>
      <c r="R116" s="400"/>
      <c r="S116" s="400"/>
      <c r="T116" s="400"/>
      <c r="U116" s="404"/>
      <c r="V116" s="400"/>
      <c r="W116" s="400"/>
      <c r="X116" s="400"/>
      <c r="Y116" s="400"/>
      <c r="Z116" s="410"/>
      <c r="AA116" s="400"/>
      <c r="AB116" s="400"/>
      <c r="AC116" s="400"/>
      <c r="AD116" s="400"/>
      <c r="AE116" s="406"/>
    </row>
    <row r="117" spans="1:31" x14ac:dyDescent="0.25">
      <c r="A117" s="399">
        <v>106</v>
      </c>
      <c r="B117" s="400"/>
      <c r="C117" s="400"/>
      <c r="D117" s="400"/>
      <c r="E117" s="400"/>
      <c r="F117" s="407"/>
      <c r="G117" s="400"/>
      <c r="H117" s="400"/>
      <c r="I117" s="400"/>
      <c r="J117" s="400"/>
      <c r="K117" s="408"/>
      <c r="L117" s="400"/>
      <c r="M117" s="400"/>
      <c r="N117" s="400"/>
      <c r="O117" s="400"/>
      <c r="P117" s="409"/>
      <c r="Q117" s="400"/>
      <c r="R117" s="400"/>
      <c r="S117" s="400"/>
      <c r="T117" s="400"/>
      <c r="U117" s="404"/>
      <c r="V117" s="400"/>
      <c r="W117" s="400"/>
      <c r="X117" s="400"/>
      <c r="Y117" s="400"/>
      <c r="Z117" s="410"/>
      <c r="AA117" s="400"/>
      <c r="AB117" s="400"/>
      <c r="AC117" s="400"/>
      <c r="AD117" s="400"/>
      <c r="AE117" s="406"/>
    </row>
    <row r="118" spans="1:31" x14ac:dyDescent="0.25">
      <c r="A118" s="399">
        <v>107</v>
      </c>
      <c r="B118" s="400"/>
      <c r="C118" s="400"/>
      <c r="D118" s="400"/>
      <c r="E118" s="400"/>
      <c r="F118" s="407"/>
      <c r="G118" s="400"/>
      <c r="H118" s="400"/>
      <c r="I118" s="400"/>
      <c r="J118" s="400"/>
      <c r="K118" s="408"/>
      <c r="L118" s="400"/>
      <c r="M118" s="400"/>
      <c r="N118" s="400"/>
      <c r="O118" s="400"/>
      <c r="P118" s="409"/>
      <c r="Q118" s="400"/>
      <c r="R118" s="400"/>
      <c r="S118" s="400"/>
      <c r="T118" s="400"/>
      <c r="U118" s="404"/>
      <c r="V118" s="400"/>
      <c r="W118" s="400"/>
      <c r="X118" s="400"/>
      <c r="Y118" s="400"/>
      <c r="Z118" s="410"/>
      <c r="AA118" s="400"/>
      <c r="AB118" s="400"/>
      <c r="AC118" s="400"/>
      <c r="AD118" s="400"/>
      <c r="AE118" s="406"/>
    </row>
    <row r="119" spans="1:31" x14ac:dyDescent="0.25">
      <c r="A119" s="399">
        <v>108</v>
      </c>
      <c r="B119" s="400"/>
      <c r="C119" s="400"/>
      <c r="D119" s="400"/>
      <c r="E119" s="400"/>
      <c r="F119" s="407"/>
      <c r="G119" s="400"/>
      <c r="H119" s="400"/>
      <c r="I119" s="400"/>
      <c r="J119" s="400"/>
      <c r="K119" s="408"/>
      <c r="L119" s="400"/>
      <c r="M119" s="400"/>
      <c r="N119" s="400"/>
      <c r="O119" s="400"/>
      <c r="P119" s="409"/>
      <c r="Q119" s="400"/>
      <c r="R119" s="400"/>
      <c r="S119" s="400"/>
      <c r="T119" s="400"/>
      <c r="U119" s="404"/>
      <c r="V119" s="400"/>
      <c r="W119" s="400"/>
      <c r="X119" s="400"/>
      <c r="Y119" s="400"/>
      <c r="Z119" s="410"/>
      <c r="AA119" s="400"/>
      <c r="AB119" s="400"/>
      <c r="AC119" s="400"/>
      <c r="AD119" s="400"/>
      <c r="AE119" s="406"/>
    </row>
    <row r="120" spans="1:31" x14ac:dyDescent="0.25">
      <c r="A120" s="399">
        <v>109</v>
      </c>
      <c r="B120" s="400"/>
      <c r="C120" s="400"/>
      <c r="D120" s="400"/>
      <c r="E120" s="400"/>
      <c r="F120" s="407"/>
      <c r="G120" s="400"/>
      <c r="H120" s="400"/>
      <c r="I120" s="400"/>
      <c r="J120" s="400"/>
      <c r="K120" s="408"/>
      <c r="L120" s="400"/>
      <c r="M120" s="400"/>
      <c r="N120" s="400"/>
      <c r="O120" s="400"/>
      <c r="P120" s="409"/>
      <c r="Q120" s="400"/>
      <c r="R120" s="400"/>
      <c r="S120" s="400"/>
      <c r="T120" s="400"/>
      <c r="U120" s="404"/>
      <c r="V120" s="400"/>
      <c r="W120" s="400"/>
      <c r="X120" s="400"/>
      <c r="Y120" s="400"/>
      <c r="Z120" s="410"/>
      <c r="AA120" s="400"/>
      <c r="AB120" s="400"/>
      <c r="AC120" s="400"/>
      <c r="AD120" s="400"/>
      <c r="AE120" s="406"/>
    </row>
    <row r="121" spans="1:31" x14ac:dyDescent="0.25">
      <c r="A121" s="399">
        <v>110</v>
      </c>
      <c r="B121" s="400"/>
      <c r="C121" s="400"/>
      <c r="D121" s="400"/>
      <c r="E121" s="400"/>
      <c r="F121" s="407"/>
      <c r="G121" s="400"/>
      <c r="H121" s="400"/>
      <c r="I121" s="400"/>
      <c r="J121" s="400"/>
      <c r="K121" s="408"/>
      <c r="L121" s="400"/>
      <c r="M121" s="400"/>
      <c r="N121" s="400"/>
      <c r="O121" s="400"/>
      <c r="P121" s="409"/>
      <c r="Q121" s="400"/>
      <c r="R121" s="400"/>
      <c r="S121" s="400"/>
      <c r="T121" s="400"/>
      <c r="U121" s="404"/>
      <c r="V121" s="400"/>
      <c r="W121" s="400"/>
      <c r="X121" s="400"/>
      <c r="Y121" s="400"/>
      <c r="Z121" s="410"/>
      <c r="AA121" s="400"/>
      <c r="AB121" s="400"/>
      <c r="AC121" s="400"/>
      <c r="AD121" s="400"/>
      <c r="AE121" s="406"/>
    </row>
    <row r="122" spans="1:31" x14ac:dyDescent="0.25">
      <c r="A122" s="399">
        <v>111</v>
      </c>
      <c r="B122" s="400"/>
      <c r="C122" s="400"/>
      <c r="D122" s="400"/>
      <c r="E122" s="400"/>
      <c r="F122" s="407"/>
      <c r="G122" s="400"/>
      <c r="H122" s="400"/>
      <c r="I122" s="400"/>
      <c r="J122" s="400"/>
      <c r="K122" s="408"/>
      <c r="L122" s="400"/>
      <c r="M122" s="400"/>
      <c r="N122" s="400"/>
      <c r="O122" s="400"/>
      <c r="P122" s="409"/>
      <c r="Q122" s="400"/>
      <c r="R122" s="400"/>
      <c r="S122" s="400"/>
      <c r="T122" s="400"/>
      <c r="U122" s="404"/>
      <c r="V122" s="400"/>
      <c r="W122" s="400"/>
      <c r="X122" s="400"/>
      <c r="Y122" s="400"/>
      <c r="Z122" s="410"/>
      <c r="AA122" s="400"/>
      <c r="AB122" s="400"/>
      <c r="AC122" s="400"/>
      <c r="AD122" s="400"/>
      <c r="AE122" s="406"/>
    </row>
    <row r="123" spans="1:31" x14ac:dyDescent="0.25">
      <c r="A123" s="399">
        <v>112</v>
      </c>
      <c r="B123" s="400"/>
      <c r="C123" s="400"/>
      <c r="D123" s="400"/>
      <c r="E123" s="400"/>
      <c r="F123" s="407"/>
      <c r="G123" s="400"/>
      <c r="H123" s="400"/>
      <c r="I123" s="400"/>
      <c r="J123" s="400"/>
      <c r="K123" s="408"/>
      <c r="L123" s="400"/>
      <c r="M123" s="400"/>
      <c r="N123" s="400"/>
      <c r="O123" s="400"/>
      <c r="P123" s="409"/>
      <c r="Q123" s="400"/>
      <c r="R123" s="400"/>
      <c r="S123" s="400"/>
      <c r="T123" s="400"/>
      <c r="U123" s="404"/>
      <c r="V123" s="400"/>
      <c r="W123" s="400"/>
      <c r="X123" s="400"/>
      <c r="Y123" s="400"/>
      <c r="Z123" s="410"/>
      <c r="AA123" s="400"/>
      <c r="AB123" s="400"/>
      <c r="AC123" s="400"/>
      <c r="AD123" s="400"/>
      <c r="AE123" s="406"/>
    </row>
    <row r="124" spans="1:31" x14ac:dyDescent="0.25">
      <c r="A124" s="399">
        <v>113</v>
      </c>
      <c r="B124" s="400"/>
      <c r="C124" s="400"/>
      <c r="D124" s="400"/>
      <c r="E124" s="400"/>
      <c r="F124" s="407"/>
      <c r="G124" s="400"/>
      <c r="H124" s="400"/>
      <c r="I124" s="400"/>
      <c r="J124" s="400"/>
      <c r="K124" s="408"/>
      <c r="L124" s="400"/>
      <c r="M124" s="400"/>
      <c r="N124" s="400"/>
      <c r="O124" s="400"/>
      <c r="P124" s="409"/>
      <c r="Q124" s="400"/>
      <c r="R124" s="400"/>
      <c r="S124" s="400"/>
      <c r="T124" s="400"/>
      <c r="U124" s="404"/>
      <c r="V124" s="400"/>
      <c r="W124" s="400"/>
      <c r="X124" s="400"/>
      <c r="Y124" s="400"/>
      <c r="Z124" s="410"/>
      <c r="AA124" s="400"/>
      <c r="AB124" s="400"/>
      <c r="AC124" s="400"/>
      <c r="AD124" s="400"/>
      <c r="AE124" s="406"/>
    </row>
    <row r="125" spans="1:31" x14ac:dyDescent="0.25">
      <c r="A125" s="399">
        <v>114</v>
      </c>
      <c r="B125" s="400"/>
      <c r="C125" s="400"/>
      <c r="D125" s="400"/>
      <c r="E125" s="400"/>
      <c r="F125" s="407"/>
      <c r="G125" s="400"/>
      <c r="H125" s="400"/>
      <c r="I125" s="400"/>
      <c r="J125" s="400"/>
      <c r="K125" s="408"/>
      <c r="L125" s="400"/>
      <c r="M125" s="400"/>
      <c r="N125" s="400"/>
      <c r="O125" s="400"/>
      <c r="P125" s="409"/>
      <c r="Q125" s="400"/>
      <c r="R125" s="400"/>
      <c r="S125" s="400"/>
      <c r="T125" s="400"/>
      <c r="U125" s="404"/>
      <c r="V125" s="400"/>
      <c r="W125" s="400"/>
      <c r="X125" s="400"/>
      <c r="Y125" s="400"/>
      <c r="Z125" s="410"/>
      <c r="AA125" s="400"/>
      <c r="AB125" s="400"/>
      <c r="AC125" s="400"/>
      <c r="AD125" s="400"/>
      <c r="AE125" s="406"/>
    </row>
    <row r="126" spans="1:31" x14ac:dyDescent="0.25">
      <c r="A126" s="399">
        <v>115</v>
      </c>
      <c r="B126" s="400"/>
      <c r="C126" s="400"/>
      <c r="D126" s="400"/>
      <c r="E126" s="400"/>
      <c r="F126" s="407"/>
      <c r="G126" s="400"/>
      <c r="H126" s="400"/>
      <c r="I126" s="400"/>
      <c r="J126" s="400"/>
      <c r="K126" s="408"/>
      <c r="L126" s="400"/>
      <c r="M126" s="400"/>
      <c r="N126" s="400"/>
      <c r="O126" s="400"/>
      <c r="P126" s="409"/>
      <c r="Q126" s="400"/>
      <c r="R126" s="400"/>
      <c r="S126" s="400"/>
      <c r="T126" s="400"/>
      <c r="U126" s="404"/>
      <c r="V126" s="400"/>
      <c r="W126" s="400"/>
      <c r="X126" s="400"/>
      <c r="Y126" s="400"/>
      <c r="Z126" s="410"/>
      <c r="AA126" s="400"/>
      <c r="AB126" s="400"/>
      <c r="AC126" s="400"/>
      <c r="AD126" s="400"/>
      <c r="AE126" s="406"/>
    </row>
    <row r="127" spans="1:31" x14ac:dyDescent="0.25">
      <c r="A127" s="399">
        <v>116</v>
      </c>
      <c r="B127" s="400"/>
      <c r="C127" s="400"/>
      <c r="D127" s="400"/>
      <c r="E127" s="400"/>
      <c r="F127" s="407"/>
      <c r="G127" s="400"/>
      <c r="H127" s="400"/>
      <c r="I127" s="400"/>
      <c r="J127" s="400"/>
      <c r="K127" s="408"/>
      <c r="L127" s="400"/>
      <c r="M127" s="400"/>
      <c r="N127" s="400"/>
      <c r="O127" s="400"/>
      <c r="P127" s="409"/>
      <c r="Q127" s="400"/>
      <c r="R127" s="400"/>
      <c r="S127" s="400"/>
      <c r="T127" s="400"/>
      <c r="U127" s="404"/>
      <c r="V127" s="400"/>
      <c r="W127" s="400"/>
      <c r="X127" s="400"/>
      <c r="Y127" s="400"/>
      <c r="Z127" s="410"/>
      <c r="AA127" s="400"/>
      <c r="AB127" s="400"/>
      <c r="AC127" s="400"/>
      <c r="AD127" s="400"/>
      <c r="AE127" s="406"/>
    </row>
    <row r="128" spans="1:31" x14ac:dyDescent="0.25">
      <c r="A128" s="399">
        <v>117</v>
      </c>
      <c r="B128" s="400"/>
      <c r="C128" s="400"/>
      <c r="D128" s="400"/>
      <c r="E128" s="400"/>
      <c r="F128" s="407"/>
      <c r="G128" s="400"/>
      <c r="H128" s="400"/>
      <c r="I128" s="400"/>
      <c r="J128" s="400"/>
      <c r="K128" s="408"/>
      <c r="L128" s="400"/>
      <c r="M128" s="400"/>
      <c r="N128" s="400"/>
      <c r="O128" s="400"/>
      <c r="P128" s="409"/>
      <c r="Q128" s="400"/>
      <c r="R128" s="400"/>
      <c r="S128" s="400"/>
      <c r="T128" s="400"/>
      <c r="U128" s="404"/>
      <c r="V128" s="400"/>
      <c r="W128" s="400"/>
      <c r="X128" s="400"/>
      <c r="Y128" s="400"/>
      <c r="Z128" s="410"/>
      <c r="AA128" s="400"/>
      <c r="AB128" s="400"/>
      <c r="AC128" s="400"/>
      <c r="AD128" s="400"/>
      <c r="AE128" s="406"/>
    </row>
    <row r="129" spans="1:31" x14ac:dyDescent="0.25">
      <c r="A129" s="399">
        <v>118</v>
      </c>
      <c r="B129" s="400"/>
      <c r="C129" s="400"/>
      <c r="D129" s="400"/>
      <c r="E129" s="400"/>
      <c r="F129" s="407"/>
      <c r="G129" s="400"/>
      <c r="H129" s="400"/>
      <c r="I129" s="400"/>
      <c r="J129" s="400"/>
      <c r="K129" s="408"/>
      <c r="L129" s="400"/>
      <c r="M129" s="400"/>
      <c r="N129" s="400"/>
      <c r="O129" s="400"/>
      <c r="P129" s="409"/>
      <c r="Q129" s="400"/>
      <c r="R129" s="400"/>
      <c r="S129" s="400"/>
      <c r="T129" s="400"/>
      <c r="U129" s="404"/>
      <c r="V129" s="400"/>
      <c r="W129" s="400"/>
      <c r="X129" s="400"/>
      <c r="Y129" s="400"/>
      <c r="Z129" s="410"/>
      <c r="AA129" s="400"/>
      <c r="AB129" s="400"/>
      <c r="AC129" s="400"/>
      <c r="AD129" s="400"/>
      <c r="AE129" s="406"/>
    </row>
    <row r="130" spans="1:31" x14ac:dyDescent="0.25">
      <c r="A130" s="399">
        <v>119</v>
      </c>
      <c r="B130" s="400"/>
      <c r="C130" s="400"/>
      <c r="D130" s="400"/>
      <c r="E130" s="400"/>
      <c r="F130" s="407"/>
      <c r="G130" s="400"/>
      <c r="H130" s="400"/>
      <c r="I130" s="400"/>
      <c r="J130" s="400"/>
      <c r="K130" s="408"/>
      <c r="L130" s="400"/>
      <c r="M130" s="400"/>
      <c r="N130" s="400"/>
      <c r="O130" s="400"/>
      <c r="P130" s="409"/>
      <c r="Q130" s="400"/>
      <c r="R130" s="400"/>
      <c r="S130" s="400"/>
      <c r="T130" s="400"/>
      <c r="U130" s="404"/>
      <c r="V130" s="400"/>
      <c r="W130" s="400"/>
      <c r="X130" s="400"/>
      <c r="Y130" s="400"/>
      <c r="Z130" s="410"/>
      <c r="AA130" s="400"/>
      <c r="AB130" s="400"/>
      <c r="AC130" s="400"/>
      <c r="AD130" s="400"/>
      <c r="AE130" s="406"/>
    </row>
    <row r="131" spans="1:31" x14ac:dyDescent="0.25">
      <c r="A131" s="399">
        <v>120</v>
      </c>
      <c r="B131" s="400"/>
      <c r="C131" s="400"/>
      <c r="D131" s="400"/>
      <c r="E131" s="400"/>
      <c r="F131" s="407"/>
      <c r="G131" s="400"/>
      <c r="H131" s="400"/>
      <c r="I131" s="400"/>
      <c r="J131" s="400"/>
      <c r="K131" s="408"/>
      <c r="L131" s="400"/>
      <c r="M131" s="400"/>
      <c r="N131" s="400"/>
      <c r="O131" s="400"/>
      <c r="P131" s="409"/>
      <c r="Q131" s="400"/>
      <c r="R131" s="400"/>
      <c r="S131" s="400"/>
      <c r="T131" s="400"/>
      <c r="U131" s="404"/>
      <c r="V131" s="400"/>
      <c r="W131" s="400"/>
      <c r="X131" s="400"/>
      <c r="Y131" s="400"/>
      <c r="Z131" s="410"/>
      <c r="AA131" s="400"/>
      <c r="AB131" s="400"/>
      <c r="AC131" s="400"/>
      <c r="AD131" s="400"/>
      <c r="AE131" s="406"/>
    </row>
    <row r="132" spans="1:31" x14ac:dyDescent="0.25">
      <c r="A132" s="399">
        <v>121</v>
      </c>
      <c r="B132" s="400"/>
      <c r="C132" s="400"/>
      <c r="D132" s="400"/>
      <c r="E132" s="400"/>
      <c r="F132" s="407"/>
      <c r="G132" s="400"/>
      <c r="H132" s="400"/>
      <c r="I132" s="400"/>
      <c r="J132" s="400"/>
      <c r="K132" s="408"/>
      <c r="L132" s="400"/>
      <c r="M132" s="400"/>
      <c r="N132" s="400"/>
      <c r="O132" s="400"/>
      <c r="P132" s="409"/>
      <c r="Q132" s="400"/>
      <c r="R132" s="400"/>
      <c r="S132" s="400"/>
      <c r="T132" s="400"/>
      <c r="U132" s="404"/>
      <c r="V132" s="400"/>
      <c r="W132" s="400"/>
      <c r="X132" s="400"/>
      <c r="Y132" s="400"/>
      <c r="Z132" s="410"/>
      <c r="AA132" s="400"/>
      <c r="AB132" s="400"/>
      <c r="AC132" s="400"/>
      <c r="AD132" s="400"/>
      <c r="AE132" s="406"/>
    </row>
    <row r="133" spans="1:31" x14ac:dyDescent="0.25">
      <c r="A133" s="399">
        <v>122</v>
      </c>
      <c r="B133" s="400"/>
      <c r="C133" s="400"/>
      <c r="D133" s="400"/>
      <c r="E133" s="400"/>
      <c r="F133" s="407"/>
      <c r="G133" s="400"/>
      <c r="H133" s="400"/>
      <c r="I133" s="400"/>
      <c r="J133" s="400"/>
      <c r="K133" s="408"/>
      <c r="L133" s="400"/>
      <c r="M133" s="400"/>
      <c r="N133" s="400"/>
      <c r="O133" s="400"/>
      <c r="P133" s="409"/>
      <c r="Q133" s="400"/>
      <c r="R133" s="400"/>
      <c r="S133" s="400"/>
      <c r="T133" s="400"/>
      <c r="U133" s="404"/>
      <c r="V133" s="400"/>
      <c r="W133" s="400"/>
      <c r="X133" s="400"/>
      <c r="Y133" s="400"/>
      <c r="Z133" s="410"/>
      <c r="AA133" s="400"/>
      <c r="AB133" s="400"/>
      <c r="AC133" s="400"/>
      <c r="AD133" s="400"/>
      <c r="AE133" s="406"/>
    </row>
    <row r="134" spans="1:31" x14ac:dyDescent="0.25">
      <c r="A134" s="399">
        <v>123</v>
      </c>
      <c r="B134" s="400"/>
      <c r="C134" s="400"/>
      <c r="D134" s="400"/>
      <c r="E134" s="400"/>
      <c r="F134" s="407"/>
      <c r="G134" s="400"/>
      <c r="H134" s="400"/>
      <c r="I134" s="400"/>
      <c r="J134" s="400"/>
      <c r="K134" s="408"/>
      <c r="L134" s="400"/>
      <c r="M134" s="400"/>
      <c r="N134" s="400"/>
      <c r="O134" s="400"/>
      <c r="P134" s="409"/>
      <c r="Q134" s="400"/>
      <c r="R134" s="400"/>
      <c r="S134" s="400"/>
      <c r="T134" s="400"/>
      <c r="U134" s="404"/>
      <c r="V134" s="400"/>
      <c r="W134" s="400"/>
      <c r="X134" s="400"/>
      <c r="Y134" s="400"/>
      <c r="Z134" s="410"/>
      <c r="AA134" s="400"/>
      <c r="AB134" s="400"/>
      <c r="AC134" s="400"/>
      <c r="AD134" s="400"/>
      <c r="AE134" s="406"/>
    </row>
    <row r="135" spans="1:31" x14ac:dyDescent="0.25">
      <c r="A135" s="399">
        <v>124</v>
      </c>
      <c r="B135" s="400"/>
      <c r="C135" s="400"/>
      <c r="D135" s="400"/>
      <c r="E135" s="400"/>
      <c r="F135" s="407"/>
      <c r="G135" s="400"/>
      <c r="H135" s="400"/>
      <c r="I135" s="400"/>
      <c r="J135" s="400"/>
      <c r="K135" s="408"/>
      <c r="L135" s="400"/>
      <c r="M135" s="400"/>
      <c r="N135" s="400"/>
      <c r="O135" s="400"/>
      <c r="P135" s="409"/>
      <c r="Q135" s="400"/>
      <c r="R135" s="400"/>
      <c r="S135" s="400"/>
      <c r="T135" s="400"/>
      <c r="U135" s="404"/>
      <c r="V135" s="400"/>
      <c r="W135" s="400"/>
      <c r="X135" s="400"/>
      <c r="Y135" s="400"/>
      <c r="Z135" s="410"/>
      <c r="AA135" s="400"/>
      <c r="AB135" s="400"/>
      <c r="AC135" s="400"/>
      <c r="AD135" s="400"/>
      <c r="AE135" s="406"/>
    </row>
    <row r="136" spans="1:31" x14ac:dyDescent="0.25">
      <c r="A136" s="399">
        <v>125</v>
      </c>
      <c r="B136" s="400"/>
      <c r="C136" s="400"/>
      <c r="D136" s="400"/>
      <c r="E136" s="400"/>
      <c r="F136" s="407"/>
      <c r="G136" s="400"/>
      <c r="H136" s="400"/>
      <c r="I136" s="400"/>
      <c r="J136" s="400"/>
      <c r="K136" s="408"/>
      <c r="L136" s="400"/>
      <c r="M136" s="400"/>
      <c r="N136" s="400"/>
      <c r="O136" s="400"/>
      <c r="P136" s="409"/>
      <c r="Q136" s="400"/>
      <c r="R136" s="400"/>
      <c r="S136" s="400"/>
      <c r="T136" s="400"/>
      <c r="U136" s="404"/>
      <c r="V136" s="400"/>
      <c r="W136" s="400"/>
      <c r="X136" s="400"/>
      <c r="Y136" s="400"/>
      <c r="Z136" s="410"/>
      <c r="AA136" s="400"/>
      <c r="AB136" s="400"/>
      <c r="AC136" s="400"/>
      <c r="AD136" s="400"/>
      <c r="AE136" s="406"/>
    </row>
    <row r="137" spans="1:31" x14ac:dyDescent="0.25">
      <c r="A137" s="399">
        <v>126</v>
      </c>
      <c r="B137" s="400"/>
      <c r="C137" s="400"/>
      <c r="D137" s="400"/>
      <c r="E137" s="400"/>
      <c r="F137" s="407"/>
      <c r="G137" s="400"/>
      <c r="H137" s="400"/>
      <c r="I137" s="400"/>
      <c r="J137" s="400"/>
      <c r="K137" s="408"/>
      <c r="L137" s="400"/>
      <c r="M137" s="400"/>
      <c r="N137" s="400"/>
      <c r="O137" s="400"/>
      <c r="P137" s="409"/>
      <c r="Q137" s="400"/>
      <c r="R137" s="400"/>
      <c r="S137" s="400"/>
      <c r="T137" s="400"/>
      <c r="U137" s="404"/>
      <c r="V137" s="400"/>
      <c r="W137" s="400"/>
      <c r="X137" s="400"/>
      <c r="Y137" s="400"/>
      <c r="Z137" s="410"/>
      <c r="AA137" s="400"/>
      <c r="AB137" s="400"/>
      <c r="AC137" s="400"/>
      <c r="AD137" s="400"/>
      <c r="AE137" s="406"/>
    </row>
    <row r="138" spans="1:31" x14ac:dyDescent="0.25">
      <c r="A138" s="399">
        <v>127</v>
      </c>
      <c r="B138" s="400"/>
      <c r="C138" s="400"/>
      <c r="D138" s="400"/>
      <c r="E138" s="400"/>
      <c r="F138" s="407"/>
      <c r="G138" s="400"/>
      <c r="H138" s="400"/>
      <c r="I138" s="400"/>
      <c r="J138" s="400"/>
      <c r="K138" s="408"/>
      <c r="L138" s="400"/>
      <c r="M138" s="400"/>
      <c r="N138" s="400"/>
      <c r="O138" s="400"/>
      <c r="P138" s="409"/>
      <c r="Q138" s="400"/>
      <c r="R138" s="400"/>
      <c r="S138" s="400"/>
      <c r="T138" s="400"/>
      <c r="U138" s="404"/>
      <c r="V138" s="400"/>
      <c r="W138" s="400"/>
      <c r="X138" s="400"/>
      <c r="Y138" s="400"/>
      <c r="Z138" s="410"/>
      <c r="AA138" s="400"/>
      <c r="AB138" s="400"/>
      <c r="AC138" s="400"/>
      <c r="AD138" s="400"/>
      <c r="AE138" s="406"/>
    </row>
    <row r="139" spans="1:31" x14ac:dyDescent="0.25">
      <c r="A139" s="399">
        <v>128</v>
      </c>
      <c r="B139" s="400"/>
      <c r="C139" s="400"/>
      <c r="D139" s="400"/>
      <c r="E139" s="400"/>
      <c r="F139" s="407"/>
      <c r="G139" s="400"/>
      <c r="H139" s="400"/>
      <c r="I139" s="400"/>
      <c r="J139" s="400"/>
      <c r="K139" s="408"/>
      <c r="L139" s="400"/>
      <c r="M139" s="400"/>
      <c r="N139" s="400"/>
      <c r="O139" s="400"/>
      <c r="P139" s="409"/>
      <c r="Q139" s="400"/>
      <c r="R139" s="400"/>
      <c r="S139" s="400"/>
      <c r="T139" s="400"/>
      <c r="U139" s="404"/>
      <c r="V139" s="400"/>
      <c r="W139" s="400"/>
      <c r="X139" s="400"/>
      <c r="Y139" s="400"/>
      <c r="Z139" s="410"/>
      <c r="AA139" s="400"/>
      <c r="AB139" s="400"/>
      <c r="AC139" s="400"/>
      <c r="AD139" s="400"/>
      <c r="AE139" s="406"/>
    </row>
    <row r="140" spans="1:31" x14ac:dyDescent="0.25">
      <c r="A140" s="399">
        <v>129</v>
      </c>
      <c r="B140" s="400"/>
      <c r="C140" s="400"/>
      <c r="D140" s="400"/>
      <c r="E140" s="400"/>
      <c r="F140" s="407"/>
      <c r="G140" s="400"/>
      <c r="H140" s="400"/>
      <c r="I140" s="400"/>
      <c r="J140" s="400"/>
      <c r="K140" s="408"/>
      <c r="L140" s="400"/>
      <c r="M140" s="400"/>
      <c r="N140" s="400"/>
      <c r="O140" s="400"/>
      <c r="P140" s="409"/>
      <c r="Q140" s="400"/>
      <c r="R140" s="400"/>
      <c r="S140" s="400"/>
      <c r="T140" s="400"/>
      <c r="U140" s="404"/>
      <c r="V140" s="400"/>
      <c r="W140" s="400"/>
      <c r="X140" s="400"/>
      <c r="Y140" s="400"/>
      <c r="Z140" s="410"/>
      <c r="AA140" s="400"/>
      <c r="AB140" s="400"/>
      <c r="AC140" s="400"/>
      <c r="AD140" s="400"/>
      <c r="AE140" s="406"/>
    </row>
    <row r="141" spans="1:31" x14ac:dyDescent="0.25">
      <c r="A141" s="399">
        <v>130</v>
      </c>
      <c r="B141" s="400"/>
      <c r="C141" s="400"/>
      <c r="D141" s="400"/>
      <c r="E141" s="400"/>
      <c r="F141" s="407"/>
      <c r="G141" s="400"/>
      <c r="H141" s="400"/>
      <c r="I141" s="400"/>
      <c r="J141" s="400"/>
      <c r="K141" s="408"/>
      <c r="L141" s="400"/>
      <c r="M141" s="400"/>
      <c r="N141" s="400"/>
      <c r="O141" s="400"/>
      <c r="P141" s="409"/>
      <c r="Q141" s="400"/>
      <c r="R141" s="400"/>
      <c r="S141" s="400"/>
      <c r="T141" s="400"/>
      <c r="U141" s="404"/>
      <c r="V141" s="400"/>
      <c r="W141" s="400"/>
      <c r="X141" s="400"/>
      <c r="Y141" s="400"/>
      <c r="Z141" s="410"/>
      <c r="AA141" s="400"/>
      <c r="AB141" s="400"/>
      <c r="AC141" s="400"/>
      <c r="AD141" s="400"/>
      <c r="AE141" s="406"/>
    </row>
    <row r="142" spans="1:31" x14ac:dyDescent="0.25">
      <c r="A142" s="399">
        <v>131</v>
      </c>
      <c r="B142" s="400"/>
      <c r="C142" s="400"/>
      <c r="D142" s="400"/>
      <c r="E142" s="400"/>
      <c r="F142" s="407"/>
      <c r="G142" s="400"/>
      <c r="H142" s="400"/>
      <c r="I142" s="400"/>
      <c r="J142" s="400"/>
      <c r="K142" s="408"/>
      <c r="L142" s="400"/>
      <c r="M142" s="400"/>
      <c r="N142" s="400"/>
      <c r="O142" s="400"/>
      <c r="P142" s="409"/>
      <c r="Q142" s="400"/>
      <c r="R142" s="400"/>
      <c r="S142" s="400"/>
      <c r="T142" s="400"/>
      <c r="U142" s="404"/>
      <c r="V142" s="400"/>
      <c r="W142" s="400"/>
      <c r="X142" s="400"/>
      <c r="Y142" s="400"/>
      <c r="Z142" s="410"/>
      <c r="AA142" s="400"/>
      <c r="AB142" s="400"/>
      <c r="AC142" s="400"/>
      <c r="AD142" s="400"/>
      <c r="AE142" s="406"/>
    </row>
    <row r="143" spans="1:31" x14ac:dyDescent="0.25">
      <c r="A143" s="399">
        <v>132</v>
      </c>
      <c r="B143" s="400"/>
      <c r="C143" s="400"/>
      <c r="D143" s="400"/>
      <c r="E143" s="400"/>
      <c r="F143" s="407"/>
      <c r="G143" s="400"/>
      <c r="H143" s="400"/>
      <c r="I143" s="400"/>
      <c r="J143" s="400"/>
      <c r="K143" s="408"/>
      <c r="L143" s="400"/>
      <c r="M143" s="400"/>
      <c r="N143" s="400"/>
      <c r="O143" s="400"/>
      <c r="P143" s="409"/>
      <c r="Q143" s="400"/>
      <c r="R143" s="400"/>
      <c r="S143" s="400"/>
      <c r="T143" s="400"/>
      <c r="U143" s="404"/>
      <c r="V143" s="400"/>
      <c r="W143" s="400"/>
      <c r="X143" s="400"/>
      <c r="Y143" s="400"/>
      <c r="Z143" s="410"/>
      <c r="AA143" s="400"/>
      <c r="AB143" s="400"/>
      <c r="AC143" s="400"/>
      <c r="AD143" s="400"/>
      <c r="AE143" s="406"/>
    </row>
    <row r="144" spans="1:31" x14ac:dyDescent="0.25">
      <c r="A144" s="399">
        <v>133</v>
      </c>
      <c r="B144" s="400"/>
      <c r="C144" s="400"/>
      <c r="D144" s="400"/>
      <c r="E144" s="400"/>
      <c r="F144" s="407"/>
      <c r="G144" s="400"/>
      <c r="H144" s="400"/>
      <c r="I144" s="400"/>
      <c r="J144" s="400"/>
      <c r="K144" s="408"/>
      <c r="L144" s="400"/>
      <c r="M144" s="400"/>
      <c r="N144" s="400"/>
      <c r="O144" s="400"/>
      <c r="P144" s="409"/>
      <c r="Q144" s="400"/>
      <c r="R144" s="400"/>
      <c r="S144" s="400"/>
      <c r="T144" s="400"/>
      <c r="U144" s="404"/>
      <c r="V144" s="400"/>
      <c r="W144" s="400"/>
      <c r="X144" s="400"/>
      <c r="Y144" s="400"/>
      <c r="Z144" s="410"/>
      <c r="AA144" s="400"/>
      <c r="AB144" s="400"/>
      <c r="AC144" s="400"/>
      <c r="AD144" s="400"/>
      <c r="AE144" s="406"/>
    </row>
    <row r="145" spans="1:31" x14ac:dyDescent="0.25">
      <c r="A145" s="399">
        <v>134</v>
      </c>
      <c r="B145" s="400"/>
      <c r="C145" s="400"/>
      <c r="D145" s="400"/>
      <c r="E145" s="400"/>
      <c r="F145" s="407"/>
      <c r="G145" s="400"/>
      <c r="H145" s="400"/>
      <c r="I145" s="400"/>
      <c r="J145" s="400"/>
      <c r="K145" s="408"/>
      <c r="L145" s="400"/>
      <c r="M145" s="400"/>
      <c r="N145" s="400"/>
      <c r="O145" s="400"/>
      <c r="P145" s="409"/>
      <c r="Q145" s="400"/>
      <c r="R145" s="400"/>
      <c r="S145" s="400"/>
      <c r="T145" s="400"/>
      <c r="U145" s="404"/>
      <c r="V145" s="400"/>
      <c r="W145" s="400"/>
      <c r="X145" s="400"/>
      <c r="Y145" s="400"/>
      <c r="Z145" s="410"/>
      <c r="AA145" s="400"/>
      <c r="AB145" s="400"/>
      <c r="AC145" s="400"/>
      <c r="AD145" s="400"/>
      <c r="AE145" s="406"/>
    </row>
    <row r="146" spans="1:31" x14ac:dyDescent="0.25">
      <c r="A146" s="399">
        <v>135</v>
      </c>
      <c r="B146" s="400"/>
      <c r="C146" s="400"/>
      <c r="D146" s="400"/>
      <c r="E146" s="400"/>
      <c r="F146" s="407"/>
      <c r="G146" s="400"/>
      <c r="H146" s="400"/>
      <c r="I146" s="400"/>
      <c r="J146" s="400"/>
      <c r="K146" s="408"/>
      <c r="L146" s="400"/>
      <c r="M146" s="400"/>
      <c r="N146" s="400"/>
      <c r="O146" s="400"/>
      <c r="P146" s="409"/>
      <c r="Q146" s="400"/>
      <c r="R146" s="400"/>
      <c r="S146" s="400"/>
      <c r="T146" s="400"/>
      <c r="U146" s="404"/>
      <c r="V146" s="400"/>
      <c r="W146" s="400"/>
      <c r="X146" s="400"/>
      <c r="Y146" s="400"/>
      <c r="Z146" s="410"/>
      <c r="AA146" s="400"/>
      <c r="AB146" s="400"/>
      <c r="AC146" s="400"/>
      <c r="AD146" s="400"/>
      <c r="AE146" s="406"/>
    </row>
    <row r="147" spans="1:31" x14ac:dyDescent="0.25">
      <c r="A147" s="399">
        <v>136</v>
      </c>
      <c r="B147" s="400"/>
      <c r="C147" s="400"/>
      <c r="D147" s="400"/>
      <c r="E147" s="400"/>
      <c r="F147" s="407"/>
      <c r="G147" s="400"/>
      <c r="H147" s="400"/>
      <c r="I147" s="400"/>
      <c r="J147" s="400"/>
      <c r="K147" s="408"/>
      <c r="L147" s="400"/>
      <c r="M147" s="400"/>
      <c r="N147" s="400"/>
      <c r="O147" s="400"/>
      <c r="P147" s="409"/>
      <c r="Q147" s="400"/>
      <c r="R147" s="400"/>
      <c r="S147" s="400"/>
      <c r="T147" s="400"/>
      <c r="U147" s="404"/>
      <c r="V147" s="400"/>
      <c r="W147" s="400"/>
      <c r="X147" s="400"/>
      <c r="Y147" s="400"/>
      <c r="Z147" s="410"/>
      <c r="AA147" s="400"/>
      <c r="AB147" s="400"/>
      <c r="AC147" s="400"/>
      <c r="AD147" s="400"/>
      <c r="AE147" s="406"/>
    </row>
    <row r="148" spans="1:31" x14ac:dyDescent="0.25">
      <c r="A148" s="399">
        <v>137</v>
      </c>
      <c r="B148" s="400"/>
      <c r="C148" s="400"/>
      <c r="D148" s="400"/>
      <c r="E148" s="400"/>
      <c r="F148" s="407"/>
      <c r="G148" s="400"/>
      <c r="H148" s="400"/>
      <c r="I148" s="400"/>
      <c r="J148" s="400"/>
      <c r="K148" s="408"/>
      <c r="L148" s="400"/>
      <c r="M148" s="400"/>
      <c r="N148" s="400"/>
      <c r="O148" s="400"/>
      <c r="P148" s="409"/>
      <c r="Q148" s="400"/>
      <c r="R148" s="400"/>
      <c r="S148" s="400"/>
      <c r="T148" s="400"/>
      <c r="U148" s="404"/>
      <c r="V148" s="400"/>
      <c r="W148" s="400"/>
      <c r="X148" s="400"/>
      <c r="Y148" s="400"/>
      <c r="Z148" s="410"/>
      <c r="AA148" s="400"/>
      <c r="AB148" s="400"/>
      <c r="AC148" s="400"/>
      <c r="AD148" s="400"/>
      <c r="AE148" s="406"/>
    </row>
    <row r="149" spans="1:31" x14ac:dyDescent="0.25">
      <c r="A149" s="399">
        <v>138</v>
      </c>
      <c r="B149" s="400"/>
      <c r="C149" s="400"/>
      <c r="D149" s="400"/>
      <c r="E149" s="400"/>
      <c r="F149" s="407"/>
      <c r="G149" s="400"/>
      <c r="H149" s="400"/>
      <c r="I149" s="400"/>
      <c r="J149" s="400"/>
      <c r="K149" s="408"/>
      <c r="L149" s="400"/>
      <c r="M149" s="400"/>
      <c r="N149" s="400"/>
      <c r="O149" s="400"/>
      <c r="P149" s="409"/>
      <c r="Q149" s="400"/>
      <c r="R149" s="400"/>
      <c r="S149" s="400"/>
      <c r="T149" s="400"/>
      <c r="U149" s="404"/>
      <c r="V149" s="400"/>
      <c r="W149" s="400"/>
      <c r="X149" s="400"/>
      <c r="Y149" s="400"/>
      <c r="Z149" s="410"/>
      <c r="AA149" s="400"/>
      <c r="AB149" s="400"/>
      <c r="AC149" s="400"/>
      <c r="AD149" s="400"/>
      <c r="AE149" s="406"/>
    </row>
    <row r="150" spans="1:31" x14ac:dyDescent="0.25">
      <c r="A150" s="399">
        <v>139</v>
      </c>
      <c r="B150" s="400"/>
      <c r="C150" s="400"/>
      <c r="D150" s="400"/>
      <c r="E150" s="400"/>
      <c r="F150" s="407"/>
      <c r="G150" s="400"/>
      <c r="H150" s="400"/>
      <c r="I150" s="400"/>
      <c r="J150" s="400"/>
      <c r="K150" s="408"/>
      <c r="L150" s="400"/>
      <c r="M150" s="400"/>
      <c r="N150" s="400"/>
      <c r="O150" s="400"/>
      <c r="P150" s="409"/>
      <c r="Q150" s="400"/>
      <c r="R150" s="400"/>
      <c r="S150" s="400"/>
      <c r="T150" s="400"/>
      <c r="U150" s="404"/>
      <c r="V150" s="400"/>
      <c r="W150" s="400"/>
      <c r="X150" s="400"/>
      <c r="Y150" s="400"/>
      <c r="Z150" s="410"/>
      <c r="AA150" s="400"/>
      <c r="AB150" s="400"/>
      <c r="AC150" s="400"/>
      <c r="AD150" s="400"/>
      <c r="AE150" s="406"/>
    </row>
    <row r="151" spans="1:31" x14ac:dyDescent="0.25">
      <c r="A151" s="399">
        <v>140</v>
      </c>
      <c r="B151" s="400"/>
      <c r="C151" s="400"/>
      <c r="D151" s="400"/>
      <c r="E151" s="400"/>
      <c r="F151" s="407"/>
      <c r="G151" s="400"/>
      <c r="H151" s="400"/>
      <c r="I151" s="400"/>
      <c r="J151" s="400"/>
      <c r="K151" s="408"/>
      <c r="L151" s="400"/>
      <c r="M151" s="400"/>
      <c r="N151" s="400"/>
      <c r="O151" s="400"/>
      <c r="P151" s="409"/>
      <c r="Q151" s="400"/>
      <c r="R151" s="400"/>
      <c r="S151" s="400"/>
      <c r="T151" s="400"/>
      <c r="U151" s="404"/>
      <c r="V151" s="400"/>
      <c r="W151" s="400"/>
      <c r="X151" s="400"/>
      <c r="Y151" s="400"/>
      <c r="Z151" s="410"/>
      <c r="AA151" s="400"/>
      <c r="AB151" s="400"/>
      <c r="AC151" s="400"/>
      <c r="AD151" s="400"/>
      <c r="AE151" s="406"/>
    </row>
    <row r="152" spans="1:31" x14ac:dyDescent="0.25">
      <c r="A152" s="399">
        <v>141</v>
      </c>
      <c r="B152" s="400"/>
      <c r="C152" s="400"/>
      <c r="D152" s="400"/>
      <c r="E152" s="400"/>
      <c r="F152" s="407"/>
      <c r="G152" s="400"/>
      <c r="H152" s="400"/>
      <c r="I152" s="400"/>
      <c r="J152" s="400"/>
      <c r="K152" s="408"/>
      <c r="L152" s="400"/>
      <c r="M152" s="400"/>
      <c r="N152" s="400"/>
      <c r="O152" s="400"/>
      <c r="P152" s="409"/>
      <c r="Q152" s="400"/>
      <c r="R152" s="400"/>
      <c r="S152" s="400"/>
      <c r="T152" s="400"/>
      <c r="U152" s="404"/>
      <c r="V152" s="400"/>
      <c r="W152" s="400"/>
      <c r="X152" s="400"/>
      <c r="Y152" s="400"/>
      <c r="Z152" s="410"/>
      <c r="AA152" s="400"/>
      <c r="AB152" s="400"/>
      <c r="AC152" s="400"/>
      <c r="AD152" s="400"/>
      <c r="AE152" s="406"/>
    </row>
    <row r="153" spans="1:31" x14ac:dyDescent="0.25">
      <c r="A153" s="399">
        <v>142</v>
      </c>
      <c r="B153" s="400"/>
      <c r="C153" s="400"/>
      <c r="D153" s="400"/>
      <c r="E153" s="400"/>
      <c r="F153" s="407"/>
      <c r="G153" s="400"/>
      <c r="H153" s="400"/>
      <c r="I153" s="400"/>
      <c r="J153" s="400"/>
      <c r="K153" s="408"/>
      <c r="L153" s="400"/>
      <c r="M153" s="400"/>
      <c r="N153" s="400"/>
      <c r="O153" s="400"/>
      <c r="P153" s="409"/>
      <c r="Q153" s="400"/>
      <c r="R153" s="400"/>
      <c r="S153" s="400"/>
      <c r="T153" s="400"/>
      <c r="U153" s="404"/>
      <c r="V153" s="400"/>
      <c r="W153" s="400"/>
      <c r="X153" s="400"/>
      <c r="Y153" s="400"/>
      <c r="Z153" s="410"/>
      <c r="AA153" s="400"/>
      <c r="AB153" s="400"/>
      <c r="AC153" s="400"/>
      <c r="AD153" s="400"/>
      <c r="AE153" s="406"/>
    </row>
    <row r="154" spans="1:31" x14ac:dyDescent="0.25">
      <c r="A154" s="399">
        <v>143</v>
      </c>
      <c r="B154" s="400"/>
      <c r="C154" s="400"/>
      <c r="D154" s="400"/>
      <c r="E154" s="400"/>
      <c r="F154" s="407"/>
      <c r="G154" s="400"/>
      <c r="H154" s="400"/>
      <c r="I154" s="400"/>
      <c r="J154" s="400"/>
      <c r="K154" s="408"/>
      <c r="L154" s="400"/>
      <c r="M154" s="400"/>
      <c r="N154" s="400"/>
      <c r="O154" s="400"/>
      <c r="P154" s="409"/>
      <c r="Q154" s="400"/>
      <c r="R154" s="400"/>
      <c r="S154" s="400"/>
      <c r="T154" s="400"/>
      <c r="U154" s="404"/>
      <c r="V154" s="400"/>
      <c r="W154" s="400"/>
      <c r="X154" s="400"/>
      <c r="Y154" s="400"/>
      <c r="Z154" s="410"/>
      <c r="AA154" s="400"/>
      <c r="AB154" s="400"/>
      <c r="AC154" s="400"/>
      <c r="AD154" s="400"/>
      <c r="AE154" s="406"/>
    </row>
    <row r="155" spans="1:31" x14ac:dyDescent="0.25">
      <c r="A155" s="399">
        <v>144</v>
      </c>
      <c r="B155" s="400"/>
      <c r="C155" s="400"/>
      <c r="D155" s="400"/>
      <c r="E155" s="400"/>
      <c r="F155" s="407"/>
      <c r="G155" s="400"/>
      <c r="H155" s="400"/>
      <c r="I155" s="400"/>
      <c r="J155" s="400"/>
      <c r="K155" s="408"/>
      <c r="L155" s="400"/>
      <c r="M155" s="400"/>
      <c r="N155" s="400"/>
      <c r="O155" s="400"/>
      <c r="P155" s="409"/>
      <c r="Q155" s="400"/>
      <c r="R155" s="400"/>
      <c r="S155" s="400"/>
      <c r="T155" s="400"/>
      <c r="U155" s="404"/>
      <c r="V155" s="400"/>
      <c r="W155" s="400"/>
      <c r="X155" s="400"/>
      <c r="Y155" s="400"/>
      <c r="Z155" s="410"/>
      <c r="AA155" s="400"/>
      <c r="AB155" s="400"/>
      <c r="AC155" s="400"/>
      <c r="AD155" s="400"/>
      <c r="AE155" s="406"/>
    </row>
    <row r="156" spans="1:31" x14ac:dyDescent="0.25">
      <c r="A156" s="399">
        <v>145</v>
      </c>
      <c r="B156" s="400"/>
      <c r="C156" s="400"/>
      <c r="D156" s="400"/>
      <c r="E156" s="400"/>
      <c r="F156" s="407"/>
      <c r="G156" s="400"/>
      <c r="H156" s="400"/>
      <c r="I156" s="400"/>
      <c r="J156" s="400"/>
      <c r="K156" s="408"/>
      <c r="L156" s="400"/>
      <c r="M156" s="400"/>
      <c r="N156" s="400"/>
      <c r="O156" s="400"/>
      <c r="P156" s="409"/>
      <c r="Q156" s="400"/>
      <c r="R156" s="400"/>
      <c r="S156" s="400"/>
      <c r="T156" s="400"/>
      <c r="U156" s="404"/>
      <c r="V156" s="400"/>
      <c r="W156" s="400"/>
      <c r="X156" s="400"/>
      <c r="Y156" s="400"/>
      <c r="Z156" s="410"/>
      <c r="AA156" s="400"/>
      <c r="AB156" s="400"/>
      <c r="AC156" s="400"/>
      <c r="AD156" s="400"/>
      <c r="AE156" s="406"/>
    </row>
    <row r="157" spans="1:31" x14ac:dyDescent="0.25">
      <c r="A157" s="399">
        <v>146</v>
      </c>
      <c r="B157" s="400"/>
      <c r="C157" s="400"/>
      <c r="D157" s="400"/>
      <c r="E157" s="400"/>
      <c r="F157" s="407"/>
      <c r="G157" s="400"/>
      <c r="H157" s="400"/>
      <c r="I157" s="400"/>
      <c r="J157" s="400"/>
      <c r="K157" s="408"/>
      <c r="L157" s="400"/>
      <c r="M157" s="400"/>
      <c r="N157" s="400"/>
      <c r="O157" s="400"/>
      <c r="P157" s="409"/>
      <c r="Q157" s="400"/>
      <c r="R157" s="400"/>
      <c r="S157" s="400"/>
      <c r="T157" s="400"/>
      <c r="U157" s="404"/>
      <c r="V157" s="400"/>
      <c r="W157" s="400"/>
      <c r="X157" s="400"/>
      <c r="Y157" s="400"/>
      <c r="Z157" s="410"/>
      <c r="AA157" s="400"/>
      <c r="AB157" s="400"/>
      <c r="AC157" s="400"/>
      <c r="AD157" s="400"/>
      <c r="AE157" s="406"/>
    </row>
    <row r="158" spans="1:31" x14ac:dyDescent="0.25">
      <c r="A158" s="399">
        <v>147</v>
      </c>
      <c r="B158" s="400"/>
      <c r="C158" s="400"/>
      <c r="D158" s="400"/>
      <c r="E158" s="400"/>
      <c r="F158" s="407"/>
      <c r="G158" s="400"/>
      <c r="H158" s="400"/>
      <c r="I158" s="400"/>
      <c r="J158" s="400"/>
      <c r="K158" s="408"/>
      <c r="L158" s="400"/>
      <c r="M158" s="400"/>
      <c r="N158" s="400"/>
      <c r="O158" s="400"/>
      <c r="P158" s="409"/>
      <c r="Q158" s="400"/>
      <c r="R158" s="400"/>
      <c r="S158" s="400"/>
      <c r="T158" s="400"/>
      <c r="U158" s="404"/>
      <c r="V158" s="400"/>
      <c r="W158" s="400"/>
      <c r="X158" s="400"/>
      <c r="Y158" s="400"/>
      <c r="Z158" s="410"/>
      <c r="AA158" s="400"/>
      <c r="AB158" s="400"/>
      <c r="AC158" s="400"/>
      <c r="AD158" s="400"/>
      <c r="AE158" s="406"/>
    </row>
    <row r="159" spans="1:31" x14ac:dyDescent="0.25">
      <c r="A159" s="399">
        <v>148</v>
      </c>
      <c r="B159" s="400"/>
      <c r="C159" s="400"/>
      <c r="D159" s="400"/>
      <c r="E159" s="400"/>
      <c r="F159" s="407"/>
      <c r="G159" s="400"/>
      <c r="H159" s="400"/>
      <c r="I159" s="400"/>
      <c r="J159" s="400"/>
      <c r="K159" s="408"/>
      <c r="L159" s="400"/>
      <c r="M159" s="400"/>
      <c r="N159" s="400"/>
      <c r="O159" s="400"/>
      <c r="P159" s="409"/>
      <c r="Q159" s="400"/>
      <c r="R159" s="400"/>
      <c r="S159" s="400"/>
      <c r="T159" s="400"/>
      <c r="U159" s="404"/>
      <c r="V159" s="400"/>
      <c r="W159" s="400"/>
      <c r="X159" s="400"/>
      <c r="Y159" s="400"/>
      <c r="Z159" s="410"/>
      <c r="AA159" s="400"/>
      <c r="AB159" s="400"/>
      <c r="AC159" s="400"/>
      <c r="AD159" s="400"/>
      <c r="AE159" s="406"/>
    </row>
    <row r="160" spans="1:31" x14ac:dyDescent="0.25">
      <c r="A160" s="399">
        <v>149</v>
      </c>
      <c r="B160" s="400"/>
      <c r="C160" s="400"/>
      <c r="D160" s="400"/>
      <c r="E160" s="400"/>
      <c r="F160" s="407"/>
      <c r="G160" s="400"/>
      <c r="H160" s="400"/>
      <c r="I160" s="400"/>
      <c r="J160" s="400"/>
      <c r="K160" s="408"/>
      <c r="L160" s="400"/>
      <c r="M160" s="400"/>
      <c r="N160" s="400"/>
      <c r="O160" s="400"/>
      <c r="P160" s="409"/>
      <c r="Q160" s="400"/>
      <c r="R160" s="400"/>
      <c r="S160" s="400"/>
      <c r="T160" s="400"/>
      <c r="U160" s="404"/>
      <c r="V160" s="400"/>
      <c r="W160" s="400"/>
      <c r="X160" s="400"/>
      <c r="Y160" s="400"/>
      <c r="Z160" s="410"/>
      <c r="AA160" s="400"/>
      <c r="AB160" s="400"/>
      <c r="AC160" s="400"/>
      <c r="AD160" s="400"/>
      <c r="AE160" s="406"/>
    </row>
    <row r="161" spans="1:31" x14ac:dyDescent="0.25">
      <c r="A161" s="399">
        <v>150</v>
      </c>
      <c r="B161" s="400"/>
      <c r="C161" s="400"/>
      <c r="D161" s="400"/>
      <c r="E161" s="400"/>
      <c r="F161" s="407"/>
      <c r="G161" s="400"/>
      <c r="H161" s="400"/>
      <c r="I161" s="400"/>
      <c r="J161" s="400"/>
      <c r="K161" s="408"/>
      <c r="L161" s="400"/>
      <c r="M161" s="400"/>
      <c r="N161" s="400"/>
      <c r="O161" s="400"/>
      <c r="P161" s="409"/>
      <c r="Q161" s="400"/>
      <c r="R161" s="400"/>
      <c r="S161" s="400"/>
      <c r="T161" s="400"/>
      <c r="U161" s="404"/>
      <c r="V161" s="400"/>
      <c r="W161" s="400"/>
      <c r="X161" s="400"/>
      <c r="Y161" s="400"/>
      <c r="Z161" s="410"/>
      <c r="AA161" s="400"/>
      <c r="AB161" s="400"/>
      <c r="AC161" s="400"/>
      <c r="AD161" s="400"/>
      <c r="AE161" s="406"/>
    </row>
    <row r="162" spans="1:31" x14ac:dyDescent="0.25">
      <c r="A162" s="399">
        <v>151</v>
      </c>
      <c r="B162" s="400"/>
      <c r="C162" s="400"/>
      <c r="D162" s="400"/>
      <c r="E162" s="400"/>
      <c r="F162" s="407"/>
      <c r="G162" s="400"/>
      <c r="H162" s="400"/>
      <c r="I162" s="400"/>
      <c r="J162" s="400"/>
      <c r="K162" s="408"/>
      <c r="L162" s="400"/>
      <c r="M162" s="400"/>
      <c r="N162" s="400"/>
      <c r="O162" s="400"/>
      <c r="P162" s="409"/>
      <c r="Q162" s="400"/>
      <c r="R162" s="400"/>
      <c r="S162" s="400"/>
      <c r="T162" s="400"/>
      <c r="U162" s="404"/>
      <c r="V162" s="400"/>
      <c r="W162" s="400"/>
      <c r="X162" s="400"/>
      <c r="Y162" s="400"/>
      <c r="Z162" s="410"/>
      <c r="AA162" s="400"/>
      <c r="AB162" s="400"/>
      <c r="AC162" s="400"/>
      <c r="AD162" s="400"/>
      <c r="AE162" s="406"/>
    </row>
    <row r="163" spans="1:31" x14ac:dyDescent="0.25">
      <c r="A163" s="399">
        <v>152</v>
      </c>
      <c r="B163" s="400"/>
      <c r="C163" s="400"/>
      <c r="D163" s="400"/>
      <c r="E163" s="400"/>
      <c r="F163" s="407"/>
      <c r="G163" s="400"/>
      <c r="H163" s="400"/>
      <c r="I163" s="400"/>
      <c r="J163" s="400"/>
      <c r="K163" s="408"/>
      <c r="L163" s="400"/>
      <c r="M163" s="400"/>
      <c r="N163" s="400"/>
      <c r="O163" s="400"/>
      <c r="P163" s="409"/>
      <c r="Q163" s="400"/>
      <c r="R163" s="400"/>
      <c r="S163" s="400"/>
      <c r="T163" s="400"/>
      <c r="U163" s="404"/>
      <c r="V163" s="400"/>
      <c r="W163" s="400"/>
      <c r="X163" s="400"/>
      <c r="Y163" s="400"/>
      <c r="Z163" s="410"/>
      <c r="AA163" s="400"/>
      <c r="AB163" s="400"/>
      <c r="AC163" s="400"/>
      <c r="AD163" s="400"/>
      <c r="AE163" s="406"/>
    </row>
    <row r="164" spans="1:31" x14ac:dyDescent="0.25">
      <c r="A164" s="399">
        <v>153</v>
      </c>
      <c r="B164" s="400"/>
      <c r="C164" s="400"/>
      <c r="D164" s="400"/>
      <c r="E164" s="400"/>
      <c r="F164" s="407"/>
      <c r="G164" s="400"/>
      <c r="H164" s="400"/>
      <c r="I164" s="400"/>
      <c r="J164" s="400"/>
      <c r="K164" s="408"/>
      <c r="L164" s="400"/>
      <c r="M164" s="400"/>
      <c r="N164" s="400"/>
      <c r="O164" s="400"/>
      <c r="P164" s="409"/>
      <c r="Q164" s="400"/>
      <c r="R164" s="400"/>
      <c r="S164" s="400"/>
      <c r="T164" s="400"/>
      <c r="U164" s="404"/>
      <c r="V164" s="400"/>
      <c r="W164" s="400"/>
      <c r="X164" s="400"/>
      <c r="Y164" s="400"/>
      <c r="Z164" s="410"/>
      <c r="AA164" s="400"/>
      <c r="AB164" s="400"/>
      <c r="AC164" s="400"/>
      <c r="AD164" s="400"/>
      <c r="AE164" s="406"/>
    </row>
    <row r="165" spans="1:31" x14ac:dyDescent="0.25">
      <c r="A165" s="399">
        <v>154</v>
      </c>
      <c r="B165" s="400"/>
      <c r="C165" s="400"/>
      <c r="D165" s="400"/>
      <c r="E165" s="400"/>
      <c r="F165" s="407"/>
      <c r="G165" s="400"/>
      <c r="H165" s="400"/>
      <c r="I165" s="400"/>
      <c r="J165" s="400"/>
      <c r="K165" s="408"/>
      <c r="L165" s="400"/>
      <c r="M165" s="400"/>
      <c r="N165" s="400"/>
      <c r="O165" s="400"/>
      <c r="P165" s="409"/>
      <c r="Q165" s="400"/>
      <c r="R165" s="400"/>
      <c r="S165" s="400"/>
      <c r="T165" s="400"/>
      <c r="U165" s="404"/>
      <c r="V165" s="400"/>
      <c r="W165" s="400"/>
      <c r="X165" s="400"/>
      <c r="Y165" s="400"/>
      <c r="Z165" s="410"/>
      <c r="AA165" s="400"/>
      <c r="AB165" s="400"/>
      <c r="AC165" s="400"/>
      <c r="AD165" s="400"/>
      <c r="AE165" s="406"/>
    </row>
    <row r="166" spans="1:31" x14ac:dyDescent="0.25">
      <c r="A166" s="399">
        <v>155</v>
      </c>
      <c r="B166" s="400"/>
      <c r="C166" s="400"/>
      <c r="D166" s="400"/>
      <c r="E166" s="400"/>
      <c r="F166" s="407"/>
      <c r="G166" s="400"/>
      <c r="H166" s="400"/>
      <c r="I166" s="400"/>
      <c r="J166" s="400"/>
      <c r="K166" s="408"/>
      <c r="L166" s="400"/>
      <c r="M166" s="400"/>
      <c r="N166" s="400"/>
      <c r="O166" s="400"/>
      <c r="P166" s="409"/>
      <c r="Q166" s="400"/>
      <c r="R166" s="400"/>
      <c r="S166" s="400"/>
      <c r="T166" s="400"/>
      <c r="U166" s="404"/>
      <c r="V166" s="400"/>
      <c r="W166" s="400"/>
      <c r="X166" s="400"/>
      <c r="Y166" s="400"/>
      <c r="Z166" s="410"/>
      <c r="AA166" s="400"/>
      <c r="AB166" s="400"/>
      <c r="AC166" s="400"/>
      <c r="AD166" s="400"/>
      <c r="AE166" s="406"/>
    </row>
    <row r="167" spans="1:31" x14ac:dyDescent="0.25">
      <c r="A167" s="399">
        <v>156</v>
      </c>
      <c r="B167" s="400"/>
      <c r="C167" s="400"/>
      <c r="D167" s="400"/>
      <c r="E167" s="400"/>
      <c r="F167" s="407"/>
      <c r="G167" s="400"/>
      <c r="H167" s="400"/>
      <c r="I167" s="400"/>
      <c r="J167" s="400"/>
      <c r="K167" s="408"/>
      <c r="L167" s="400"/>
      <c r="M167" s="400"/>
      <c r="N167" s="400"/>
      <c r="O167" s="400"/>
      <c r="P167" s="409"/>
      <c r="Q167" s="400"/>
      <c r="R167" s="400"/>
      <c r="S167" s="400"/>
      <c r="T167" s="400"/>
      <c r="U167" s="404"/>
      <c r="V167" s="400"/>
      <c r="W167" s="400"/>
      <c r="X167" s="400"/>
      <c r="Y167" s="400"/>
      <c r="Z167" s="410"/>
      <c r="AA167" s="400"/>
      <c r="AB167" s="400"/>
      <c r="AC167" s="400"/>
      <c r="AD167" s="400"/>
      <c r="AE167" s="406"/>
    </row>
    <row r="168" spans="1:31" x14ac:dyDescent="0.25">
      <c r="A168" s="399">
        <v>157</v>
      </c>
      <c r="B168" s="400"/>
      <c r="C168" s="400"/>
      <c r="D168" s="400"/>
      <c r="E168" s="400"/>
      <c r="F168" s="407"/>
      <c r="G168" s="400"/>
      <c r="H168" s="400"/>
      <c r="I168" s="400"/>
      <c r="J168" s="400"/>
      <c r="K168" s="408"/>
      <c r="L168" s="400"/>
      <c r="M168" s="400"/>
      <c r="N168" s="400"/>
      <c r="O168" s="400"/>
      <c r="P168" s="409"/>
      <c r="Q168" s="400"/>
      <c r="R168" s="400"/>
      <c r="S168" s="400"/>
      <c r="T168" s="400"/>
      <c r="U168" s="404"/>
      <c r="V168" s="400"/>
      <c r="W168" s="400"/>
      <c r="X168" s="400"/>
      <c r="Y168" s="400"/>
      <c r="Z168" s="410"/>
      <c r="AA168" s="400"/>
      <c r="AB168" s="400"/>
      <c r="AC168" s="400"/>
      <c r="AD168" s="400"/>
      <c r="AE168" s="406"/>
    </row>
    <row r="169" spans="1:31" x14ac:dyDescent="0.25">
      <c r="A169" s="399">
        <v>158</v>
      </c>
      <c r="B169" s="400"/>
      <c r="C169" s="400"/>
      <c r="D169" s="400"/>
      <c r="E169" s="400"/>
      <c r="F169" s="407"/>
      <c r="G169" s="400"/>
      <c r="H169" s="400"/>
      <c r="I169" s="400"/>
      <c r="J169" s="400"/>
      <c r="K169" s="408"/>
      <c r="L169" s="400"/>
      <c r="M169" s="400"/>
      <c r="N169" s="400"/>
      <c r="O169" s="400"/>
      <c r="P169" s="409"/>
      <c r="Q169" s="400"/>
      <c r="R169" s="400"/>
      <c r="S169" s="400"/>
      <c r="T169" s="400"/>
      <c r="U169" s="404"/>
      <c r="V169" s="400"/>
      <c r="W169" s="400"/>
      <c r="X169" s="400"/>
      <c r="Y169" s="400"/>
      <c r="Z169" s="410"/>
      <c r="AA169" s="400"/>
      <c r="AB169" s="400"/>
      <c r="AC169" s="400"/>
      <c r="AD169" s="400"/>
      <c r="AE169" s="406"/>
    </row>
    <row r="170" spans="1:31" x14ac:dyDescent="0.25">
      <c r="A170" s="399">
        <v>159</v>
      </c>
      <c r="B170" s="400"/>
      <c r="C170" s="400"/>
      <c r="D170" s="400"/>
      <c r="E170" s="400"/>
      <c r="F170" s="407"/>
      <c r="G170" s="400"/>
      <c r="H170" s="400"/>
      <c r="I170" s="400"/>
      <c r="J170" s="400"/>
      <c r="K170" s="408"/>
      <c r="L170" s="400"/>
      <c r="M170" s="400"/>
      <c r="N170" s="400"/>
      <c r="O170" s="400"/>
      <c r="P170" s="409"/>
      <c r="Q170" s="400"/>
      <c r="R170" s="400"/>
      <c r="S170" s="400"/>
      <c r="T170" s="400"/>
      <c r="U170" s="404"/>
      <c r="V170" s="400"/>
      <c r="W170" s="400"/>
      <c r="X170" s="400"/>
      <c r="Y170" s="400"/>
      <c r="Z170" s="410"/>
      <c r="AA170" s="400"/>
      <c r="AB170" s="400"/>
      <c r="AC170" s="400"/>
      <c r="AD170" s="400"/>
      <c r="AE170" s="406"/>
    </row>
    <row r="171" spans="1:31" x14ac:dyDescent="0.25">
      <c r="A171" s="399">
        <v>160</v>
      </c>
      <c r="B171" s="400"/>
      <c r="C171" s="400"/>
      <c r="D171" s="400"/>
      <c r="E171" s="400"/>
      <c r="F171" s="407"/>
      <c r="G171" s="400"/>
      <c r="H171" s="400"/>
      <c r="I171" s="400"/>
      <c r="J171" s="400"/>
      <c r="K171" s="408"/>
      <c r="L171" s="400"/>
      <c r="M171" s="400"/>
      <c r="N171" s="400"/>
      <c r="O171" s="400"/>
      <c r="P171" s="409"/>
      <c r="Q171" s="400"/>
      <c r="R171" s="400"/>
      <c r="S171" s="400"/>
      <c r="T171" s="400"/>
      <c r="U171" s="404"/>
      <c r="V171" s="400"/>
      <c r="W171" s="400"/>
      <c r="X171" s="400"/>
      <c r="Y171" s="400"/>
      <c r="Z171" s="410"/>
      <c r="AA171" s="400"/>
      <c r="AB171" s="400"/>
      <c r="AC171" s="400"/>
      <c r="AD171" s="400"/>
      <c r="AE171" s="406"/>
    </row>
    <row r="172" spans="1:31" x14ac:dyDescent="0.25">
      <c r="A172" s="399">
        <v>161</v>
      </c>
      <c r="B172" s="400"/>
      <c r="C172" s="400"/>
      <c r="D172" s="400"/>
      <c r="E172" s="400"/>
      <c r="F172" s="407"/>
      <c r="G172" s="400"/>
      <c r="H172" s="400"/>
      <c r="I172" s="400"/>
      <c r="J172" s="400"/>
      <c r="K172" s="408"/>
      <c r="L172" s="400"/>
      <c r="M172" s="400"/>
      <c r="N172" s="400"/>
      <c r="O172" s="400"/>
      <c r="P172" s="409"/>
      <c r="Q172" s="400"/>
      <c r="R172" s="400"/>
      <c r="S172" s="400"/>
      <c r="T172" s="400"/>
      <c r="U172" s="404"/>
      <c r="V172" s="400"/>
      <c r="W172" s="400"/>
      <c r="X172" s="400"/>
      <c r="Y172" s="400"/>
      <c r="Z172" s="410"/>
      <c r="AA172" s="400"/>
      <c r="AB172" s="400"/>
      <c r="AC172" s="400"/>
      <c r="AD172" s="400"/>
      <c r="AE172" s="406"/>
    </row>
    <row r="173" spans="1:31" x14ac:dyDescent="0.25">
      <c r="A173" s="399">
        <v>162</v>
      </c>
      <c r="B173" s="400"/>
      <c r="C173" s="400"/>
      <c r="D173" s="400"/>
      <c r="E173" s="400"/>
      <c r="F173" s="407"/>
      <c r="G173" s="400"/>
      <c r="H173" s="400"/>
      <c r="I173" s="400"/>
      <c r="J173" s="400"/>
      <c r="K173" s="408"/>
      <c r="L173" s="400"/>
      <c r="M173" s="400"/>
      <c r="N173" s="400"/>
      <c r="O173" s="400"/>
      <c r="P173" s="409"/>
      <c r="Q173" s="400"/>
      <c r="R173" s="400"/>
      <c r="S173" s="400"/>
      <c r="T173" s="400"/>
      <c r="U173" s="404"/>
      <c r="V173" s="400"/>
      <c r="W173" s="400"/>
      <c r="X173" s="400"/>
      <c r="Y173" s="400"/>
      <c r="Z173" s="410"/>
      <c r="AA173" s="400"/>
      <c r="AB173" s="400"/>
      <c r="AC173" s="400"/>
      <c r="AD173" s="400"/>
      <c r="AE173" s="406"/>
    </row>
    <row r="174" spans="1:31" x14ac:dyDescent="0.25">
      <c r="A174" s="399">
        <v>163</v>
      </c>
      <c r="B174" s="400"/>
      <c r="C174" s="400"/>
      <c r="D174" s="400"/>
      <c r="E174" s="400"/>
      <c r="F174" s="407"/>
      <c r="G174" s="400"/>
      <c r="H174" s="400"/>
      <c r="I174" s="400"/>
      <c r="J174" s="400"/>
      <c r="K174" s="408"/>
      <c r="L174" s="400"/>
      <c r="M174" s="400"/>
      <c r="N174" s="400"/>
      <c r="O174" s="400"/>
      <c r="P174" s="409"/>
      <c r="Q174" s="400"/>
      <c r="R174" s="400"/>
      <c r="S174" s="400"/>
      <c r="T174" s="400"/>
      <c r="U174" s="404"/>
      <c r="V174" s="400"/>
      <c r="W174" s="400"/>
      <c r="X174" s="400"/>
      <c r="Y174" s="400"/>
      <c r="Z174" s="410"/>
      <c r="AA174" s="400"/>
      <c r="AB174" s="400"/>
      <c r="AC174" s="400"/>
      <c r="AD174" s="400"/>
      <c r="AE174" s="406"/>
    </row>
    <row r="175" spans="1:31" x14ac:dyDescent="0.25">
      <c r="A175" s="399">
        <v>164</v>
      </c>
      <c r="B175" s="400"/>
      <c r="C175" s="400"/>
      <c r="D175" s="400"/>
      <c r="E175" s="400"/>
      <c r="F175" s="407"/>
      <c r="G175" s="400"/>
      <c r="H175" s="400"/>
      <c r="I175" s="400"/>
      <c r="J175" s="400"/>
      <c r="K175" s="408"/>
      <c r="L175" s="400"/>
      <c r="M175" s="400"/>
      <c r="N175" s="400"/>
      <c r="O175" s="400"/>
      <c r="P175" s="409"/>
      <c r="Q175" s="400"/>
      <c r="R175" s="400"/>
      <c r="S175" s="400"/>
      <c r="T175" s="400"/>
      <c r="U175" s="404"/>
      <c r="V175" s="400"/>
      <c r="W175" s="400"/>
      <c r="X175" s="400"/>
      <c r="Y175" s="400"/>
      <c r="Z175" s="410"/>
      <c r="AA175" s="400"/>
      <c r="AB175" s="400"/>
      <c r="AC175" s="400"/>
      <c r="AD175" s="400"/>
      <c r="AE175" s="406"/>
    </row>
    <row r="176" spans="1:31" x14ac:dyDescent="0.25">
      <c r="A176" s="399">
        <v>165</v>
      </c>
      <c r="B176" s="400"/>
      <c r="C176" s="400"/>
      <c r="D176" s="400"/>
      <c r="E176" s="400"/>
      <c r="F176" s="407"/>
      <c r="G176" s="400"/>
      <c r="H176" s="400"/>
      <c r="I176" s="400"/>
      <c r="J176" s="400"/>
      <c r="K176" s="408"/>
      <c r="L176" s="400"/>
      <c r="M176" s="400"/>
      <c r="N176" s="400"/>
      <c r="O176" s="400"/>
      <c r="P176" s="409"/>
      <c r="Q176" s="400"/>
      <c r="R176" s="400"/>
      <c r="S176" s="400"/>
      <c r="T176" s="400"/>
      <c r="U176" s="404"/>
      <c r="V176" s="400"/>
      <c r="W176" s="400"/>
      <c r="X176" s="400"/>
      <c r="Y176" s="400"/>
      <c r="Z176" s="410"/>
      <c r="AA176" s="400"/>
      <c r="AB176" s="400"/>
      <c r="AC176" s="400"/>
      <c r="AD176" s="400"/>
      <c r="AE176" s="406"/>
    </row>
    <row r="177" spans="1:31" x14ac:dyDescent="0.25">
      <c r="A177" s="399">
        <v>166</v>
      </c>
      <c r="B177" s="400"/>
      <c r="C177" s="400"/>
      <c r="D177" s="400"/>
      <c r="E177" s="400"/>
      <c r="F177" s="407"/>
      <c r="G177" s="400"/>
      <c r="H177" s="400"/>
      <c r="I177" s="400"/>
      <c r="J177" s="400"/>
      <c r="K177" s="408"/>
      <c r="L177" s="400"/>
      <c r="M177" s="400"/>
      <c r="N177" s="400"/>
      <c r="O177" s="400"/>
      <c r="P177" s="409"/>
      <c r="Q177" s="400"/>
      <c r="R177" s="400"/>
      <c r="S177" s="400"/>
      <c r="T177" s="400"/>
      <c r="U177" s="404"/>
      <c r="V177" s="400"/>
      <c r="W177" s="400"/>
      <c r="X177" s="400"/>
      <c r="Y177" s="400"/>
      <c r="Z177" s="410"/>
      <c r="AA177" s="400"/>
      <c r="AB177" s="400"/>
      <c r="AC177" s="400"/>
      <c r="AD177" s="400"/>
      <c r="AE177" s="406"/>
    </row>
    <row r="178" spans="1:31" x14ac:dyDescent="0.25">
      <c r="A178" s="399">
        <v>167</v>
      </c>
      <c r="B178" s="400"/>
      <c r="C178" s="400"/>
      <c r="D178" s="400"/>
      <c r="E178" s="400"/>
      <c r="F178" s="407"/>
      <c r="G178" s="400"/>
      <c r="H178" s="400"/>
      <c r="I178" s="400"/>
      <c r="J178" s="400"/>
      <c r="K178" s="408"/>
      <c r="L178" s="400"/>
      <c r="M178" s="400"/>
      <c r="N178" s="400"/>
      <c r="O178" s="400"/>
      <c r="P178" s="409"/>
      <c r="Q178" s="400"/>
      <c r="R178" s="400"/>
      <c r="S178" s="400"/>
      <c r="T178" s="400"/>
      <c r="U178" s="404"/>
      <c r="V178" s="400"/>
      <c r="W178" s="400"/>
      <c r="X178" s="400"/>
      <c r="Y178" s="400"/>
      <c r="Z178" s="410"/>
      <c r="AA178" s="400"/>
      <c r="AB178" s="400"/>
      <c r="AC178" s="400"/>
      <c r="AD178" s="400"/>
      <c r="AE178" s="406"/>
    </row>
    <row r="179" spans="1:31" x14ac:dyDescent="0.25">
      <c r="A179" s="399">
        <v>168</v>
      </c>
      <c r="B179" s="400"/>
      <c r="C179" s="400"/>
      <c r="D179" s="400"/>
      <c r="E179" s="400"/>
      <c r="F179" s="407"/>
      <c r="G179" s="400"/>
      <c r="H179" s="400"/>
      <c r="I179" s="400"/>
      <c r="J179" s="400"/>
      <c r="K179" s="408"/>
      <c r="L179" s="400"/>
      <c r="M179" s="400"/>
      <c r="N179" s="400"/>
      <c r="O179" s="400"/>
      <c r="P179" s="409"/>
      <c r="Q179" s="400"/>
      <c r="R179" s="400"/>
      <c r="S179" s="400"/>
      <c r="T179" s="400"/>
      <c r="U179" s="404"/>
      <c r="V179" s="400"/>
      <c r="W179" s="400"/>
      <c r="X179" s="400"/>
      <c r="Y179" s="400"/>
      <c r="Z179" s="410"/>
      <c r="AA179" s="400"/>
      <c r="AB179" s="400"/>
      <c r="AC179" s="400"/>
      <c r="AD179" s="400"/>
      <c r="AE179" s="406"/>
    </row>
    <row r="180" spans="1:31" x14ac:dyDescent="0.25">
      <c r="A180" s="399">
        <v>169</v>
      </c>
      <c r="B180" s="400"/>
      <c r="C180" s="400"/>
      <c r="D180" s="400"/>
      <c r="E180" s="400"/>
      <c r="F180" s="407"/>
      <c r="G180" s="400"/>
      <c r="H180" s="400"/>
      <c r="I180" s="400"/>
      <c r="J180" s="400"/>
      <c r="K180" s="408"/>
      <c r="L180" s="400"/>
      <c r="M180" s="400"/>
      <c r="N180" s="400"/>
      <c r="O180" s="400"/>
      <c r="P180" s="409"/>
      <c r="Q180" s="400"/>
      <c r="R180" s="400"/>
      <c r="S180" s="400"/>
      <c r="T180" s="400"/>
      <c r="U180" s="404"/>
      <c r="V180" s="400"/>
      <c r="W180" s="400"/>
      <c r="X180" s="400"/>
      <c r="Y180" s="400"/>
      <c r="Z180" s="410"/>
      <c r="AA180" s="400"/>
      <c r="AB180" s="400"/>
      <c r="AC180" s="400"/>
      <c r="AD180" s="400"/>
      <c r="AE180" s="406"/>
    </row>
    <row r="181" spans="1:31" x14ac:dyDescent="0.25">
      <c r="A181" s="399">
        <v>170</v>
      </c>
      <c r="B181" s="400"/>
      <c r="C181" s="400"/>
      <c r="D181" s="400"/>
      <c r="E181" s="400"/>
      <c r="F181" s="407"/>
      <c r="G181" s="400"/>
      <c r="H181" s="400"/>
      <c r="I181" s="400"/>
      <c r="J181" s="400"/>
      <c r="K181" s="408"/>
      <c r="L181" s="400"/>
      <c r="M181" s="400"/>
      <c r="N181" s="400"/>
      <c r="O181" s="400"/>
      <c r="P181" s="409"/>
      <c r="Q181" s="400"/>
      <c r="R181" s="400"/>
      <c r="S181" s="400"/>
      <c r="T181" s="400"/>
      <c r="U181" s="404"/>
      <c r="V181" s="400"/>
      <c r="W181" s="400"/>
      <c r="X181" s="400"/>
      <c r="Y181" s="400"/>
      <c r="Z181" s="410"/>
      <c r="AA181" s="400"/>
      <c r="AB181" s="400"/>
      <c r="AC181" s="400"/>
      <c r="AD181" s="400"/>
      <c r="AE181" s="406"/>
    </row>
    <row r="182" spans="1:31" x14ac:dyDescent="0.25">
      <c r="A182" s="399">
        <v>171</v>
      </c>
      <c r="B182" s="400"/>
      <c r="C182" s="400"/>
      <c r="D182" s="400"/>
      <c r="E182" s="400"/>
      <c r="F182" s="407"/>
      <c r="G182" s="400"/>
      <c r="H182" s="400"/>
      <c r="I182" s="400"/>
      <c r="J182" s="400"/>
      <c r="K182" s="408"/>
      <c r="L182" s="400"/>
      <c r="M182" s="400"/>
      <c r="N182" s="400"/>
      <c r="O182" s="400"/>
      <c r="P182" s="409"/>
      <c r="Q182" s="400"/>
      <c r="R182" s="400"/>
      <c r="S182" s="400"/>
      <c r="T182" s="400"/>
      <c r="U182" s="404"/>
      <c r="V182" s="400"/>
      <c r="W182" s="400"/>
      <c r="X182" s="400"/>
      <c r="Y182" s="400"/>
      <c r="Z182" s="410"/>
      <c r="AA182" s="400"/>
      <c r="AB182" s="400"/>
      <c r="AC182" s="400"/>
      <c r="AD182" s="400"/>
      <c r="AE182" s="406"/>
    </row>
    <row r="183" spans="1:31" x14ac:dyDescent="0.25">
      <c r="A183" s="399">
        <v>172</v>
      </c>
      <c r="B183" s="400"/>
      <c r="C183" s="400"/>
      <c r="D183" s="400"/>
      <c r="E183" s="400"/>
      <c r="F183" s="407"/>
      <c r="G183" s="400"/>
      <c r="H183" s="400"/>
      <c r="I183" s="400"/>
      <c r="J183" s="400"/>
      <c r="K183" s="408"/>
      <c r="L183" s="400"/>
      <c r="M183" s="400"/>
      <c r="N183" s="400"/>
      <c r="O183" s="400"/>
      <c r="P183" s="409"/>
      <c r="Q183" s="400"/>
      <c r="R183" s="400"/>
      <c r="S183" s="400"/>
      <c r="T183" s="400"/>
      <c r="U183" s="404"/>
      <c r="V183" s="400"/>
      <c r="W183" s="400"/>
      <c r="X183" s="400"/>
      <c r="Y183" s="400"/>
      <c r="Z183" s="410"/>
      <c r="AA183" s="400"/>
      <c r="AB183" s="400"/>
      <c r="AC183" s="400"/>
      <c r="AD183" s="400"/>
      <c r="AE183" s="406"/>
    </row>
    <row r="184" spans="1:31" x14ac:dyDescent="0.25">
      <c r="A184" s="399">
        <v>173</v>
      </c>
      <c r="B184" s="400"/>
      <c r="C184" s="400"/>
      <c r="D184" s="400"/>
      <c r="E184" s="400"/>
      <c r="F184" s="407"/>
      <c r="G184" s="400"/>
      <c r="H184" s="400"/>
      <c r="I184" s="400"/>
      <c r="J184" s="400"/>
      <c r="K184" s="408"/>
      <c r="L184" s="400"/>
      <c r="M184" s="400"/>
      <c r="N184" s="400"/>
      <c r="O184" s="400"/>
      <c r="P184" s="409"/>
      <c r="Q184" s="400"/>
      <c r="R184" s="400"/>
      <c r="S184" s="400"/>
      <c r="T184" s="400"/>
      <c r="U184" s="404"/>
      <c r="V184" s="400"/>
      <c r="W184" s="400"/>
      <c r="X184" s="400"/>
      <c r="Y184" s="400"/>
      <c r="Z184" s="410"/>
      <c r="AA184" s="400"/>
      <c r="AB184" s="400"/>
      <c r="AC184" s="400"/>
      <c r="AD184" s="400"/>
      <c r="AE184" s="406"/>
    </row>
    <row r="185" spans="1:31" x14ac:dyDescent="0.25">
      <c r="A185" s="399">
        <v>174</v>
      </c>
      <c r="B185" s="400"/>
      <c r="C185" s="400"/>
      <c r="D185" s="400"/>
      <c r="E185" s="400"/>
      <c r="F185" s="407"/>
      <c r="G185" s="400"/>
      <c r="H185" s="400"/>
      <c r="I185" s="400"/>
      <c r="J185" s="400"/>
      <c r="K185" s="408"/>
      <c r="L185" s="400"/>
      <c r="M185" s="400"/>
      <c r="N185" s="400"/>
      <c r="O185" s="400"/>
      <c r="P185" s="409"/>
      <c r="Q185" s="400"/>
      <c r="R185" s="400"/>
      <c r="S185" s="400"/>
      <c r="T185" s="400"/>
      <c r="U185" s="404"/>
      <c r="V185" s="400"/>
      <c r="W185" s="400"/>
      <c r="X185" s="400"/>
      <c r="Y185" s="400"/>
      <c r="Z185" s="410"/>
      <c r="AA185" s="400"/>
      <c r="AB185" s="400"/>
      <c r="AC185" s="400"/>
      <c r="AD185" s="400"/>
      <c r="AE185" s="406"/>
    </row>
    <row r="186" spans="1:31" x14ac:dyDescent="0.25">
      <c r="A186" s="399">
        <v>175</v>
      </c>
      <c r="B186" s="400"/>
      <c r="C186" s="400"/>
      <c r="D186" s="400"/>
      <c r="E186" s="400"/>
      <c r="F186" s="407"/>
      <c r="G186" s="400"/>
      <c r="H186" s="400"/>
      <c r="I186" s="400"/>
      <c r="J186" s="400"/>
      <c r="K186" s="408"/>
      <c r="L186" s="400"/>
      <c r="M186" s="400"/>
      <c r="N186" s="400"/>
      <c r="O186" s="400"/>
      <c r="P186" s="409"/>
      <c r="Q186" s="400"/>
      <c r="R186" s="400"/>
      <c r="S186" s="400"/>
      <c r="T186" s="400"/>
      <c r="U186" s="404"/>
      <c r="V186" s="400"/>
      <c r="W186" s="400"/>
      <c r="X186" s="400"/>
      <c r="Y186" s="400"/>
      <c r="Z186" s="410"/>
      <c r="AA186" s="400"/>
      <c r="AB186" s="400"/>
      <c r="AC186" s="400"/>
      <c r="AD186" s="400"/>
      <c r="AE186" s="406"/>
    </row>
    <row r="187" spans="1:31" x14ac:dyDescent="0.25">
      <c r="A187" s="399">
        <v>176</v>
      </c>
      <c r="B187" s="400"/>
      <c r="C187" s="400"/>
      <c r="D187" s="400"/>
      <c r="E187" s="400"/>
      <c r="F187" s="407"/>
      <c r="G187" s="400"/>
      <c r="H187" s="400"/>
      <c r="I187" s="400"/>
      <c r="J187" s="400"/>
      <c r="K187" s="408"/>
      <c r="L187" s="400"/>
      <c r="M187" s="400"/>
      <c r="N187" s="400"/>
      <c r="O187" s="400"/>
      <c r="P187" s="409"/>
      <c r="Q187" s="400"/>
      <c r="R187" s="400"/>
      <c r="S187" s="400"/>
      <c r="T187" s="400"/>
      <c r="U187" s="404"/>
      <c r="V187" s="400"/>
      <c r="W187" s="400"/>
      <c r="X187" s="400"/>
      <c r="Y187" s="400"/>
      <c r="Z187" s="410"/>
      <c r="AA187" s="400"/>
      <c r="AB187" s="400"/>
      <c r="AC187" s="400"/>
      <c r="AD187" s="400"/>
      <c r="AE187" s="406"/>
    </row>
    <row r="188" spans="1:31" x14ac:dyDescent="0.25">
      <c r="A188" s="399">
        <v>177</v>
      </c>
      <c r="B188" s="400"/>
      <c r="C188" s="400"/>
      <c r="D188" s="400"/>
      <c r="E188" s="400"/>
      <c r="F188" s="407"/>
      <c r="G188" s="400"/>
      <c r="H188" s="400"/>
      <c r="I188" s="400"/>
      <c r="J188" s="400"/>
      <c r="K188" s="408"/>
      <c r="L188" s="400"/>
      <c r="M188" s="400"/>
      <c r="N188" s="400"/>
      <c r="O188" s="400"/>
      <c r="P188" s="409"/>
      <c r="Q188" s="400"/>
      <c r="R188" s="400"/>
      <c r="S188" s="400"/>
      <c r="T188" s="400"/>
      <c r="U188" s="404"/>
      <c r="V188" s="400"/>
      <c r="W188" s="400"/>
      <c r="X188" s="400"/>
      <c r="Y188" s="400"/>
      <c r="Z188" s="410"/>
      <c r="AA188" s="400"/>
      <c r="AB188" s="400"/>
      <c r="AC188" s="400"/>
      <c r="AD188" s="400"/>
      <c r="AE188" s="406"/>
    </row>
    <row r="189" spans="1:31" x14ac:dyDescent="0.25">
      <c r="A189" s="399">
        <v>178</v>
      </c>
      <c r="B189" s="400"/>
      <c r="C189" s="400"/>
      <c r="D189" s="400"/>
      <c r="E189" s="400"/>
      <c r="F189" s="407"/>
      <c r="G189" s="400"/>
      <c r="H189" s="400"/>
      <c r="I189" s="400"/>
      <c r="J189" s="400"/>
      <c r="K189" s="408"/>
      <c r="L189" s="400"/>
      <c r="M189" s="400"/>
      <c r="N189" s="400"/>
      <c r="O189" s="400"/>
      <c r="P189" s="409"/>
      <c r="Q189" s="400"/>
      <c r="R189" s="400"/>
      <c r="S189" s="400"/>
      <c r="T189" s="400"/>
      <c r="U189" s="404"/>
      <c r="V189" s="400"/>
      <c r="W189" s="400"/>
      <c r="X189" s="400"/>
      <c r="Y189" s="400"/>
      <c r="Z189" s="410"/>
      <c r="AA189" s="400"/>
      <c r="AB189" s="400"/>
      <c r="AC189" s="400"/>
      <c r="AD189" s="400"/>
      <c r="AE189" s="406"/>
    </row>
    <row r="190" spans="1:31" x14ac:dyDescent="0.25">
      <c r="A190" s="399">
        <v>179</v>
      </c>
      <c r="B190" s="400"/>
      <c r="C190" s="400"/>
      <c r="D190" s="400"/>
      <c r="E190" s="400"/>
      <c r="F190" s="407"/>
      <c r="G190" s="400"/>
      <c r="H190" s="400"/>
      <c r="I190" s="400"/>
      <c r="J190" s="400"/>
      <c r="K190" s="408"/>
      <c r="L190" s="400"/>
      <c r="M190" s="400"/>
      <c r="N190" s="400"/>
      <c r="O190" s="400"/>
      <c r="P190" s="409"/>
      <c r="Q190" s="400"/>
      <c r="R190" s="400"/>
      <c r="S190" s="400"/>
      <c r="T190" s="400"/>
      <c r="U190" s="404"/>
      <c r="V190" s="400"/>
      <c r="W190" s="400"/>
      <c r="X190" s="400"/>
      <c r="Y190" s="400"/>
      <c r="Z190" s="410"/>
      <c r="AA190" s="400"/>
      <c r="AB190" s="400"/>
      <c r="AC190" s="400"/>
      <c r="AD190" s="400"/>
      <c r="AE190" s="406"/>
    </row>
    <row r="191" spans="1:31" x14ac:dyDescent="0.25">
      <c r="A191" s="399">
        <v>180</v>
      </c>
      <c r="B191" s="400"/>
      <c r="C191" s="400"/>
      <c r="D191" s="400"/>
      <c r="E191" s="400"/>
      <c r="F191" s="407"/>
      <c r="G191" s="400"/>
      <c r="H191" s="400"/>
      <c r="I191" s="400"/>
      <c r="J191" s="400"/>
      <c r="K191" s="408"/>
      <c r="L191" s="400"/>
      <c r="M191" s="400"/>
      <c r="N191" s="400"/>
      <c r="O191" s="400"/>
      <c r="P191" s="409"/>
      <c r="Q191" s="400"/>
      <c r="R191" s="400"/>
      <c r="S191" s="400"/>
      <c r="T191" s="400"/>
      <c r="U191" s="404"/>
      <c r="V191" s="400"/>
      <c r="W191" s="400"/>
      <c r="X191" s="400"/>
      <c r="Y191" s="400"/>
      <c r="Z191" s="410"/>
      <c r="AA191" s="400"/>
      <c r="AB191" s="400"/>
      <c r="AC191" s="400"/>
      <c r="AD191" s="400"/>
      <c r="AE191" s="406"/>
    </row>
    <row r="192" spans="1:31" x14ac:dyDescent="0.25">
      <c r="A192" s="399">
        <v>181</v>
      </c>
      <c r="B192" s="400"/>
      <c r="C192" s="400"/>
      <c r="D192" s="400"/>
      <c r="E192" s="400"/>
      <c r="F192" s="407"/>
      <c r="G192" s="400"/>
      <c r="H192" s="400"/>
      <c r="I192" s="400"/>
      <c r="J192" s="400"/>
      <c r="K192" s="408"/>
      <c r="L192" s="400"/>
      <c r="M192" s="400"/>
      <c r="N192" s="400"/>
      <c r="O192" s="400"/>
      <c r="P192" s="409"/>
      <c r="Q192" s="400"/>
      <c r="R192" s="400"/>
      <c r="S192" s="400"/>
      <c r="T192" s="400"/>
      <c r="U192" s="404"/>
      <c r="V192" s="400"/>
      <c r="W192" s="400"/>
      <c r="X192" s="400"/>
      <c r="Y192" s="400"/>
      <c r="Z192" s="410"/>
      <c r="AA192" s="400"/>
      <c r="AB192" s="400"/>
      <c r="AC192" s="400"/>
      <c r="AD192" s="400"/>
      <c r="AE192" s="406"/>
    </row>
    <row r="193" spans="1:31" x14ac:dyDescent="0.25">
      <c r="A193" s="399">
        <v>182</v>
      </c>
      <c r="B193" s="400"/>
      <c r="C193" s="400"/>
      <c r="D193" s="400"/>
      <c r="E193" s="400"/>
      <c r="F193" s="407"/>
      <c r="G193" s="400"/>
      <c r="H193" s="400"/>
      <c r="I193" s="400"/>
      <c r="J193" s="400"/>
      <c r="K193" s="408"/>
      <c r="L193" s="400"/>
      <c r="M193" s="400"/>
      <c r="N193" s="400"/>
      <c r="O193" s="400"/>
      <c r="P193" s="409"/>
      <c r="Q193" s="400"/>
      <c r="R193" s="400"/>
      <c r="S193" s="400"/>
      <c r="T193" s="400"/>
      <c r="U193" s="404"/>
      <c r="V193" s="400"/>
      <c r="W193" s="400"/>
      <c r="X193" s="400"/>
      <c r="Y193" s="400"/>
      <c r="Z193" s="410"/>
      <c r="AA193" s="400"/>
      <c r="AB193" s="400"/>
      <c r="AC193" s="400"/>
      <c r="AD193" s="400"/>
      <c r="AE193" s="406"/>
    </row>
    <row r="194" spans="1:31" x14ac:dyDescent="0.25">
      <c r="A194" s="399">
        <v>183</v>
      </c>
      <c r="B194" s="400"/>
      <c r="C194" s="400"/>
      <c r="D194" s="400"/>
      <c r="E194" s="400"/>
      <c r="F194" s="407"/>
      <c r="G194" s="400"/>
      <c r="H194" s="400"/>
      <c r="I194" s="400"/>
      <c r="J194" s="400"/>
      <c r="K194" s="408"/>
      <c r="L194" s="400"/>
      <c r="M194" s="400"/>
      <c r="N194" s="400"/>
      <c r="O194" s="400"/>
      <c r="P194" s="409"/>
      <c r="Q194" s="400"/>
      <c r="R194" s="400"/>
      <c r="S194" s="400"/>
      <c r="T194" s="400"/>
      <c r="U194" s="404"/>
      <c r="V194" s="400"/>
      <c r="W194" s="400"/>
      <c r="X194" s="400"/>
      <c r="Y194" s="400"/>
      <c r="Z194" s="410"/>
      <c r="AA194" s="400"/>
      <c r="AB194" s="400"/>
      <c r="AC194" s="400"/>
      <c r="AD194" s="400"/>
      <c r="AE194" s="406"/>
    </row>
    <row r="195" spans="1:31" x14ac:dyDescent="0.25">
      <c r="A195" s="399">
        <v>184</v>
      </c>
      <c r="B195" s="400"/>
      <c r="C195" s="400"/>
      <c r="D195" s="400"/>
      <c r="E195" s="400"/>
      <c r="F195" s="407"/>
      <c r="G195" s="400"/>
      <c r="H195" s="400"/>
      <c r="I195" s="400"/>
      <c r="J195" s="400"/>
      <c r="K195" s="408"/>
      <c r="L195" s="400"/>
      <c r="M195" s="400"/>
      <c r="N195" s="400"/>
      <c r="O195" s="400"/>
      <c r="P195" s="409"/>
      <c r="Q195" s="400"/>
      <c r="R195" s="400"/>
      <c r="S195" s="400"/>
      <c r="T195" s="400"/>
      <c r="U195" s="404"/>
      <c r="V195" s="400"/>
      <c r="W195" s="400"/>
      <c r="X195" s="400"/>
      <c r="Y195" s="400"/>
      <c r="Z195" s="410"/>
      <c r="AA195" s="400"/>
      <c r="AB195" s="400"/>
      <c r="AC195" s="400"/>
      <c r="AD195" s="400"/>
      <c r="AE195" s="406"/>
    </row>
    <row r="196" spans="1:31" x14ac:dyDescent="0.25">
      <c r="A196" s="399">
        <v>185</v>
      </c>
      <c r="B196" s="400"/>
      <c r="C196" s="400"/>
      <c r="D196" s="400"/>
      <c r="E196" s="400"/>
      <c r="F196" s="407"/>
      <c r="G196" s="400"/>
      <c r="H196" s="400"/>
      <c r="I196" s="400"/>
      <c r="J196" s="400"/>
      <c r="K196" s="408"/>
      <c r="L196" s="400"/>
      <c r="M196" s="400"/>
      <c r="N196" s="400"/>
      <c r="O196" s="400"/>
      <c r="P196" s="409"/>
      <c r="Q196" s="400"/>
      <c r="R196" s="400"/>
      <c r="S196" s="400"/>
      <c r="T196" s="400"/>
      <c r="U196" s="404"/>
      <c r="V196" s="400"/>
      <c r="W196" s="400"/>
      <c r="X196" s="400"/>
      <c r="Y196" s="400"/>
      <c r="Z196" s="410"/>
      <c r="AA196" s="400"/>
      <c r="AB196" s="400"/>
      <c r="AC196" s="400"/>
      <c r="AD196" s="400"/>
      <c r="AE196" s="406"/>
    </row>
    <row r="197" spans="1:31" x14ac:dyDescent="0.25">
      <c r="A197" s="399">
        <v>186</v>
      </c>
      <c r="B197" s="400"/>
      <c r="C197" s="400"/>
      <c r="D197" s="400"/>
      <c r="E197" s="400"/>
      <c r="F197" s="407"/>
      <c r="G197" s="400"/>
      <c r="H197" s="400"/>
      <c r="I197" s="400"/>
      <c r="J197" s="400"/>
      <c r="K197" s="408"/>
      <c r="L197" s="400"/>
      <c r="M197" s="400"/>
      <c r="N197" s="400"/>
      <c r="O197" s="400"/>
      <c r="P197" s="409"/>
      <c r="Q197" s="400"/>
      <c r="R197" s="400"/>
      <c r="S197" s="400"/>
      <c r="T197" s="400"/>
      <c r="U197" s="404"/>
      <c r="V197" s="400"/>
      <c r="W197" s="400"/>
      <c r="X197" s="400"/>
      <c r="Y197" s="400"/>
      <c r="Z197" s="410"/>
      <c r="AA197" s="400"/>
      <c r="AB197" s="400"/>
      <c r="AC197" s="400"/>
      <c r="AD197" s="400"/>
      <c r="AE197" s="406"/>
    </row>
    <row r="198" spans="1:31" x14ac:dyDescent="0.25">
      <c r="A198" s="399">
        <v>187</v>
      </c>
      <c r="B198" s="400"/>
      <c r="C198" s="400"/>
      <c r="D198" s="400"/>
      <c r="E198" s="400"/>
      <c r="F198" s="407"/>
      <c r="G198" s="400"/>
      <c r="H198" s="400"/>
      <c r="I198" s="400"/>
      <c r="J198" s="400"/>
      <c r="K198" s="408"/>
      <c r="L198" s="400"/>
      <c r="M198" s="400"/>
      <c r="N198" s="400"/>
      <c r="O198" s="400"/>
      <c r="P198" s="409"/>
      <c r="Q198" s="400"/>
      <c r="R198" s="400"/>
      <c r="S198" s="400"/>
      <c r="T198" s="400"/>
      <c r="U198" s="404"/>
      <c r="V198" s="400"/>
      <c r="W198" s="400"/>
      <c r="X198" s="400"/>
      <c r="Y198" s="400"/>
      <c r="Z198" s="410"/>
      <c r="AA198" s="400"/>
      <c r="AB198" s="400"/>
      <c r="AC198" s="400"/>
      <c r="AD198" s="400"/>
      <c r="AE198" s="406"/>
    </row>
    <row r="199" spans="1:31" x14ac:dyDescent="0.25">
      <c r="A199" s="399">
        <v>188</v>
      </c>
      <c r="B199" s="400"/>
      <c r="C199" s="400"/>
      <c r="D199" s="400"/>
      <c r="E199" s="400"/>
      <c r="F199" s="407"/>
      <c r="G199" s="400"/>
      <c r="H199" s="400"/>
      <c r="I199" s="400"/>
      <c r="J199" s="400"/>
      <c r="K199" s="408"/>
      <c r="L199" s="400"/>
      <c r="M199" s="400"/>
      <c r="N199" s="400"/>
      <c r="O199" s="400"/>
      <c r="P199" s="409"/>
      <c r="Q199" s="400"/>
      <c r="R199" s="400"/>
      <c r="S199" s="400"/>
      <c r="T199" s="400"/>
      <c r="U199" s="404"/>
      <c r="V199" s="400"/>
      <c r="W199" s="400"/>
      <c r="X199" s="400"/>
      <c r="Y199" s="400"/>
      <c r="Z199" s="410"/>
      <c r="AA199" s="400"/>
      <c r="AB199" s="400"/>
      <c r="AC199" s="400"/>
      <c r="AD199" s="400"/>
      <c r="AE199" s="406"/>
    </row>
    <row r="200" spans="1:31" x14ac:dyDescent="0.25">
      <c r="A200" s="399">
        <v>189</v>
      </c>
      <c r="B200" s="400"/>
      <c r="C200" s="400"/>
      <c r="D200" s="400"/>
      <c r="E200" s="400"/>
      <c r="F200" s="407"/>
      <c r="G200" s="400"/>
      <c r="H200" s="400"/>
      <c r="I200" s="400"/>
      <c r="J200" s="400"/>
      <c r="K200" s="408"/>
      <c r="L200" s="400"/>
      <c r="M200" s="400"/>
      <c r="N200" s="400"/>
      <c r="O200" s="400"/>
      <c r="P200" s="409"/>
      <c r="Q200" s="400"/>
      <c r="R200" s="400"/>
      <c r="S200" s="400"/>
      <c r="T200" s="400"/>
      <c r="U200" s="404"/>
      <c r="V200" s="400"/>
      <c r="W200" s="400"/>
      <c r="X200" s="400"/>
      <c r="Y200" s="400"/>
      <c r="Z200" s="410"/>
      <c r="AA200" s="400"/>
      <c r="AB200" s="400"/>
      <c r="AC200" s="400"/>
      <c r="AD200" s="400"/>
      <c r="AE200" s="406"/>
    </row>
    <row r="201" spans="1:31" x14ac:dyDescent="0.25">
      <c r="A201" s="399">
        <v>190</v>
      </c>
      <c r="B201" s="400"/>
      <c r="C201" s="400"/>
      <c r="D201" s="400"/>
      <c r="E201" s="400"/>
      <c r="F201" s="407"/>
      <c r="G201" s="400"/>
      <c r="H201" s="400"/>
      <c r="I201" s="400"/>
      <c r="J201" s="400"/>
      <c r="K201" s="408"/>
      <c r="L201" s="400"/>
      <c r="M201" s="400"/>
      <c r="N201" s="400"/>
      <c r="O201" s="400"/>
      <c r="P201" s="409"/>
      <c r="Q201" s="400"/>
      <c r="R201" s="400"/>
      <c r="S201" s="400"/>
      <c r="T201" s="400"/>
      <c r="U201" s="404"/>
      <c r="V201" s="400"/>
      <c r="W201" s="400"/>
      <c r="X201" s="400"/>
      <c r="Y201" s="400"/>
      <c r="Z201" s="410"/>
      <c r="AA201" s="400"/>
      <c r="AB201" s="400"/>
      <c r="AC201" s="400"/>
      <c r="AD201" s="400"/>
      <c r="AE201" s="406"/>
    </row>
    <row r="202" spans="1:31" x14ac:dyDescent="0.25">
      <c r="A202" s="399">
        <v>191</v>
      </c>
      <c r="B202" s="400"/>
      <c r="C202" s="400"/>
      <c r="D202" s="400"/>
      <c r="E202" s="400"/>
      <c r="F202" s="407"/>
      <c r="G202" s="400"/>
      <c r="H202" s="400"/>
      <c r="I202" s="400"/>
      <c r="J202" s="400"/>
      <c r="K202" s="408"/>
      <c r="L202" s="400"/>
      <c r="M202" s="400"/>
      <c r="N202" s="400"/>
      <c r="O202" s="400"/>
      <c r="P202" s="409"/>
      <c r="Q202" s="400"/>
      <c r="R202" s="400"/>
      <c r="S202" s="400"/>
      <c r="T202" s="400"/>
      <c r="U202" s="404"/>
      <c r="V202" s="400"/>
      <c r="W202" s="400"/>
      <c r="X202" s="400"/>
      <c r="Y202" s="400"/>
      <c r="Z202" s="410"/>
      <c r="AA202" s="400"/>
      <c r="AB202" s="400"/>
      <c r="AC202" s="400"/>
      <c r="AD202" s="400"/>
      <c r="AE202" s="406"/>
    </row>
    <row r="203" spans="1:31" x14ac:dyDescent="0.25">
      <c r="A203" s="399">
        <v>192</v>
      </c>
      <c r="B203" s="400"/>
      <c r="C203" s="400"/>
      <c r="D203" s="400"/>
      <c r="E203" s="400"/>
      <c r="F203" s="407"/>
      <c r="G203" s="400"/>
      <c r="H203" s="400"/>
      <c r="I203" s="400"/>
      <c r="J203" s="400"/>
      <c r="K203" s="408"/>
      <c r="L203" s="400"/>
      <c r="M203" s="400"/>
      <c r="N203" s="400"/>
      <c r="O203" s="400"/>
      <c r="P203" s="409"/>
      <c r="Q203" s="400"/>
      <c r="R203" s="400"/>
      <c r="S203" s="400"/>
      <c r="T203" s="400"/>
      <c r="U203" s="404"/>
      <c r="V203" s="400"/>
      <c r="W203" s="400"/>
      <c r="X203" s="400"/>
      <c r="Y203" s="400"/>
      <c r="Z203" s="410"/>
      <c r="AA203" s="400"/>
      <c r="AB203" s="400"/>
      <c r="AC203" s="400"/>
      <c r="AD203" s="400"/>
      <c r="AE203" s="406"/>
    </row>
    <row r="204" spans="1:31" x14ac:dyDescent="0.25">
      <c r="A204" s="399">
        <v>193</v>
      </c>
      <c r="B204" s="400"/>
      <c r="C204" s="400"/>
      <c r="D204" s="400"/>
      <c r="E204" s="400"/>
      <c r="F204" s="407"/>
      <c r="G204" s="400"/>
      <c r="H204" s="400"/>
      <c r="I204" s="400"/>
      <c r="J204" s="400"/>
      <c r="K204" s="408"/>
      <c r="L204" s="400"/>
      <c r="M204" s="400"/>
      <c r="N204" s="400"/>
      <c r="O204" s="400"/>
      <c r="P204" s="409"/>
      <c r="Q204" s="400"/>
      <c r="R204" s="400"/>
      <c r="S204" s="400"/>
      <c r="T204" s="400"/>
      <c r="U204" s="404"/>
      <c r="V204" s="400"/>
      <c r="W204" s="400"/>
      <c r="X204" s="400"/>
      <c r="Y204" s="400"/>
      <c r="Z204" s="410"/>
      <c r="AA204" s="400"/>
      <c r="AB204" s="400"/>
      <c r="AC204" s="400"/>
      <c r="AD204" s="400"/>
      <c r="AE204" s="406"/>
    </row>
    <row r="205" spans="1:31" x14ac:dyDescent="0.25">
      <c r="A205" s="399">
        <v>194</v>
      </c>
      <c r="B205" s="400"/>
      <c r="C205" s="400"/>
      <c r="D205" s="400"/>
      <c r="E205" s="400"/>
      <c r="F205" s="407"/>
      <c r="G205" s="400"/>
      <c r="H205" s="400"/>
      <c r="I205" s="400"/>
      <c r="J205" s="400"/>
      <c r="K205" s="408"/>
      <c r="L205" s="400"/>
      <c r="M205" s="400"/>
      <c r="N205" s="400"/>
      <c r="O205" s="400"/>
      <c r="P205" s="409"/>
      <c r="Q205" s="400"/>
      <c r="R205" s="400"/>
      <c r="S205" s="400"/>
      <c r="T205" s="400"/>
      <c r="U205" s="404"/>
      <c r="V205" s="400"/>
      <c r="W205" s="400"/>
      <c r="X205" s="400"/>
      <c r="Y205" s="400"/>
      <c r="Z205" s="410"/>
      <c r="AA205" s="400"/>
      <c r="AB205" s="400"/>
      <c r="AC205" s="400"/>
      <c r="AD205" s="400"/>
      <c r="AE205" s="406"/>
    </row>
    <row r="206" spans="1:31" x14ac:dyDescent="0.25">
      <c r="A206" s="399">
        <v>195</v>
      </c>
      <c r="B206" s="400"/>
      <c r="C206" s="400"/>
      <c r="D206" s="400"/>
      <c r="E206" s="400"/>
      <c r="F206" s="407"/>
      <c r="G206" s="400"/>
      <c r="H206" s="400"/>
      <c r="I206" s="400"/>
      <c r="J206" s="400"/>
      <c r="K206" s="408"/>
      <c r="L206" s="400"/>
      <c r="M206" s="400"/>
      <c r="N206" s="400"/>
      <c r="O206" s="400"/>
      <c r="P206" s="409"/>
      <c r="Q206" s="400"/>
      <c r="R206" s="400"/>
      <c r="S206" s="400"/>
      <c r="T206" s="400"/>
      <c r="U206" s="404"/>
      <c r="V206" s="400"/>
      <c r="W206" s="400"/>
      <c r="X206" s="400"/>
      <c r="Y206" s="400"/>
      <c r="Z206" s="410"/>
      <c r="AA206" s="400"/>
      <c r="AB206" s="400"/>
      <c r="AC206" s="400"/>
      <c r="AD206" s="400"/>
      <c r="AE206" s="406"/>
    </row>
    <row r="207" spans="1:31" x14ac:dyDescent="0.25">
      <c r="A207" s="399">
        <v>196</v>
      </c>
      <c r="B207" s="400"/>
      <c r="C207" s="400"/>
      <c r="D207" s="400"/>
      <c r="E207" s="400"/>
      <c r="F207" s="407"/>
      <c r="G207" s="400"/>
      <c r="H207" s="400"/>
      <c r="I207" s="400"/>
      <c r="J207" s="400"/>
      <c r="K207" s="408"/>
      <c r="L207" s="400"/>
      <c r="M207" s="400"/>
      <c r="N207" s="400"/>
      <c r="O207" s="400"/>
      <c r="P207" s="409"/>
      <c r="Q207" s="400"/>
      <c r="R207" s="400"/>
      <c r="S207" s="400"/>
      <c r="T207" s="400"/>
      <c r="U207" s="404"/>
      <c r="V207" s="400"/>
      <c r="W207" s="400"/>
      <c r="X207" s="400"/>
      <c r="Y207" s="400"/>
      <c r="Z207" s="410"/>
      <c r="AA207" s="400"/>
      <c r="AB207" s="400"/>
      <c r="AC207" s="400"/>
      <c r="AD207" s="400"/>
      <c r="AE207" s="406"/>
    </row>
    <row r="208" spans="1:31" x14ac:dyDescent="0.25">
      <c r="A208" s="399">
        <v>197</v>
      </c>
      <c r="B208" s="400"/>
      <c r="C208" s="400"/>
      <c r="D208" s="400"/>
      <c r="E208" s="400"/>
      <c r="F208" s="407"/>
      <c r="G208" s="400"/>
      <c r="H208" s="400"/>
      <c r="I208" s="400"/>
      <c r="J208" s="400"/>
      <c r="K208" s="408"/>
      <c r="L208" s="400"/>
      <c r="M208" s="400"/>
      <c r="N208" s="400"/>
      <c r="O208" s="400"/>
      <c r="P208" s="409"/>
      <c r="Q208" s="400"/>
      <c r="R208" s="400"/>
      <c r="S208" s="400"/>
      <c r="T208" s="400"/>
      <c r="U208" s="404"/>
      <c r="V208" s="400"/>
      <c r="W208" s="400"/>
      <c r="X208" s="400"/>
      <c r="Y208" s="400"/>
      <c r="Z208" s="410"/>
      <c r="AA208" s="400"/>
      <c r="AB208" s="400"/>
      <c r="AC208" s="400"/>
      <c r="AD208" s="400"/>
      <c r="AE208" s="406"/>
    </row>
    <row r="209" spans="1:31" x14ac:dyDescent="0.25">
      <c r="A209" s="399">
        <v>198</v>
      </c>
      <c r="B209" s="400"/>
      <c r="C209" s="400"/>
      <c r="D209" s="400"/>
      <c r="E209" s="400"/>
      <c r="F209" s="407"/>
      <c r="G209" s="400"/>
      <c r="H209" s="400"/>
      <c r="I209" s="400"/>
      <c r="J209" s="400"/>
      <c r="K209" s="408"/>
      <c r="L209" s="400"/>
      <c r="M209" s="400"/>
      <c r="N209" s="400"/>
      <c r="O209" s="400"/>
      <c r="P209" s="409"/>
      <c r="Q209" s="400"/>
      <c r="R209" s="400"/>
      <c r="S209" s="400"/>
      <c r="T209" s="400"/>
      <c r="U209" s="404"/>
      <c r="V209" s="400"/>
      <c r="W209" s="400"/>
      <c r="X209" s="400"/>
      <c r="Y209" s="400"/>
      <c r="Z209" s="410"/>
      <c r="AA209" s="400"/>
      <c r="AB209" s="400"/>
      <c r="AC209" s="400"/>
      <c r="AD209" s="400"/>
      <c r="AE209" s="406"/>
    </row>
    <row r="210" spans="1:31" x14ac:dyDescent="0.25">
      <c r="A210" s="399">
        <v>199</v>
      </c>
      <c r="B210" s="400"/>
      <c r="C210" s="400"/>
      <c r="D210" s="400"/>
      <c r="E210" s="400"/>
      <c r="F210" s="407"/>
      <c r="G210" s="400"/>
      <c r="H210" s="400"/>
      <c r="I210" s="400"/>
      <c r="J210" s="400"/>
      <c r="K210" s="408"/>
      <c r="L210" s="400"/>
      <c r="M210" s="400"/>
      <c r="N210" s="400"/>
      <c r="O210" s="400"/>
      <c r="P210" s="409"/>
      <c r="Q210" s="400"/>
      <c r="R210" s="400"/>
      <c r="S210" s="400"/>
      <c r="T210" s="400"/>
      <c r="U210" s="404"/>
      <c r="V210" s="400"/>
      <c r="W210" s="400"/>
      <c r="X210" s="400"/>
      <c r="Y210" s="400"/>
      <c r="Z210" s="410"/>
      <c r="AA210" s="400"/>
      <c r="AB210" s="400"/>
      <c r="AC210" s="400"/>
      <c r="AD210" s="400"/>
      <c r="AE210" s="406"/>
    </row>
    <row r="211" spans="1:31" x14ac:dyDescent="0.25">
      <c r="A211" s="399">
        <v>200</v>
      </c>
      <c r="B211" s="400"/>
      <c r="C211" s="400"/>
      <c r="D211" s="400"/>
      <c r="E211" s="400"/>
      <c r="F211" s="407"/>
      <c r="G211" s="400"/>
      <c r="H211" s="400"/>
      <c r="I211" s="400"/>
      <c r="J211" s="400"/>
      <c r="K211" s="408"/>
      <c r="L211" s="400"/>
      <c r="M211" s="400"/>
      <c r="N211" s="400"/>
      <c r="O211" s="400"/>
      <c r="P211" s="409"/>
      <c r="Q211" s="400"/>
      <c r="R211" s="400"/>
      <c r="S211" s="400"/>
      <c r="T211" s="400"/>
      <c r="U211" s="404"/>
      <c r="V211" s="400"/>
      <c r="W211" s="400"/>
      <c r="X211" s="400"/>
      <c r="Y211" s="400"/>
      <c r="Z211" s="410"/>
      <c r="AA211" s="400"/>
      <c r="AB211" s="400"/>
      <c r="AC211" s="400"/>
      <c r="AD211" s="400"/>
      <c r="AE211" s="406"/>
    </row>
    <row r="212" spans="1:31" x14ac:dyDescent="0.25">
      <c r="A212" s="399">
        <v>201</v>
      </c>
      <c r="B212" s="400"/>
      <c r="C212" s="400"/>
      <c r="D212" s="400"/>
      <c r="E212" s="400"/>
      <c r="F212" s="407"/>
      <c r="G212" s="400"/>
      <c r="H212" s="400"/>
      <c r="I212" s="400"/>
      <c r="J212" s="400"/>
      <c r="K212" s="408"/>
      <c r="L212" s="400"/>
      <c r="M212" s="400"/>
      <c r="N212" s="400"/>
      <c r="O212" s="400"/>
      <c r="P212" s="409"/>
      <c r="Q212" s="400"/>
      <c r="R212" s="400"/>
      <c r="S212" s="400"/>
      <c r="T212" s="400"/>
      <c r="U212" s="404"/>
      <c r="V212" s="400"/>
      <c r="W212" s="400"/>
      <c r="X212" s="400"/>
      <c r="Y212" s="400"/>
      <c r="Z212" s="410"/>
      <c r="AA212" s="400"/>
      <c r="AB212" s="400"/>
      <c r="AC212" s="400"/>
      <c r="AD212" s="400"/>
      <c r="AE212" s="406"/>
    </row>
    <row r="213" spans="1:31" x14ac:dyDescent="0.25">
      <c r="A213" s="399">
        <v>202</v>
      </c>
      <c r="B213" s="400"/>
      <c r="C213" s="400"/>
      <c r="D213" s="400"/>
      <c r="E213" s="400"/>
      <c r="F213" s="407"/>
      <c r="G213" s="400"/>
      <c r="H213" s="400"/>
      <c r="I213" s="400"/>
      <c r="J213" s="400"/>
      <c r="K213" s="408"/>
      <c r="L213" s="400"/>
      <c r="M213" s="400"/>
      <c r="N213" s="400"/>
      <c r="O213" s="400"/>
      <c r="P213" s="409"/>
      <c r="Q213" s="400"/>
      <c r="R213" s="400"/>
      <c r="S213" s="400"/>
      <c r="T213" s="400"/>
      <c r="U213" s="404"/>
      <c r="V213" s="400"/>
      <c r="W213" s="400"/>
      <c r="X213" s="400"/>
      <c r="Y213" s="400"/>
      <c r="Z213" s="410"/>
      <c r="AA213" s="400"/>
      <c r="AB213" s="400"/>
      <c r="AC213" s="400"/>
      <c r="AD213" s="400"/>
      <c r="AE213" s="406"/>
    </row>
    <row r="214" spans="1:31" x14ac:dyDescent="0.25">
      <c r="A214" s="399">
        <v>203</v>
      </c>
      <c r="B214" s="400"/>
      <c r="C214" s="400"/>
      <c r="D214" s="400"/>
      <c r="E214" s="400"/>
      <c r="F214" s="407"/>
      <c r="G214" s="400"/>
      <c r="H214" s="400"/>
      <c r="I214" s="400"/>
      <c r="J214" s="400"/>
      <c r="K214" s="408"/>
      <c r="L214" s="400"/>
      <c r="M214" s="400"/>
      <c r="N214" s="400"/>
      <c r="O214" s="400"/>
      <c r="P214" s="409"/>
      <c r="Q214" s="400"/>
      <c r="R214" s="400"/>
      <c r="S214" s="400"/>
      <c r="T214" s="400"/>
      <c r="U214" s="404"/>
      <c r="V214" s="400"/>
      <c r="W214" s="400"/>
      <c r="X214" s="400"/>
      <c r="Y214" s="400"/>
      <c r="Z214" s="410"/>
      <c r="AA214" s="400"/>
      <c r="AB214" s="400"/>
      <c r="AC214" s="400"/>
      <c r="AD214" s="400"/>
      <c r="AE214" s="406"/>
    </row>
    <row r="215" spans="1:31" x14ac:dyDescent="0.25">
      <c r="A215" s="399">
        <v>204</v>
      </c>
      <c r="B215" s="400"/>
      <c r="C215" s="400"/>
      <c r="D215" s="400"/>
      <c r="E215" s="400"/>
      <c r="F215" s="407"/>
      <c r="G215" s="400"/>
      <c r="H215" s="400"/>
      <c r="I215" s="400"/>
      <c r="J215" s="400"/>
      <c r="K215" s="408"/>
      <c r="L215" s="400"/>
      <c r="M215" s="400"/>
      <c r="N215" s="400"/>
      <c r="O215" s="400"/>
      <c r="P215" s="409"/>
      <c r="Q215" s="400"/>
      <c r="R215" s="400"/>
      <c r="S215" s="400"/>
      <c r="T215" s="400"/>
      <c r="U215" s="404"/>
      <c r="V215" s="400"/>
      <c r="W215" s="400"/>
      <c r="X215" s="400"/>
      <c r="Y215" s="400"/>
      <c r="Z215" s="410"/>
      <c r="AA215" s="400"/>
      <c r="AB215" s="400"/>
      <c r="AC215" s="400"/>
      <c r="AD215" s="400"/>
      <c r="AE215" s="406"/>
    </row>
    <row r="216" spans="1:31" x14ac:dyDescent="0.25">
      <c r="A216" s="399">
        <v>205</v>
      </c>
      <c r="B216" s="400"/>
      <c r="C216" s="400"/>
      <c r="D216" s="400"/>
      <c r="E216" s="400"/>
      <c r="F216" s="407"/>
      <c r="G216" s="400"/>
      <c r="H216" s="400"/>
      <c r="I216" s="400"/>
      <c r="J216" s="400"/>
      <c r="K216" s="408"/>
      <c r="L216" s="400"/>
      <c r="M216" s="400"/>
      <c r="N216" s="400"/>
      <c r="O216" s="400"/>
      <c r="P216" s="409"/>
      <c r="Q216" s="400"/>
      <c r="R216" s="400"/>
      <c r="S216" s="400"/>
      <c r="T216" s="400"/>
      <c r="U216" s="404"/>
      <c r="V216" s="400"/>
      <c r="W216" s="400"/>
      <c r="X216" s="400"/>
      <c r="Y216" s="400"/>
      <c r="Z216" s="410"/>
      <c r="AA216" s="400"/>
      <c r="AB216" s="400"/>
      <c r="AC216" s="400"/>
      <c r="AD216" s="400"/>
      <c r="AE216" s="406"/>
    </row>
    <row r="217" spans="1:31" x14ac:dyDescent="0.25">
      <c r="A217" s="399">
        <v>206</v>
      </c>
      <c r="B217" s="400"/>
      <c r="C217" s="400"/>
      <c r="D217" s="400"/>
      <c r="E217" s="400"/>
      <c r="F217" s="407"/>
      <c r="G217" s="400"/>
      <c r="H217" s="400"/>
      <c r="I217" s="400"/>
      <c r="J217" s="400"/>
      <c r="K217" s="408"/>
      <c r="L217" s="400"/>
      <c r="M217" s="400"/>
      <c r="N217" s="400"/>
      <c r="O217" s="400"/>
      <c r="P217" s="409"/>
      <c r="Q217" s="400"/>
      <c r="R217" s="400"/>
      <c r="S217" s="400"/>
      <c r="T217" s="400"/>
      <c r="U217" s="404"/>
      <c r="V217" s="400"/>
      <c r="W217" s="400"/>
      <c r="X217" s="400"/>
      <c r="Y217" s="400"/>
      <c r="Z217" s="410"/>
      <c r="AA217" s="400"/>
      <c r="AB217" s="400"/>
      <c r="AC217" s="400"/>
      <c r="AD217" s="400"/>
      <c r="AE217" s="406"/>
    </row>
    <row r="218" spans="1:31" x14ac:dyDescent="0.25">
      <c r="A218" s="399">
        <v>207</v>
      </c>
      <c r="B218" s="400"/>
      <c r="C218" s="400"/>
      <c r="D218" s="400"/>
      <c r="E218" s="400"/>
      <c r="F218" s="407"/>
      <c r="G218" s="400"/>
      <c r="H218" s="400"/>
      <c r="I218" s="400"/>
      <c r="J218" s="400"/>
      <c r="K218" s="408"/>
      <c r="L218" s="400"/>
      <c r="M218" s="400"/>
      <c r="N218" s="400"/>
      <c r="O218" s="400"/>
      <c r="P218" s="409"/>
      <c r="Q218" s="400"/>
      <c r="R218" s="400"/>
      <c r="S218" s="400"/>
      <c r="T218" s="400"/>
      <c r="U218" s="404"/>
      <c r="V218" s="400"/>
      <c r="W218" s="400"/>
      <c r="X218" s="400"/>
      <c r="Y218" s="400"/>
      <c r="Z218" s="410"/>
      <c r="AA218" s="400"/>
      <c r="AB218" s="400"/>
      <c r="AC218" s="400"/>
      <c r="AD218" s="400"/>
      <c r="AE218" s="406"/>
    </row>
    <row r="219" spans="1:31" x14ac:dyDescent="0.25">
      <c r="A219" s="399">
        <v>208</v>
      </c>
      <c r="B219" s="400"/>
      <c r="C219" s="400"/>
      <c r="D219" s="400"/>
      <c r="E219" s="400"/>
      <c r="F219" s="407"/>
      <c r="G219" s="400"/>
      <c r="H219" s="400"/>
      <c r="I219" s="400"/>
      <c r="J219" s="400"/>
      <c r="K219" s="408"/>
      <c r="L219" s="400"/>
      <c r="M219" s="400"/>
      <c r="N219" s="400"/>
      <c r="O219" s="400"/>
      <c r="P219" s="409"/>
      <c r="Q219" s="400"/>
      <c r="R219" s="400"/>
      <c r="S219" s="400"/>
      <c r="T219" s="400"/>
      <c r="U219" s="404"/>
      <c r="V219" s="400"/>
      <c r="W219" s="400"/>
      <c r="X219" s="400"/>
      <c r="Y219" s="400"/>
      <c r="Z219" s="410"/>
      <c r="AA219" s="400"/>
      <c r="AB219" s="400"/>
      <c r="AC219" s="400"/>
      <c r="AD219" s="400"/>
      <c r="AE219" s="406"/>
    </row>
    <row r="220" spans="1:31" x14ac:dyDescent="0.25">
      <c r="A220" s="399">
        <v>209</v>
      </c>
      <c r="B220" s="400"/>
      <c r="C220" s="400"/>
      <c r="D220" s="400"/>
      <c r="E220" s="400"/>
      <c r="F220" s="407"/>
      <c r="G220" s="400"/>
      <c r="H220" s="400"/>
      <c r="I220" s="400"/>
      <c r="J220" s="400"/>
      <c r="K220" s="408"/>
      <c r="L220" s="400"/>
      <c r="M220" s="400"/>
      <c r="N220" s="400"/>
      <c r="O220" s="400"/>
      <c r="P220" s="409"/>
      <c r="Q220" s="400"/>
      <c r="R220" s="400"/>
      <c r="S220" s="400"/>
      <c r="T220" s="400"/>
      <c r="U220" s="404"/>
      <c r="V220" s="400"/>
      <c r="W220" s="400"/>
      <c r="X220" s="400"/>
      <c r="Y220" s="400"/>
      <c r="Z220" s="410"/>
      <c r="AA220" s="400"/>
      <c r="AB220" s="400"/>
      <c r="AC220" s="400"/>
      <c r="AD220" s="400"/>
      <c r="AE220" s="406"/>
    </row>
    <row r="221" spans="1:31" x14ac:dyDescent="0.25">
      <c r="A221" s="399">
        <v>210</v>
      </c>
      <c r="B221" s="400"/>
      <c r="C221" s="400"/>
      <c r="D221" s="400"/>
      <c r="E221" s="400"/>
      <c r="F221" s="407"/>
      <c r="G221" s="400"/>
      <c r="H221" s="400"/>
      <c r="I221" s="400"/>
      <c r="J221" s="400"/>
      <c r="K221" s="408"/>
      <c r="L221" s="400"/>
      <c r="M221" s="400"/>
      <c r="N221" s="400"/>
      <c r="O221" s="400"/>
      <c r="P221" s="409"/>
      <c r="Q221" s="400"/>
      <c r="R221" s="400"/>
      <c r="S221" s="400"/>
      <c r="T221" s="400"/>
      <c r="U221" s="404"/>
      <c r="V221" s="400"/>
      <c r="W221" s="400"/>
      <c r="X221" s="400"/>
      <c r="Y221" s="400"/>
      <c r="Z221" s="410"/>
      <c r="AA221" s="400"/>
      <c r="AB221" s="400"/>
      <c r="AC221" s="400"/>
      <c r="AD221" s="400"/>
      <c r="AE221" s="406"/>
    </row>
    <row r="222" spans="1:31" x14ac:dyDescent="0.25">
      <c r="A222" s="399">
        <v>211</v>
      </c>
      <c r="B222" s="400"/>
      <c r="C222" s="400"/>
      <c r="D222" s="400"/>
      <c r="E222" s="400"/>
      <c r="F222" s="407"/>
      <c r="G222" s="400"/>
      <c r="H222" s="400"/>
      <c r="I222" s="400"/>
      <c r="J222" s="400"/>
      <c r="K222" s="408"/>
      <c r="L222" s="400"/>
      <c r="M222" s="400"/>
      <c r="N222" s="400"/>
      <c r="O222" s="400"/>
      <c r="P222" s="409"/>
      <c r="Q222" s="400"/>
      <c r="R222" s="400"/>
      <c r="S222" s="400"/>
      <c r="T222" s="400"/>
      <c r="U222" s="404"/>
      <c r="V222" s="400"/>
      <c r="W222" s="400"/>
      <c r="X222" s="400"/>
      <c r="Y222" s="400"/>
      <c r="Z222" s="410"/>
      <c r="AA222" s="400"/>
      <c r="AB222" s="400"/>
      <c r="AC222" s="400"/>
      <c r="AD222" s="400"/>
      <c r="AE222" s="406"/>
    </row>
    <row r="223" spans="1:31" x14ac:dyDescent="0.25">
      <c r="A223" s="399">
        <v>212</v>
      </c>
      <c r="B223" s="400"/>
      <c r="C223" s="400"/>
      <c r="D223" s="400"/>
      <c r="E223" s="400"/>
      <c r="F223" s="407"/>
      <c r="G223" s="400"/>
      <c r="H223" s="400"/>
      <c r="I223" s="400"/>
      <c r="J223" s="400"/>
      <c r="K223" s="408"/>
      <c r="L223" s="400"/>
      <c r="M223" s="400"/>
      <c r="N223" s="400"/>
      <c r="O223" s="400"/>
      <c r="P223" s="409"/>
      <c r="Q223" s="400"/>
      <c r="R223" s="400"/>
      <c r="S223" s="400"/>
      <c r="T223" s="400"/>
      <c r="U223" s="404"/>
      <c r="V223" s="400"/>
      <c r="W223" s="400"/>
      <c r="X223" s="400"/>
      <c r="Y223" s="400"/>
      <c r="Z223" s="410"/>
      <c r="AA223" s="400"/>
      <c r="AB223" s="400"/>
      <c r="AC223" s="400"/>
      <c r="AD223" s="400"/>
      <c r="AE223" s="406"/>
    </row>
    <row r="224" spans="1:31" x14ac:dyDescent="0.25">
      <c r="A224" s="399">
        <v>213</v>
      </c>
      <c r="B224" s="400"/>
      <c r="C224" s="400"/>
      <c r="D224" s="400"/>
      <c r="E224" s="400"/>
      <c r="F224" s="407"/>
      <c r="G224" s="400"/>
      <c r="H224" s="400"/>
      <c r="I224" s="400"/>
      <c r="J224" s="400"/>
      <c r="K224" s="408"/>
      <c r="L224" s="400"/>
      <c r="M224" s="400"/>
      <c r="N224" s="400"/>
      <c r="O224" s="400"/>
      <c r="P224" s="409"/>
      <c r="Q224" s="400"/>
      <c r="R224" s="400"/>
      <c r="S224" s="400"/>
      <c r="T224" s="400"/>
      <c r="U224" s="404"/>
      <c r="V224" s="400"/>
      <c r="W224" s="400"/>
      <c r="X224" s="400"/>
      <c r="Y224" s="400"/>
      <c r="Z224" s="410"/>
      <c r="AA224" s="400"/>
      <c r="AB224" s="400"/>
      <c r="AC224" s="400"/>
      <c r="AD224" s="400"/>
      <c r="AE224" s="406"/>
    </row>
    <row r="225" spans="1:31" x14ac:dyDescent="0.25">
      <c r="A225" s="399">
        <v>214</v>
      </c>
      <c r="B225" s="400"/>
      <c r="C225" s="400"/>
      <c r="D225" s="400"/>
      <c r="E225" s="400"/>
      <c r="F225" s="407"/>
      <c r="G225" s="400"/>
      <c r="H225" s="400"/>
      <c r="I225" s="400"/>
      <c r="J225" s="400"/>
      <c r="K225" s="408"/>
      <c r="L225" s="400"/>
      <c r="M225" s="400"/>
      <c r="N225" s="400"/>
      <c r="O225" s="400"/>
      <c r="P225" s="409"/>
      <c r="Q225" s="400"/>
      <c r="R225" s="400"/>
      <c r="S225" s="400"/>
      <c r="T225" s="400"/>
      <c r="U225" s="404"/>
      <c r="V225" s="400"/>
      <c r="W225" s="400"/>
      <c r="X225" s="400"/>
      <c r="Y225" s="400"/>
      <c r="Z225" s="410"/>
      <c r="AA225" s="400"/>
      <c r="AB225" s="400"/>
      <c r="AC225" s="400"/>
      <c r="AD225" s="400"/>
      <c r="AE225" s="406"/>
    </row>
    <row r="226" spans="1:31" x14ac:dyDescent="0.25">
      <c r="A226" s="399">
        <v>215</v>
      </c>
      <c r="B226" s="400"/>
      <c r="C226" s="400"/>
      <c r="D226" s="400"/>
      <c r="E226" s="400"/>
      <c r="F226" s="407"/>
      <c r="G226" s="400"/>
      <c r="H226" s="400"/>
      <c r="I226" s="400"/>
      <c r="J226" s="400"/>
      <c r="K226" s="408"/>
      <c r="L226" s="400"/>
      <c r="M226" s="400"/>
      <c r="N226" s="400"/>
      <c r="O226" s="400"/>
      <c r="P226" s="409"/>
      <c r="Q226" s="400"/>
      <c r="R226" s="400"/>
      <c r="S226" s="400"/>
      <c r="T226" s="400"/>
      <c r="U226" s="404"/>
      <c r="V226" s="400"/>
      <c r="W226" s="400"/>
      <c r="X226" s="400"/>
      <c r="Y226" s="400"/>
      <c r="Z226" s="410"/>
      <c r="AA226" s="400"/>
      <c r="AB226" s="400"/>
      <c r="AC226" s="400"/>
      <c r="AD226" s="400"/>
      <c r="AE226" s="406"/>
    </row>
    <row r="227" spans="1:31" x14ac:dyDescent="0.25">
      <c r="A227" s="399">
        <v>216</v>
      </c>
      <c r="B227" s="400"/>
      <c r="C227" s="400"/>
      <c r="D227" s="400"/>
      <c r="E227" s="400"/>
      <c r="F227" s="407"/>
      <c r="G227" s="400"/>
      <c r="H227" s="400"/>
      <c r="I227" s="400"/>
      <c r="J227" s="400"/>
      <c r="K227" s="408"/>
      <c r="L227" s="400"/>
      <c r="M227" s="400"/>
      <c r="N227" s="400"/>
      <c r="O227" s="400"/>
      <c r="P227" s="409"/>
      <c r="Q227" s="400"/>
      <c r="R227" s="400"/>
      <c r="S227" s="400"/>
      <c r="T227" s="400"/>
      <c r="U227" s="404"/>
      <c r="V227" s="400"/>
      <c r="W227" s="400"/>
      <c r="X227" s="400"/>
      <c r="Y227" s="400"/>
      <c r="Z227" s="410"/>
      <c r="AA227" s="400"/>
      <c r="AB227" s="400"/>
      <c r="AC227" s="400"/>
      <c r="AD227" s="400"/>
      <c r="AE227" s="406"/>
    </row>
    <row r="228" spans="1:31" x14ac:dyDescent="0.25">
      <c r="A228" s="399">
        <v>217</v>
      </c>
      <c r="B228" s="400"/>
      <c r="C228" s="400"/>
      <c r="D228" s="400"/>
      <c r="E228" s="400"/>
      <c r="F228" s="407"/>
      <c r="G228" s="400"/>
      <c r="H228" s="400"/>
      <c r="I228" s="400"/>
      <c r="J228" s="400"/>
      <c r="K228" s="408"/>
      <c r="L228" s="400"/>
      <c r="M228" s="400"/>
      <c r="N228" s="400"/>
      <c r="O228" s="400"/>
      <c r="P228" s="409"/>
      <c r="Q228" s="400"/>
      <c r="R228" s="400"/>
      <c r="S228" s="400"/>
      <c r="T228" s="400"/>
      <c r="U228" s="404"/>
      <c r="V228" s="400"/>
      <c r="W228" s="400"/>
      <c r="X228" s="400"/>
      <c r="Y228" s="400"/>
      <c r="Z228" s="410"/>
      <c r="AA228" s="400"/>
      <c r="AB228" s="400"/>
      <c r="AC228" s="400"/>
      <c r="AD228" s="400"/>
      <c r="AE228" s="406"/>
    </row>
    <row r="229" spans="1:31" x14ac:dyDescent="0.25">
      <c r="A229" s="399">
        <v>218</v>
      </c>
      <c r="B229" s="400"/>
      <c r="C229" s="400"/>
      <c r="D229" s="400"/>
      <c r="E229" s="400"/>
      <c r="F229" s="407"/>
      <c r="G229" s="400"/>
      <c r="H229" s="400"/>
      <c r="I229" s="400"/>
      <c r="J229" s="400"/>
      <c r="K229" s="408"/>
      <c r="L229" s="400"/>
      <c r="M229" s="400"/>
      <c r="N229" s="400"/>
      <c r="O229" s="400"/>
      <c r="P229" s="409"/>
      <c r="Q229" s="400"/>
      <c r="R229" s="400"/>
      <c r="S229" s="400"/>
      <c r="T229" s="400"/>
      <c r="U229" s="404"/>
      <c r="V229" s="400"/>
      <c r="W229" s="400"/>
      <c r="X229" s="400"/>
      <c r="Y229" s="400"/>
      <c r="Z229" s="410"/>
      <c r="AA229" s="400"/>
      <c r="AB229" s="400"/>
      <c r="AC229" s="400"/>
      <c r="AD229" s="400"/>
      <c r="AE229" s="406"/>
    </row>
    <row r="230" spans="1:31" x14ac:dyDescent="0.25">
      <c r="A230" s="399">
        <v>219</v>
      </c>
      <c r="B230" s="400"/>
      <c r="C230" s="400"/>
      <c r="D230" s="400"/>
      <c r="E230" s="400"/>
      <c r="F230" s="407"/>
      <c r="G230" s="400"/>
      <c r="H230" s="400"/>
      <c r="I230" s="400"/>
      <c r="J230" s="400"/>
      <c r="K230" s="408"/>
      <c r="L230" s="400"/>
      <c r="M230" s="400"/>
      <c r="N230" s="400"/>
      <c r="O230" s="400"/>
      <c r="P230" s="409"/>
      <c r="Q230" s="400"/>
      <c r="R230" s="400"/>
      <c r="S230" s="400"/>
      <c r="T230" s="400"/>
      <c r="U230" s="404"/>
      <c r="V230" s="400"/>
      <c r="W230" s="400"/>
      <c r="X230" s="400"/>
      <c r="Y230" s="400"/>
      <c r="Z230" s="410"/>
      <c r="AA230" s="400"/>
      <c r="AB230" s="400"/>
      <c r="AC230" s="400"/>
      <c r="AD230" s="400"/>
      <c r="AE230" s="406"/>
    </row>
    <row r="231" spans="1:31" x14ac:dyDescent="0.25">
      <c r="A231" s="399">
        <v>220</v>
      </c>
      <c r="B231" s="400"/>
      <c r="C231" s="400"/>
      <c r="D231" s="400"/>
      <c r="E231" s="400"/>
      <c r="F231" s="407"/>
      <c r="G231" s="400"/>
      <c r="H231" s="400"/>
      <c r="I231" s="400"/>
      <c r="J231" s="400"/>
      <c r="K231" s="408"/>
      <c r="L231" s="400"/>
      <c r="M231" s="400"/>
      <c r="N231" s="400"/>
      <c r="O231" s="400"/>
      <c r="P231" s="409"/>
      <c r="Q231" s="400"/>
      <c r="R231" s="400"/>
      <c r="S231" s="400"/>
      <c r="T231" s="400"/>
      <c r="U231" s="404"/>
      <c r="V231" s="400"/>
      <c r="W231" s="400"/>
      <c r="X231" s="400"/>
      <c r="Y231" s="400"/>
      <c r="Z231" s="410"/>
      <c r="AA231" s="400"/>
      <c r="AB231" s="400"/>
      <c r="AC231" s="400"/>
      <c r="AD231" s="400"/>
      <c r="AE231" s="406"/>
    </row>
    <row r="232" spans="1:31" x14ac:dyDescent="0.25">
      <c r="A232" s="399">
        <v>221</v>
      </c>
      <c r="B232" s="400"/>
      <c r="C232" s="400"/>
      <c r="D232" s="400"/>
      <c r="E232" s="400"/>
      <c r="F232" s="407"/>
      <c r="G232" s="400"/>
      <c r="H232" s="400"/>
      <c r="I232" s="400"/>
      <c r="J232" s="400"/>
      <c r="K232" s="408"/>
      <c r="L232" s="400"/>
      <c r="M232" s="400"/>
      <c r="N232" s="400"/>
      <c r="O232" s="400"/>
      <c r="P232" s="409"/>
      <c r="Q232" s="400"/>
      <c r="R232" s="400"/>
      <c r="S232" s="400"/>
      <c r="T232" s="400"/>
      <c r="U232" s="404"/>
      <c r="V232" s="400"/>
      <c r="W232" s="400"/>
      <c r="X232" s="400"/>
      <c r="Y232" s="400"/>
      <c r="Z232" s="410"/>
      <c r="AA232" s="400"/>
      <c r="AB232" s="400"/>
      <c r="AC232" s="400"/>
      <c r="AD232" s="400"/>
      <c r="AE232" s="406"/>
    </row>
    <row r="233" spans="1:31" x14ac:dyDescent="0.25">
      <c r="A233" s="399">
        <v>222</v>
      </c>
      <c r="B233" s="400"/>
      <c r="C233" s="400"/>
      <c r="D233" s="400"/>
      <c r="E233" s="400"/>
      <c r="F233" s="407"/>
      <c r="G233" s="400"/>
      <c r="H233" s="400"/>
      <c r="I233" s="400"/>
      <c r="J233" s="400"/>
      <c r="K233" s="408"/>
      <c r="L233" s="400"/>
      <c r="M233" s="400"/>
      <c r="N233" s="400"/>
      <c r="O233" s="400"/>
      <c r="P233" s="409"/>
      <c r="Q233" s="400"/>
      <c r="R233" s="400"/>
      <c r="S233" s="400"/>
      <c r="T233" s="400"/>
      <c r="U233" s="404"/>
      <c r="V233" s="400"/>
      <c r="W233" s="400"/>
      <c r="X233" s="400"/>
      <c r="Y233" s="400"/>
      <c r="Z233" s="410"/>
      <c r="AA233" s="400"/>
      <c r="AB233" s="400"/>
      <c r="AC233" s="400"/>
      <c r="AD233" s="400"/>
      <c r="AE233" s="406"/>
    </row>
    <row r="234" spans="1:31" x14ac:dyDescent="0.25">
      <c r="A234" s="399">
        <v>223</v>
      </c>
      <c r="B234" s="400"/>
      <c r="C234" s="400"/>
      <c r="D234" s="400"/>
      <c r="E234" s="400"/>
      <c r="F234" s="407"/>
      <c r="G234" s="400"/>
      <c r="H234" s="400"/>
      <c r="I234" s="400"/>
      <c r="J234" s="400"/>
      <c r="K234" s="408"/>
      <c r="L234" s="400"/>
      <c r="M234" s="400"/>
      <c r="N234" s="400"/>
      <c r="O234" s="400"/>
      <c r="P234" s="409"/>
      <c r="Q234" s="400"/>
      <c r="R234" s="400"/>
      <c r="S234" s="400"/>
      <c r="T234" s="400"/>
      <c r="U234" s="404"/>
      <c r="V234" s="400"/>
      <c r="W234" s="400"/>
      <c r="X234" s="400"/>
      <c r="Y234" s="400"/>
      <c r="Z234" s="410"/>
      <c r="AA234" s="400"/>
      <c r="AB234" s="400"/>
      <c r="AC234" s="400"/>
      <c r="AD234" s="400"/>
      <c r="AE234" s="406"/>
    </row>
    <row r="235" spans="1:31" x14ac:dyDescent="0.25">
      <c r="A235" s="399">
        <v>224</v>
      </c>
      <c r="B235" s="400"/>
      <c r="C235" s="400"/>
      <c r="D235" s="400"/>
      <c r="E235" s="400"/>
      <c r="F235" s="407"/>
      <c r="G235" s="400"/>
      <c r="H235" s="400"/>
      <c r="I235" s="400"/>
      <c r="J235" s="400"/>
      <c r="K235" s="408"/>
      <c r="L235" s="400"/>
      <c r="M235" s="400"/>
      <c r="N235" s="400"/>
      <c r="O235" s="400"/>
      <c r="P235" s="409"/>
      <c r="Q235" s="400"/>
      <c r="R235" s="400"/>
      <c r="S235" s="400"/>
      <c r="T235" s="400"/>
      <c r="U235" s="404"/>
      <c r="V235" s="400"/>
      <c r="W235" s="400"/>
      <c r="X235" s="400"/>
      <c r="Y235" s="400"/>
      <c r="Z235" s="410"/>
      <c r="AA235" s="400"/>
      <c r="AB235" s="400"/>
      <c r="AC235" s="400"/>
      <c r="AD235" s="400"/>
      <c r="AE235" s="406"/>
    </row>
    <row r="236" spans="1:31" x14ac:dyDescent="0.25">
      <c r="A236" s="399">
        <v>225</v>
      </c>
      <c r="B236" s="400"/>
      <c r="C236" s="400"/>
      <c r="D236" s="400"/>
      <c r="E236" s="400"/>
      <c r="F236" s="407"/>
      <c r="G236" s="400"/>
      <c r="H236" s="400"/>
      <c r="I236" s="400"/>
      <c r="J236" s="400"/>
      <c r="K236" s="408"/>
      <c r="L236" s="400"/>
      <c r="M236" s="400"/>
      <c r="N236" s="400"/>
      <c r="O236" s="400"/>
      <c r="P236" s="409"/>
      <c r="Q236" s="400"/>
      <c r="R236" s="400"/>
      <c r="S236" s="400"/>
      <c r="T236" s="400"/>
      <c r="U236" s="404"/>
      <c r="V236" s="400"/>
      <c r="W236" s="400"/>
      <c r="X236" s="400"/>
      <c r="Y236" s="400"/>
      <c r="Z236" s="410"/>
      <c r="AA236" s="400"/>
      <c r="AB236" s="400"/>
      <c r="AC236" s="400"/>
      <c r="AD236" s="400"/>
      <c r="AE236" s="406"/>
    </row>
    <row r="237" spans="1:31" x14ac:dyDescent="0.25">
      <c r="A237" s="399">
        <v>226</v>
      </c>
      <c r="B237" s="400"/>
      <c r="C237" s="400"/>
      <c r="D237" s="400"/>
      <c r="E237" s="400"/>
      <c r="F237" s="407"/>
      <c r="G237" s="400"/>
      <c r="H237" s="400"/>
      <c r="I237" s="400"/>
      <c r="J237" s="400"/>
      <c r="K237" s="408"/>
      <c r="L237" s="400"/>
      <c r="M237" s="400"/>
      <c r="N237" s="400"/>
      <c r="O237" s="400"/>
      <c r="P237" s="409"/>
      <c r="Q237" s="400"/>
      <c r="R237" s="400"/>
      <c r="S237" s="400"/>
      <c r="T237" s="400"/>
      <c r="U237" s="404"/>
      <c r="V237" s="400"/>
      <c r="W237" s="400"/>
      <c r="X237" s="400"/>
      <c r="Y237" s="400"/>
      <c r="Z237" s="410"/>
      <c r="AA237" s="400"/>
      <c r="AB237" s="400"/>
      <c r="AC237" s="400"/>
      <c r="AD237" s="400"/>
      <c r="AE237" s="406"/>
    </row>
    <row r="238" spans="1:31" x14ac:dyDescent="0.25">
      <c r="A238" s="399">
        <v>227</v>
      </c>
      <c r="B238" s="400"/>
      <c r="C238" s="400"/>
      <c r="D238" s="400"/>
      <c r="E238" s="400"/>
      <c r="F238" s="407"/>
      <c r="G238" s="400"/>
      <c r="H238" s="400"/>
      <c r="I238" s="400"/>
      <c r="J238" s="400"/>
      <c r="K238" s="408"/>
      <c r="L238" s="400"/>
      <c r="M238" s="400"/>
      <c r="N238" s="400"/>
      <c r="O238" s="400"/>
      <c r="P238" s="409"/>
      <c r="Q238" s="400"/>
      <c r="R238" s="400"/>
      <c r="S238" s="400"/>
      <c r="T238" s="400"/>
      <c r="U238" s="404"/>
      <c r="V238" s="400"/>
      <c r="W238" s="400"/>
      <c r="X238" s="400"/>
      <c r="Y238" s="400"/>
      <c r="Z238" s="410"/>
      <c r="AA238" s="400"/>
      <c r="AB238" s="400"/>
      <c r="AC238" s="400"/>
      <c r="AD238" s="400"/>
      <c r="AE238" s="406"/>
    </row>
    <row r="239" spans="1:31" x14ac:dyDescent="0.25">
      <c r="A239" s="399">
        <v>228</v>
      </c>
      <c r="B239" s="400"/>
      <c r="C239" s="400"/>
      <c r="D239" s="400"/>
      <c r="E239" s="400"/>
      <c r="F239" s="407"/>
      <c r="G239" s="400"/>
      <c r="H239" s="400"/>
      <c r="I239" s="400"/>
      <c r="J239" s="400"/>
      <c r="K239" s="408"/>
      <c r="L239" s="400"/>
      <c r="M239" s="400"/>
      <c r="N239" s="400"/>
      <c r="O239" s="400"/>
      <c r="P239" s="409"/>
      <c r="Q239" s="400"/>
      <c r="R239" s="400"/>
      <c r="S239" s="400"/>
      <c r="T239" s="400"/>
      <c r="U239" s="404"/>
      <c r="V239" s="400"/>
      <c r="W239" s="400"/>
      <c r="X239" s="400"/>
      <c r="Y239" s="400"/>
      <c r="Z239" s="410"/>
      <c r="AA239" s="400"/>
      <c r="AB239" s="400"/>
      <c r="AC239" s="400"/>
      <c r="AD239" s="400"/>
      <c r="AE239" s="406"/>
    </row>
    <row r="240" spans="1:31" x14ac:dyDescent="0.25">
      <c r="A240" s="399">
        <v>229</v>
      </c>
      <c r="B240" s="400"/>
      <c r="C240" s="400"/>
      <c r="D240" s="400"/>
      <c r="E240" s="400"/>
      <c r="F240" s="407"/>
      <c r="G240" s="400"/>
      <c r="H240" s="400"/>
      <c r="I240" s="400"/>
      <c r="J240" s="400"/>
      <c r="K240" s="408"/>
      <c r="L240" s="400"/>
      <c r="M240" s="400"/>
      <c r="N240" s="400"/>
      <c r="O240" s="400"/>
      <c r="P240" s="409"/>
      <c r="Q240" s="400"/>
      <c r="R240" s="400"/>
      <c r="S240" s="400"/>
      <c r="T240" s="400"/>
      <c r="U240" s="404"/>
      <c r="V240" s="400"/>
      <c r="W240" s="400"/>
      <c r="X240" s="400"/>
      <c r="Y240" s="400"/>
      <c r="Z240" s="410"/>
      <c r="AA240" s="400"/>
      <c r="AB240" s="400"/>
      <c r="AC240" s="400"/>
      <c r="AD240" s="400"/>
      <c r="AE240" s="406"/>
    </row>
    <row r="241" spans="1:31" x14ac:dyDescent="0.25">
      <c r="A241" s="399">
        <v>230</v>
      </c>
      <c r="B241" s="400"/>
      <c r="C241" s="400"/>
      <c r="D241" s="400"/>
      <c r="E241" s="400"/>
      <c r="F241" s="407"/>
      <c r="G241" s="400"/>
      <c r="H241" s="400"/>
      <c r="I241" s="400"/>
      <c r="J241" s="400"/>
      <c r="K241" s="408"/>
      <c r="L241" s="400"/>
      <c r="M241" s="400"/>
      <c r="N241" s="400"/>
      <c r="O241" s="400"/>
      <c r="P241" s="409"/>
      <c r="Q241" s="400"/>
      <c r="R241" s="400"/>
      <c r="S241" s="400"/>
      <c r="T241" s="400"/>
      <c r="U241" s="404"/>
      <c r="V241" s="400"/>
      <c r="W241" s="400"/>
      <c r="X241" s="400"/>
      <c r="Y241" s="400"/>
      <c r="Z241" s="410"/>
      <c r="AA241" s="400"/>
      <c r="AB241" s="400"/>
      <c r="AC241" s="400"/>
      <c r="AD241" s="400"/>
      <c r="AE241" s="406"/>
    </row>
    <row r="242" spans="1:31" x14ac:dyDescent="0.25">
      <c r="A242" s="399">
        <v>231</v>
      </c>
      <c r="B242" s="400"/>
      <c r="C242" s="400"/>
      <c r="D242" s="400"/>
      <c r="E242" s="400"/>
      <c r="F242" s="407"/>
      <c r="G242" s="400"/>
      <c r="H242" s="400"/>
      <c r="I242" s="400"/>
      <c r="J242" s="400"/>
      <c r="K242" s="408"/>
      <c r="L242" s="400"/>
      <c r="M242" s="400"/>
      <c r="N242" s="400"/>
      <c r="O242" s="400"/>
      <c r="P242" s="409"/>
      <c r="Q242" s="400"/>
      <c r="R242" s="400"/>
      <c r="S242" s="400"/>
      <c r="T242" s="400"/>
      <c r="U242" s="404"/>
      <c r="V242" s="400"/>
      <c r="W242" s="400"/>
      <c r="X242" s="400"/>
      <c r="Y242" s="400"/>
      <c r="Z242" s="410"/>
      <c r="AA242" s="400"/>
      <c r="AB242" s="400"/>
      <c r="AC242" s="400"/>
      <c r="AD242" s="400"/>
      <c r="AE242" s="406"/>
    </row>
    <row r="243" spans="1:31" x14ac:dyDescent="0.25">
      <c r="A243" s="399">
        <v>232</v>
      </c>
      <c r="B243" s="400"/>
      <c r="C243" s="400"/>
      <c r="D243" s="400"/>
      <c r="E243" s="400"/>
      <c r="F243" s="407"/>
      <c r="G243" s="400"/>
      <c r="H243" s="400"/>
      <c r="I243" s="400"/>
      <c r="J243" s="400"/>
      <c r="K243" s="408"/>
      <c r="L243" s="400"/>
      <c r="M243" s="400"/>
      <c r="N243" s="400"/>
      <c r="O243" s="400"/>
      <c r="P243" s="409"/>
      <c r="Q243" s="400"/>
      <c r="R243" s="400"/>
      <c r="S243" s="400"/>
      <c r="T243" s="400"/>
      <c r="U243" s="404"/>
      <c r="V243" s="400"/>
      <c r="W243" s="400"/>
      <c r="X243" s="400"/>
      <c r="Y243" s="400"/>
      <c r="Z243" s="410"/>
      <c r="AA243" s="400"/>
      <c r="AB243" s="400"/>
      <c r="AC243" s="400"/>
      <c r="AD243" s="400"/>
      <c r="AE243" s="406"/>
    </row>
    <row r="244" spans="1:31" x14ac:dyDescent="0.25">
      <c r="A244" s="399">
        <v>233</v>
      </c>
      <c r="B244" s="400"/>
      <c r="C244" s="400"/>
      <c r="D244" s="400"/>
      <c r="E244" s="400"/>
      <c r="F244" s="407"/>
      <c r="G244" s="400"/>
      <c r="H244" s="400"/>
      <c r="I244" s="400"/>
      <c r="J244" s="400"/>
      <c r="K244" s="408"/>
      <c r="L244" s="400"/>
      <c r="M244" s="400"/>
      <c r="N244" s="400"/>
      <c r="O244" s="400"/>
      <c r="P244" s="409"/>
      <c r="Q244" s="400"/>
      <c r="R244" s="400"/>
      <c r="S244" s="400"/>
      <c r="T244" s="400"/>
      <c r="U244" s="404"/>
      <c r="V244" s="400"/>
      <c r="W244" s="400"/>
      <c r="X244" s="400"/>
      <c r="Y244" s="400"/>
      <c r="Z244" s="410"/>
      <c r="AA244" s="400"/>
      <c r="AB244" s="400"/>
      <c r="AC244" s="400"/>
      <c r="AD244" s="400"/>
      <c r="AE244" s="406"/>
    </row>
    <row r="245" spans="1:31" x14ac:dyDescent="0.25">
      <c r="A245" s="399">
        <v>234</v>
      </c>
      <c r="B245" s="400"/>
      <c r="C245" s="400"/>
      <c r="D245" s="400"/>
      <c r="E245" s="400"/>
      <c r="F245" s="407"/>
      <c r="G245" s="400"/>
      <c r="H245" s="400"/>
      <c r="I245" s="400"/>
      <c r="J245" s="400"/>
      <c r="K245" s="408"/>
      <c r="L245" s="400"/>
      <c r="M245" s="400"/>
      <c r="N245" s="400"/>
      <c r="O245" s="400"/>
      <c r="P245" s="409"/>
      <c r="Q245" s="400"/>
      <c r="R245" s="400"/>
      <c r="S245" s="400"/>
      <c r="T245" s="400"/>
      <c r="U245" s="404"/>
      <c r="V245" s="400"/>
      <c r="W245" s="400"/>
      <c r="X245" s="400"/>
      <c r="Y245" s="400"/>
      <c r="Z245" s="410"/>
      <c r="AA245" s="400"/>
      <c r="AB245" s="400"/>
      <c r="AC245" s="400"/>
      <c r="AD245" s="400"/>
      <c r="AE245" s="406"/>
    </row>
    <row r="246" spans="1:31" x14ac:dyDescent="0.25">
      <c r="A246" s="399">
        <v>235</v>
      </c>
      <c r="B246" s="400"/>
      <c r="C246" s="400"/>
      <c r="D246" s="400"/>
      <c r="E246" s="400"/>
      <c r="F246" s="407"/>
      <c r="G246" s="400"/>
      <c r="H246" s="400"/>
      <c r="I246" s="400"/>
      <c r="J246" s="400"/>
      <c r="K246" s="408"/>
      <c r="L246" s="400"/>
      <c r="M246" s="400"/>
      <c r="N246" s="400"/>
      <c r="O246" s="400"/>
      <c r="P246" s="409"/>
      <c r="Q246" s="400"/>
      <c r="R246" s="400"/>
      <c r="S246" s="400"/>
      <c r="T246" s="400"/>
      <c r="U246" s="404"/>
      <c r="V246" s="400"/>
      <c r="W246" s="400"/>
      <c r="X246" s="400"/>
      <c r="Y246" s="400"/>
      <c r="Z246" s="410"/>
      <c r="AA246" s="400"/>
      <c r="AB246" s="400"/>
      <c r="AC246" s="400"/>
      <c r="AD246" s="400"/>
      <c r="AE246" s="406"/>
    </row>
    <row r="247" spans="1:31" x14ac:dyDescent="0.25">
      <c r="A247" s="399">
        <v>236</v>
      </c>
      <c r="B247" s="400"/>
      <c r="C247" s="400"/>
      <c r="D247" s="400"/>
      <c r="E247" s="400"/>
      <c r="F247" s="407"/>
      <c r="G247" s="400"/>
      <c r="H247" s="400"/>
      <c r="I247" s="400"/>
      <c r="J247" s="400"/>
      <c r="K247" s="408"/>
      <c r="L247" s="400"/>
      <c r="M247" s="400"/>
      <c r="N247" s="400"/>
      <c r="O247" s="400"/>
      <c r="P247" s="409"/>
      <c r="Q247" s="400"/>
      <c r="R247" s="400"/>
      <c r="S247" s="400"/>
      <c r="T247" s="400"/>
      <c r="U247" s="404"/>
      <c r="V247" s="400"/>
      <c r="W247" s="400"/>
      <c r="X247" s="400"/>
      <c r="Y247" s="400"/>
      <c r="Z247" s="410"/>
      <c r="AA247" s="400"/>
      <c r="AB247" s="400"/>
      <c r="AC247" s="400"/>
      <c r="AD247" s="400"/>
      <c r="AE247" s="406"/>
    </row>
    <row r="248" spans="1:31" x14ac:dyDescent="0.25">
      <c r="A248" s="399">
        <v>237</v>
      </c>
      <c r="B248" s="400"/>
      <c r="C248" s="400"/>
      <c r="D248" s="400"/>
      <c r="E248" s="400"/>
      <c r="F248" s="407"/>
      <c r="G248" s="400"/>
      <c r="H248" s="400"/>
      <c r="I248" s="400"/>
      <c r="J248" s="400"/>
      <c r="K248" s="408"/>
      <c r="L248" s="400"/>
      <c r="M248" s="400"/>
      <c r="N248" s="400"/>
      <c r="O248" s="400"/>
      <c r="P248" s="409"/>
      <c r="Q248" s="400"/>
      <c r="R248" s="400"/>
      <c r="S248" s="400"/>
      <c r="T248" s="400"/>
      <c r="U248" s="404"/>
      <c r="V248" s="400"/>
      <c r="W248" s="400"/>
      <c r="X248" s="400"/>
      <c r="Y248" s="400"/>
      <c r="Z248" s="410"/>
      <c r="AA248" s="400"/>
      <c r="AB248" s="400"/>
      <c r="AC248" s="400"/>
      <c r="AD248" s="400"/>
      <c r="AE248" s="406"/>
    </row>
    <row r="249" spans="1:31" x14ac:dyDescent="0.25">
      <c r="A249" s="399">
        <v>238</v>
      </c>
      <c r="B249" s="400"/>
      <c r="C249" s="400"/>
      <c r="D249" s="400"/>
      <c r="E249" s="400"/>
      <c r="F249" s="407"/>
      <c r="G249" s="400"/>
      <c r="H249" s="400"/>
      <c r="I249" s="400"/>
      <c r="J249" s="400"/>
      <c r="K249" s="408"/>
      <c r="L249" s="400"/>
      <c r="M249" s="400"/>
      <c r="N249" s="400"/>
      <c r="O249" s="400"/>
      <c r="P249" s="409"/>
      <c r="Q249" s="400"/>
      <c r="R249" s="400"/>
      <c r="S249" s="400"/>
      <c r="T249" s="400"/>
      <c r="U249" s="404"/>
      <c r="V249" s="400"/>
      <c r="W249" s="400"/>
      <c r="X249" s="400"/>
      <c r="Y249" s="400"/>
      <c r="Z249" s="410"/>
      <c r="AA249" s="400"/>
      <c r="AB249" s="400"/>
      <c r="AC249" s="400"/>
      <c r="AD249" s="400"/>
      <c r="AE249" s="406"/>
    </row>
    <row r="250" spans="1:31" x14ac:dyDescent="0.25">
      <c r="A250" s="399">
        <v>239</v>
      </c>
      <c r="B250" s="400"/>
      <c r="C250" s="400"/>
      <c r="D250" s="400"/>
      <c r="E250" s="400"/>
      <c r="F250" s="407"/>
      <c r="G250" s="400"/>
      <c r="H250" s="400"/>
      <c r="I250" s="400"/>
      <c r="J250" s="400"/>
      <c r="K250" s="408"/>
      <c r="L250" s="400"/>
      <c r="M250" s="400"/>
      <c r="N250" s="400"/>
      <c r="O250" s="400"/>
      <c r="P250" s="409"/>
      <c r="Q250" s="400"/>
      <c r="R250" s="400"/>
      <c r="S250" s="400"/>
      <c r="T250" s="400"/>
      <c r="U250" s="404"/>
      <c r="V250" s="400"/>
      <c r="W250" s="400"/>
      <c r="X250" s="400"/>
      <c r="Y250" s="400"/>
      <c r="Z250" s="410"/>
      <c r="AA250" s="400"/>
      <c r="AB250" s="400"/>
      <c r="AC250" s="400"/>
      <c r="AD250" s="400"/>
      <c r="AE250" s="406"/>
    </row>
    <row r="251" spans="1:31" x14ac:dyDescent="0.25">
      <c r="A251" s="399">
        <v>240</v>
      </c>
      <c r="B251" s="400"/>
      <c r="C251" s="400"/>
      <c r="D251" s="400"/>
      <c r="E251" s="400"/>
      <c r="F251" s="407"/>
      <c r="G251" s="400"/>
      <c r="H251" s="400"/>
      <c r="I251" s="400"/>
      <c r="J251" s="400"/>
      <c r="K251" s="408"/>
      <c r="L251" s="400"/>
      <c r="M251" s="400"/>
      <c r="N251" s="400"/>
      <c r="O251" s="400"/>
      <c r="P251" s="409"/>
      <c r="Q251" s="400"/>
      <c r="R251" s="400"/>
      <c r="S251" s="400"/>
      <c r="T251" s="400"/>
      <c r="U251" s="404"/>
      <c r="V251" s="400"/>
      <c r="W251" s="400"/>
      <c r="X251" s="400"/>
      <c r="Y251" s="400"/>
      <c r="Z251" s="410"/>
      <c r="AA251" s="400"/>
      <c r="AB251" s="400"/>
      <c r="AC251" s="400"/>
      <c r="AD251" s="400"/>
      <c r="AE251" s="406"/>
    </row>
    <row r="252" spans="1:31" x14ac:dyDescent="0.25">
      <c r="A252" s="399">
        <v>241</v>
      </c>
      <c r="B252" s="400"/>
      <c r="C252" s="400"/>
      <c r="D252" s="400"/>
      <c r="E252" s="400"/>
      <c r="F252" s="407"/>
      <c r="G252" s="400"/>
      <c r="H252" s="400"/>
      <c r="I252" s="400"/>
      <c r="J252" s="400"/>
      <c r="K252" s="408"/>
      <c r="L252" s="400"/>
      <c r="M252" s="400"/>
      <c r="N252" s="400"/>
      <c r="O252" s="400"/>
      <c r="P252" s="409"/>
      <c r="Q252" s="400"/>
      <c r="R252" s="400"/>
      <c r="S252" s="400"/>
      <c r="T252" s="400"/>
      <c r="U252" s="404"/>
      <c r="V252" s="400"/>
      <c r="W252" s="400"/>
      <c r="X252" s="400"/>
      <c r="Y252" s="400"/>
      <c r="Z252" s="410"/>
      <c r="AA252" s="400"/>
      <c r="AB252" s="400"/>
      <c r="AC252" s="400"/>
      <c r="AD252" s="400"/>
      <c r="AE252" s="406"/>
    </row>
    <row r="253" spans="1:31" x14ac:dyDescent="0.25">
      <c r="A253" s="399">
        <v>242</v>
      </c>
      <c r="B253" s="400"/>
      <c r="C253" s="400"/>
      <c r="D253" s="400"/>
      <c r="E253" s="400"/>
      <c r="F253" s="407"/>
      <c r="G253" s="400"/>
      <c r="H253" s="400"/>
      <c r="I253" s="400"/>
      <c r="J253" s="400"/>
      <c r="K253" s="408"/>
      <c r="L253" s="400"/>
      <c r="M253" s="400"/>
      <c r="N253" s="400"/>
      <c r="O253" s="400"/>
      <c r="P253" s="409"/>
      <c r="Q253" s="400"/>
      <c r="R253" s="400"/>
      <c r="S253" s="400"/>
      <c r="T253" s="400"/>
      <c r="U253" s="404"/>
      <c r="V253" s="400"/>
      <c r="W253" s="400"/>
      <c r="X253" s="400"/>
      <c r="Y253" s="400"/>
      <c r="Z253" s="410"/>
      <c r="AA253" s="400"/>
      <c r="AB253" s="400"/>
      <c r="AC253" s="400"/>
      <c r="AD253" s="400"/>
      <c r="AE253" s="406"/>
    </row>
    <row r="254" spans="1:31" x14ac:dyDescent="0.25">
      <c r="A254" s="399">
        <v>243</v>
      </c>
      <c r="B254" s="400"/>
      <c r="C254" s="400"/>
      <c r="D254" s="400"/>
      <c r="E254" s="400"/>
      <c r="F254" s="407"/>
      <c r="G254" s="400"/>
      <c r="H254" s="400"/>
      <c r="I254" s="400"/>
      <c r="J254" s="400"/>
      <c r="K254" s="408"/>
      <c r="L254" s="400"/>
      <c r="M254" s="400"/>
      <c r="N254" s="400"/>
      <c r="O254" s="400"/>
      <c r="P254" s="409"/>
      <c r="Q254" s="400"/>
      <c r="R254" s="400"/>
      <c r="S254" s="400"/>
      <c r="T254" s="400"/>
      <c r="U254" s="404"/>
      <c r="V254" s="400"/>
      <c r="W254" s="400"/>
      <c r="X254" s="400"/>
      <c r="Y254" s="400"/>
      <c r="Z254" s="410"/>
      <c r="AA254" s="400"/>
      <c r="AB254" s="400"/>
      <c r="AC254" s="400"/>
      <c r="AD254" s="400"/>
      <c r="AE254" s="406"/>
    </row>
    <row r="255" spans="1:31" x14ac:dyDescent="0.25">
      <c r="A255" s="399">
        <v>244</v>
      </c>
      <c r="B255" s="400"/>
      <c r="C255" s="400"/>
      <c r="D255" s="400"/>
      <c r="E255" s="400"/>
      <c r="F255" s="407"/>
      <c r="G255" s="400"/>
      <c r="H255" s="400"/>
      <c r="I255" s="400"/>
      <c r="J255" s="400"/>
      <c r="K255" s="408"/>
      <c r="L255" s="400"/>
      <c r="M255" s="400"/>
      <c r="N255" s="400"/>
      <c r="O255" s="400"/>
      <c r="P255" s="409"/>
      <c r="Q255" s="400"/>
      <c r="R255" s="400"/>
      <c r="S255" s="400"/>
      <c r="T255" s="400"/>
      <c r="U255" s="404"/>
      <c r="V255" s="400"/>
      <c r="W255" s="400"/>
      <c r="X255" s="400"/>
      <c r="Y255" s="400"/>
      <c r="Z255" s="410"/>
      <c r="AA255" s="400"/>
      <c r="AB255" s="400"/>
      <c r="AC255" s="400"/>
      <c r="AD255" s="400"/>
      <c r="AE255" s="406"/>
    </row>
    <row r="256" spans="1:31" x14ac:dyDescent="0.25">
      <c r="A256" s="399">
        <v>245</v>
      </c>
      <c r="B256" s="400"/>
      <c r="C256" s="400"/>
      <c r="D256" s="400"/>
      <c r="E256" s="400"/>
      <c r="F256" s="407"/>
      <c r="G256" s="400"/>
      <c r="H256" s="400"/>
      <c r="I256" s="400"/>
      <c r="J256" s="400"/>
      <c r="K256" s="408"/>
      <c r="L256" s="400"/>
      <c r="M256" s="400"/>
      <c r="N256" s="400"/>
      <c r="O256" s="400"/>
      <c r="P256" s="409"/>
      <c r="Q256" s="400"/>
      <c r="R256" s="400"/>
      <c r="S256" s="400"/>
      <c r="T256" s="400"/>
      <c r="U256" s="404"/>
      <c r="V256" s="400"/>
      <c r="W256" s="400"/>
      <c r="X256" s="400"/>
      <c r="Y256" s="400"/>
      <c r="Z256" s="410"/>
      <c r="AA256" s="400"/>
      <c r="AB256" s="400"/>
      <c r="AC256" s="400"/>
      <c r="AD256" s="400"/>
      <c r="AE256" s="406"/>
    </row>
    <row r="257" spans="1:31" x14ac:dyDescent="0.25">
      <c r="A257" s="399">
        <v>246</v>
      </c>
      <c r="B257" s="400"/>
      <c r="C257" s="400"/>
      <c r="D257" s="400"/>
      <c r="E257" s="400"/>
      <c r="F257" s="407"/>
      <c r="G257" s="400"/>
      <c r="H257" s="400"/>
      <c r="I257" s="400"/>
      <c r="J257" s="400"/>
      <c r="K257" s="408"/>
      <c r="L257" s="400"/>
      <c r="M257" s="400"/>
      <c r="N257" s="400"/>
      <c r="O257" s="400"/>
      <c r="P257" s="409"/>
      <c r="Q257" s="400"/>
      <c r="R257" s="400"/>
      <c r="S257" s="400"/>
      <c r="T257" s="400"/>
      <c r="U257" s="404"/>
      <c r="V257" s="400"/>
      <c r="W257" s="400"/>
      <c r="X257" s="400"/>
      <c r="Y257" s="400"/>
      <c r="Z257" s="410"/>
      <c r="AA257" s="400"/>
      <c r="AB257" s="400"/>
      <c r="AC257" s="400"/>
      <c r="AD257" s="400"/>
      <c r="AE257" s="406"/>
    </row>
    <row r="258" spans="1:31" x14ac:dyDescent="0.25">
      <c r="A258" s="399">
        <v>247</v>
      </c>
      <c r="B258" s="400"/>
      <c r="C258" s="400"/>
      <c r="D258" s="400"/>
      <c r="E258" s="400"/>
      <c r="F258" s="407"/>
      <c r="G258" s="400"/>
      <c r="H258" s="400"/>
      <c r="I258" s="400"/>
      <c r="J258" s="400"/>
      <c r="K258" s="408"/>
      <c r="L258" s="400"/>
      <c r="M258" s="400"/>
      <c r="N258" s="400"/>
      <c r="O258" s="400"/>
      <c r="P258" s="409"/>
      <c r="Q258" s="400"/>
      <c r="R258" s="400"/>
      <c r="S258" s="400"/>
      <c r="T258" s="400"/>
      <c r="U258" s="404"/>
      <c r="V258" s="400"/>
      <c r="W258" s="400"/>
      <c r="X258" s="400"/>
      <c r="Y258" s="400"/>
      <c r="Z258" s="410"/>
      <c r="AA258" s="400"/>
      <c r="AB258" s="400"/>
      <c r="AC258" s="400"/>
      <c r="AD258" s="400"/>
      <c r="AE258" s="406"/>
    </row>
    <row r="259" spans="1:31" x14ac:dyDescent="0.25">
      <c r="A259" s="399">
        <v>248</v>
      </c>
      <c r="B259" s="400"/>
      <c r="C259" s="400"/>
      <c r="D259" s="400"/>
      <c r="E259" s="400"/>
      <c r="F259" s="407"/>
      <c r="G259" s="400"/>
      <c r="H259" s="400"/>
      <c r="I259" s="400"/>
      <c r="J259" s="400"/>
      <c r="K259" s="408"/>
      <c r="L259" s="400"/>
      <c r="M259" s="400"/>
      <c r="N259" s="400"/>
      <c r="O259" s="400"/>
      <c r="P259" s="409"/>
      <c r="Q259" s="400"/>
      <c r="R259" s="400"/>
      <c r="S259" s="400"/>
      <c r="T259" s="400"/>
      <c r="U259" s="404"/>
      <c r="V259" s="400"/>
      <c r="W259" s="400"/>
      <c r="X259" s="400"/>
      <c r="Y259" s="400"/>
      <c r="Z259" s="410"/>
      <c r="AA259" s="400"/>
      <c r="AB259" s="400"/>
      <c r="AC259" s="400"/>
      <c r="AD259" s="400"/>
      <c r="AE259" s="406"/>
    </row>
    <row r="260" spans="1:31" x14ac:dyDescent="0.25">
      <c r="A260" s="399">
        <v>249</v>
      </c>
      <c r="B260" s="400"/>
      <c r="C260" s="400"/>
      <c r="D260" s="400"/>
      <c r="E260" s="400"/>
      <c r="F260" s="407"/>
      <c r="G260" s="400"/>
      <c r="H260" s="400"/>
      <c r="I260" s="400"/>
      <c r="J260" s="400"/>
      <c r="K260" s="408"/>
      <c r="L260" s="400"/>
      <c r="M260" s="400"/>
      <c r="N260" s="400"/>
      <c r="O260" s="400"/>
      <c r="P260" s="409"/>
      <c r="Q260" s="400"/>
      <c r="R260" s="400"/>
      <c r="S260" s="400"/>
      <c r="T260" s="400"/>
      <c r="U260" s="404"/>
      <c r="V260" s="400"/>
      <c r="W260" s="400"/>
      <c r="X260" s="400"/>
      <c r="Y260" s="400"/>
      <c r="Z260" s="410"/>
      <c r="AA260" s="400"/>
      <c r="AB260" s="400"/>
      <c r="AC260" s="400"/>
      <c r="AD260" s="400"/>
      <c r="AE260" s="406"/>
    </row>
    <row r="261" spans="1:31" x14ac:dyDescent="0.25">
      <c r="A261" s="399">
        <v>250</v>
      </c>
      <c r="B261" s="400"/>
      <c r="C261" s="400"/>
      <c r="D261" s="400"/>
      <c r="E261" s="400"/>
      <c r="F261" s="407"/>
      <c r="G261" s="400"/>
      <c r="H261" s="400"/>
      <c r="I261" s="400"/>
      <c r="J261" s="400"/>
      <c r="K261" s="408"/>
      <c r="L261" s="400"/>
      <c r="M261" s="400"/>
      <c r="N261" s="400"/>
      <c r="O261" s="400"/>
      <c r="P261" s="409"/>
      <c r="Q261" s="400"/>
      <c r="R261" s="400"/>
      <c r="S261" s="400"/>
      <c r="T261" s="400"/>
      <c r="U261" s="404"/>
      <c r="V261" s="400"/>
      <c r="W261" s="400"/>
      <c r="X261" s="400"/>
      <c r="Y261" s="400"/>
      <c r="Z261" s="410"/>
      <c r="AA261" s="400"/>
      <c r="AB261" s="400"/>
      <c r="AC261" s="400"/>
      <c r="AD261" s="400"/>
      <c r="AE261" s="406"/>
    </row>
    <row r="262" spans="1:31" ht="15.75" thickBot="1" x14ac:dyDescent="0.3">
      <c r="A262" s="411"/>
      <c r="B262" s="412"/>
      <c r="C262" s="412"/>
      <c r="D262" s="412"/>
      <c r="E262" s="412"/>
      <c r="F262" s="412"/>
      <c r="G262" s="412"/>
      <c r="H262" s="412"/>
      <c r="I262" s="412"/>
      <c r="J262" s="412"/>
      <c r="K262" s="412"/>
      <c r="L262" s="412"/>
      <c r="M262" s="412"/>
      <c r="N262" s="412"/>
      <c r="O262" s="412"/>
      <c r="P262" s="412"/>
      <c r="Q262" s="412"/>
      <c r="R262" s="412"/>
      <c r="S262" s="412"/>
      <c r="T262" s="412"/>
      <c r="U262" s="412"/>
      <c r="V262" s="412"/>
      <c r="W262" s="412"/>
      <c r="X262" s="412"/>
      <c r="Y262" s="412"/>
      <c r="Z262" s="412"/>
      <c r="AA262" s="412"/>
      <c r="AB262" s="412"/>
      <c r="AC262" s="412"/>
      <c r="AD262" s="412"/>
      <c r="AE262" s="412"/>
    </row>
  </sheetData>
  <mergeCells count="6">
    <mergeCell ref="AA1:AD1"/>
    <mergeCell ref="B1:E1"/>
    <mergeCell ref="G1:J1"/>
    <mergeCell ref="L1:O1"/>
    <mergeCell ref="Q1:T1"/>
    <mergeCell ref="V1:Y1"/>
  </mergeCells>
  <conditionalFormatting sqref="F5 F7 F8">
    <cfRule type="expression" dxfId="42" priority="8" stopIfTrue="1">
      <formula>ISERR($F5)</formula>
    </cfRule>
  </conditionalFormatting>
  <conditionalFormatting sqref="K5 K7">
    <cfRule type="expression" dxfId="41" priority="7" stopIfTrue="1">
      <formula>ISERR($K5)</formula>
    </cfRule>
  </conditionalFormatting>
  <conditionalFormatting sqref="P5 P7 P8">
    <cfRule type="expression" dxfId="40" priority="6" stopIfTrue="1">
      <formula>ISERR($P5)</formula>
    </cfRule>
  </conditionalFormatting>
  <conditionalFormatting sqref="U5 U7 U8">
    <cfRule type="expression" dxfId="39" priority="5" stopIfTrue="1">
      <formula>ISERR($U5)</formula>
    </cfRule>
  </conditionalFormatting>
  <conditionalFormatting sqref="Z5 Z7 Z8">
    <cfRule type="expression" dxfId="38" priority="4" stopIfTrue="1">
      <formula>ISERR($Z5)</formula>
    </cfRule>
  </conditionalFormatting>
  <conditionalFormatting sqref="F4">
    <cfRule type="expression" dxfId="37" priority="3" stopIfTrue="1">
      <formula>ISERR($F4)</formula>
    </cfRule>
  </conditionalFormatting>
  <conditionalFormatting sqref="AE5">
    <cfRule type="expression" dxfId="36" priority="2" stopIfTrue="1">
      <formula>ISERR($Z5)</formula>
    </cfRule>
  </conditionalFormatting>
  <conditionalFormatting sqref="AE7:AE8">
    <cfRule type="expression" dxfId="35" priority="1" stopIfTrue="1">
      <formula>ISERR($Z7)</formula>
    </cfRule>
  </conditionalFormatting>
  <pageMargins left="0.7" right="0.7" top="0.75" bottom="0.75" header="0.3" footer="0.3"/>
  <pageSetup scale="36" fitToHeight="2" orientation="portrait"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pageSetUpPr fitToPage="1"/>
  </sheetPr>
  <dimension ref="A1:AE262"/>
  <sheetViews>
    <sheetView workbookViewId="0">
      <pane xSplit="1" ySplit="10" topLeftCell="B11" activePane="bottomRight" state="frozen"/>
      <selection activeCell="B11" sqref="B11"/>
      <selection pane="topRight" activeCell="B11" sqref="B11"/>
      <selection pane="bottomLeft" activeCell="B11" sqref="B11"/>
      <selection pane="bottomRight"/>
    </sheetView>
  </sheetViews>
  <sheetFormatPr defaultColWidth="8.85546875" defaultRowHeight="15" x14ac:dyDescent="0.25"/>
  <cols>
    <col min="1" max="1" width="14.85546875" style="7" customWidth="1"/>
    <col min="2" max="2" width="8.42578125" style="7" customWidth="1"/>
    <col min="3" max="3" width="8.85546875" style="7" customWidth="1"/>
    <col min="4" max="5" width="8.85546875" style="7"/>
    <col min="6" max="6" width="10" style="7" customWidth="1"/>
    <col min="7" max="10" width="8.85546875" style="7"/>
    <col min="11" max="11" width="10" style="7" customWidth="1"/>
    <col min="12" max="15" width="8.85546875" style="7"/>
    <col min="16" max="16" width="10" style="7" customWidth="1"/>
    <col min="17" max="20" width="8.85546875" style="7"/>
    <col min="21" max="21" width="10" style="7" customWidth="1"/>
    <col min="22" max="25" width="8.85546875" style="7"/>
    <col min="26" max="26" width="10" style="7" customWidth="1"/>
    <col min="27" max="30" width="8.85546875" style="7"/>
    <col min="31" max="31" width="10" style="7" customWidth="1"/>
    <col min="32" max="16384" width="8.85546875" style="7"/>
  </cols>
  <sheetData>
    <row r="1" spans="1:31" s="416" customFormat="1" ht="19.5" thickBot="1" x14ac:dyDescent="0.35">
      <c r="A1" s="413"/>
      <c r="B1" s="1447"/>
      <c r="C1" s="1448"/>
      <c r="D1" s="1448"/>
      <c r="E1" s="1449"/>
      <c r="F1" s="414"/>
      <c r="G1" s="1450"/>
      <c r="H1" s="1451"/>
      <c r="I1" s="1451"/>
      <c r="J1" s="1452"/>
      <c r="K1" s="414"/>
      <c r="L1" s="1453"/>
      <c r="M1" s="1454"/>
      <c r="N1" s="1454"/>
      <c r="O1" s="1455"/>
      <c r="P1" s="415"/>
      <c r="Q1" s="1456"/>
      <c r="R1" s="1457"/>
      <c r="S1" s="1457"/>
      <c r="T1" s="1458"/>
      <c r="U1" s="415"/>
      <c r="V1" s="1459"/>
      <c r="W1" s="1460"/>
      <c r="X1" s="1460"/>
      <c r="Y1" s="1461"/>
      <c r="Z1" s="415"/>
      <c r="AA1" s="1444"/>
      <c r="AB1" s="1445"/>
      <c r="AC1" s="1445"/>
      <c r="AD1" s="1446"/>
      <c r="AE1" s="254"/>
    </row>
    <row r="2" spans="1:31" ht="108" customHeight="1" thickBot="1" x14ac:dyDescent="0.3">
      <c r="A2" s="417" t="s">
        <v>3</v>
      </c>
      <c r="B2" s="258"/>
      <c r="C2" s="259"/>
      <c r="D2" s="259"/>
      <c r="E2" s="418"/>
      <c r="F2" s="419"/>
      <c r="G2" s="420"/>
      <c r="H2" s="261"/>
      <c r="I2" s="261"/>
      <c r="J2" s="262"/>
      <c r="K2" s="421"/>
      <c r="L2" s="264"/>
      <c r="M2" s="265"/>
      <c r="N2" s="265"/>
      <c r="O2" s="266"/>
      <c r="P2" s="422"/>
      <c r="Q2" s="268"/>
      <c r="R2" s="269"/>
      <c r="S2" s="269"/>
      <c r="T2" s="270"/>
      <c r="U2" s="423"/>
      <c r="V2" s="424"/>
      <c r="W2" s="425"/>
      <c r="X2" s="425"/>
      <c r="Y2" s="426"/>
      <c r="Z2" s="272"/>
      <c r="AA2" s="273"/>
      <c r="AB2" s="274"/>
      <c r="AC2" s="274"/>
      <c r="AD2" s="275"/>
      <c r="AE2" s="276"/>
    </row>
    <row r="3" spans="1:31" x14ac:dyDescent="0.25">
      <c r="A3" s="277" t="s">
        <v>11</v>
      </c>
      <c r="B3" s="278"/>
      <c r="C3" s="279"/>
      <c r="D3" s="279"/>
      <c r="E3" s="427"/>
      <c r="F3" s="1245"/>
      <c r="G3" s="428"/>
      <c r="H3" s="283"/>
      <c r="I3" s="283"/>
      <c r="J3" s="284"/>
      <c r="K3" s="1261"/>
      <c r="L3" s="286"/>
      <c r="M3" s="287"/>
      <c r="N3" s="287"/>
      <c r="O3" s="288"/>
      <c r="P3" s="1277" t="s">
        <v>122</v>
      </c>
      <c r="Q3" s="290"/>
      <c r="R3" s="291"/>
      <c r="S3" s="291"/>
      <c r="T3" s="292"/>
      <c r="U3" s="1305" t="s">
        <v>122</v>
      </c>
      <c r="V3" s="294"/>
      <c r="W3" s="295"/>
      <c r="X3" s="295"/>
      <c r="Y3" s="296"/>
      <c r="Z3" s="1309" t="s">
        <v>122</v>
      </c>
      <c r="AA3" s="298"/>
      <c r="AB3" s="299"/>
      <c r="AC3" s="299"/>
      <c r="AD3" s="300"/>
      <c r="AE3" s="1324" t="s">
        <v>122</v>
      </c>
    </row>
    <row r="4" spans="1:31" ht="15.75" thickBot="1" x14ac:dyDescent="0.3">
      <c r="A4" s="277" t="s">
        <v>1</v>
      </c>
      <c r="B4" s="430"/>
      <c r="C4" s="431"/>
      <c r="D4" s="431"/>
      <c r="E4" s="432"/>
      <c r="F4" s="281"/>
      <c r="G4" s="433"/>
      <c r="H4" s="434"/>
      <c r="I4" s="434"/>
      <c r="J4" s="435"/>
      <c r="K4" s="285"/>
      <c r="L4" s="436"/>
      <c r="M4" s="437"/>
      <c r="N4" s="437"/>
      <c r="O4" s="438"/>
      <c r="P4" s="289"/>
      <c r="Q4" s="439"/>
      <c r="R4" s="440"/>
      <c r="S4" s="440"/>
      <c r="T4" s="441"/>
      <c r="U4" s="429"/>
      <c r="V4" s="442"/>
      <c r="W4" s="443"/>
      <c r="X4" s="443"/>
      <c r="Y4" s="444"/>
      <c r="Z4" s="297"/>
      <c r="AA4" s="445"/>
      <c r="AB4" s="446"/>
      <c r="AC4" s="446"/>
      <c r="AD4" s="447"/>
      <c r="AE4" s="301"/>
    </row>
    <row r="5" spans="1:31" x14ac:dyDescent="0.25">
      <c r="A5" s="277"/>
      <c r="B5" s="1239"/>
      <c r="C5" s="1240"/>
      <c r="D5" s="1240"/>
      <c r="E5" s="1241"/>
      <c r="F5" s="1246"/>
      <c r="G5" s="1249"/>
      <c r="H5" s="1250"/>
      <c r="I5" s="1250"/>
      <c r="J5" s="1251"/>
      <c r="K5" s="1262"/>
      <c r="L5" s="1265"/>
      <c r="M5" s="1266"/>
      <c r="N5" s="1266"/>
      <c r="O5" s="1267"/>
      <c r="P5" s="1278"/>
      <c r="Q5" s="1281"/>
      <c r="R5" s="1282"/>
      <c r="S5" s="1282"/>
      <c r="T5" s="1283"/>
      <c r="U5" s="1306"/>
      <c r="V5" s="1293"/>
      <c r="W5" s="1294"/>
      <c r="X5" s="1294"/>
      <c r="Y5" s="1295"/>
      <c r="Z5" s="467"/>
      <c r="AA5" s="1312"/>
      <c r="AB5" s="1313"/>
      <c r="AC5" s="1313"/>
      <c r="AD5" s="1314"/>
      <c r="AE5" s="471"/>
    </row>
    <row r="6" spans="1:31" x14ac:dyDescent="0.25">
      <c r="A6" s="277"/>
      <c r="B6" s="1242"/>
      <c r="C6" s="1243"/>
      <c r="D6" s="1243"/>
      <c r="E6" s="1244"/>
      <c r="F6" s="1246"/>
      <c r="G6" s="1252"/>
      <c r="H6" s="1253"/>
      <c r="I6" s="1253"/>
      <c r="J6" s="1254"/>
      <c r="K6" s="1262"/>
      <c r="L6" s="1268"/>
      <c r="M6" s="1269"/>
      <c r="N6" s="1269"/>
      <c r="O6" s="1270"/>
      <c r="P6" s="1278"/>
      <c r="Q6" s="1284"/>
      <c r="R6" s="1285"/>
      <c r="S6" s="1285"/>
      <c r="T6" s="1286"/>
      <c r="U6" s="1306"/>
      <c r="V6" s="1296"/>
      <c r="W6" s="1297"/>
      <c r="X6" s="1297"/>
      <c r="Y6" s="1298"/>
      <c r="Z6" s="467"/>
      <c r="AA6" s="1315"/>
      <c r="AB6" s="1316"/>
      <c r="AC6" s="1316"/>
      <c r="AD6" s="1317"/>
      <c r="AE6" s="471"/>
    </row>
    <row r="7" spans="1:31" x14ac:dyDescent="0.25">
      <c r="A7" s="277"/>
      <c r="B7" s="1233"/>
      <c r="C7" s="1234"/>
      <c r="D7" s="1234"/>
      <c r="E7" s="1235"/>
      <c r="F7" s="1247"/>
      <c r="G7" s="1255"/>
      <c r="H7" s="1256"/>
      <c r="I7" s="1256"/>
      <c r="J7" s="1257"/>
      <c r="K7" s="1263"/>
      <c r="L7" s="1271"/>
      <c r="M7" s="1272"/>
      <c r="N7" s="1272"/>
      <c r="O7" s="1273"/>
      <c r="P7" s="1279"/>
      <c r="Q7" s="1287"/>
      <c r="R7" s="1288"/>
      <c r="S7" s="1288"/>
      <c r="T7" s="1289"/>
      <c r="U7" s="1307"/>
      <c r="V7" s="1299"/>
      <c r="W7" s="1300"/>
      <c r="X7" s="1300"/>
      <c r="Y7" s="1301"/>
      <c r="Z7" s="1310"/>
      <c r="AA7" s="1318"/>
      <c r="AB7" s="1319"/>
      <c r="AC7" s="1319"/>
      <c r="AD7" s="1320"/>
      <c r="AE7" s="1325"/>
    </row>
    <row r="8" spans="1:31" ht="15.75" thickBot="1" x14ac:dyDescent="0.3">
      <c r="A8" s="277"/>
      <c r="B8" s="1236"/>
      <c r="C8" s="1237"/>
      <c r="D8" s="1237"/>
      <c r="E8" s="1238"/>
      <c r="F8" s="1248"/>
      <c r="G8" s="1258"/>
      <c r="H8" s="1259"/>
      <c r="I8" s="1259"/>
      <c r="J8" s="1260"/>
      <c r="K8" s="1264"/>
      <c r="L8" s="1274"/>
      <c r="M8" s="1275"/>
      <c r="N8" s="1275"/>
      <c r="O8" s="1276"/>
      <c r="P8" s="1280"/>
      <c r="Q8" s="1290"/>
      <c r="R8" s="1291"/>
      <c r="S8" s="1291"/>
      <c r="T8" s="1292"/>
      <c r="U8" s="1308"/>
      <c r="V8" s="1302"/>
      <c r="W8" s="1303"/>
      <c r="X8" s="1303"/>
      <c r="Y8" s="1304"/>
      <c r="Z8" s="1311"/>
      <c r="AA8" s="1321"/>
      <c r="AB8" s="1322"/>
      <c r="AC8" s="1322"/>
      <c r="AD8" s="1323"/>
      <c r="AE8" s="1326"/>
    </row>
    <row r="9" spans="1:31" ht="15.75" thickBot="1" x14ac:dyDescent="0.3">
      <c r="A9" s="277" t="s">
        <v>2</v>
      </c>
      <c r="B9" s="478"/>
      <c r="C9" s="479"/>
      <c r="D9" s="479"/>
      <c r="E9" s="480"/>
      <c r="F9" s="1100"/>
      <c r="G9" s="481"/>
      <c r="H9" s="482"/>
      <c r="I9" s="482"/>
      <c r="J9" s="483"/>
      <c r="K9" s="1101"/>
      <c r="L9" s="484"/>
      <c r="M9" s="485"/>
      <c r="N9" s="485"/>
      <c r="O9" s="486"/>
      <c r="P9" s="1102"/>
      <c r="Q9" s="487"/>
      <c r="R9" s="488"/>
      <c r="S9" s="488"/>
      <c r="T9" s="489"/>
      <c r="U9" s="1103"/>
      <c r="V9" s="490"/>
      <c r="W9" s="491"/>
      <c r="X9" s="491"/>
      <c r="Y9" s="492"/>
      <c r="Z9" s="1104"/>
      <c r="AA9" s="493"/>
      <c r="AB9" s="494"/>
      <c r="AC9" s="494"/>
      <c r="AD9" s="495"/>
      <c r="AE9" s="1105"/>
    </row>
    <row r="10" spans="1:31" ht="73.5" customHeight="1" thickBot="1" x14ac:dyDescent="0.3">
      <c r="A10" s="374" t="s">
        <v>0</v>
      </c>
      <c r="B10" s="375"/>
      <c r="C10" s="376"/>
      <c r="D10" s="376"/>
      <c r="E10" s="377"/>
      <c r="F10" s="378"/>
      <c r="G10" s="379"/>
      <c r="H10" s="380"/>
      <c r="I10" s="380"/>
      <c r="J10" s="381"/>
      <c r="K10" s="382"/>
      <c r="L10" s="383"/>
      <c r="M10" s="384"/>
      <c r="N10" s="384"/>
      <c r="O10" s="385"/>
      <c r="P10" s="386"/>
      <c r="Q10" s="387"/>
      <c r="R10" s="388"/>
      <c r="S10" s="388"/>
      <c r="T10" s="389"/>
      <c r="U10" s="496"/>
      <c r="V10" s="391"/>
      <c r="W10" s="392"/>
      <c r="X10" s="392"/>
      <c r="Y10" s="393"/>
      <c r="Z10" s="394"/>
      <c r="AA10" s="395"/>
      <c r="AB10" s="396"/>
      <c r="AC10" s="396"/>
      <c r="AD10" s="397"/>
      <c r="AE10" s="398"/>
    </row>
    <row r="11" spans="1:31" x14ac:dyDescent="0.25">
      <c r="A11" s="399">
        <v>0</v>
      </c>
      <c r="B11" s="497"/>
      <c r="C11" s="497"/>
      <c r="D11" s="497"/>
      <c r="E11" s="497"/>
      <c r="F11" s="498"/>
      <c r="G11" s="497"/>
      <c r="H11" s="497"/>
      <c r="I11" s="497"/>
      <c r="J11" s="497"/>
      <c r="K11" s="499"/>
      <c r="L11" s="497"/>
      <c r="M11" s="497"/>
      <c r="N11" s="497"/>
      <c r="O11" s="497"/>
      <c r="P11" s="500"/>
      <c r="Q11" s="497"/>
      <c r="R11" s="497"/>
      <c r="S11" s="497"/>
      <c r="T11" s="497"/>
      <c r="U11" s="501"/>
      <c r="V11" s="497"/>
      <c r="W11" s="497"/>
      <c r="X11" s="497"/>
      <c r="Y11" s="497"/>
      <c r="Z11" s="502"/>
      <c r="AA11" s="400"/>
      <c r="AB11" s="400"/>
      <c r="AC11" s="400"/>
      <c r="AD11" s="400"/>
      <c r="AE11" s="406"/>
    </row>
    <row r="12" spans="1:31" x14ac:dyDescent="0.25">
      <c r="A12" s="399">
        <v>1</v>
      </c>
      <c r="F12" s="503"/>
      <c r="K12" s="504"/>
      <c r="P12" s="505"/>
      <c r="U12" s="506"/>
      <c r="Z12" s="507"/>
      <c r="AA12" s="508"/>
      <c r="AB12" s="508"/>
      <c r="AC12" s="508"/>
      <c r="AD12" s="508"/>
      <c r="AE12" s="509"/>
    </row>
    <row r="13" spans="1:31" x14ac:dyDescent="0.25">
      <c r="A13" s="399">
        <v>2</v>
      </c>
      <c r="F13" s="503"/>
      <c r="K13" s="504"/>
      <c r="P13" s="505"/>
      <c r="U13" s="506"/>
      <c r="Z13" s="507"/>
      <c r="AA13" s="508"/>
      <c r="AB13" s="508"/>
      <c r="AC13" s="508"/>
      <c r="AD13" s="508"/>
      <c r="AE13" s="509"/>
    </row>
    <row r="14" spans="1:31" x14ac:dyDescent="0.25">
      <c r="A14" s="399">
        <v>3</v>
      </c>
      <c r="F14" s="503"/>
      <c r="K14" s="504"/>
      <c r="P14" s="505"/>
      <c r="U14" s="506"/>
      <c r="Z14" s="507"/>
      <c r="AA14" s="508"/>
      <c r="AB14" s="508"/>
      <c r="AC14" s="508"/>
      <c r="AD14" s="508"/>
      <c r="AE14" s="509"/>
    </row>
    <row r="15" spans="1:31" x14ac:dyDescent="0.25">
      <c r="A15" s="399">
        <v>4</v>
      </c>
      <c r="F15" s="503"/>
      <c r="K15" s="504"/>
      <c r="P15" s="505"/>
      <c r="U15" s="506"/>
      <c r="Z15" s="507"/>
      <c r="AA15" s="508"/>
      <c r="AB15" s="508"/>
      <c r="AC15" s="508"/>
      <c r="AD15" s="508"/>
      <c r="AE15" s="509"/>
    </row>
    <row r="16" spans="1:31" x14ac:dyDescent="0.25">
      <c r="A16" s="399">
        <v>5</v>
      </c>
      <c r="F16" s="503"/>
      <c r="K16" s="504"/>
      <c r="P16" s="505"/>
      <c r="U16" s="506"/>
      <c r="Z16" s="507"/>
      <c r="AA16" s="508"/>
      <c r="AB16" s="508"/>
      <c r="AC16" s="508"/>
      <c r="AD16" s="508"/>
      <c r="AE16" s="509"/>
    </row>
    <row r="17" spans="1:31" x14ac:dyDescent="0.25">
      <c r="A17" s="399">
        <v>6</v>
      </c>
      <c r="F17" s="503"/>
      <c r="K17" s="504"/>
      <c r="P17" s="505"/>
      <c r="U17" s="506"/>
      <c r="Z17" s="507"/>
      <c r="AA17" s="508"/>
      <c r="AB17" s="508"/>
      <c r="AC17" s="508"/>
      <c r="AD17" s="508"/>
      <c r="AE17" s="509"/>
    </row>
    <row r="18" spans="1:31" x14ac:dyDescent="0.25">
      <c r="A18" s="399">
        <v>7</v>
      </c>
      <c r="F18" s="503"/>
      <c r="K18" s="504"/>
      <c r="P18" s="505"/>
      <c r="U18" s="506"/>
      <c r="Z18" s="507"/>
      <c r="AA18" s="508"/>
      <c r="AB18" s="508"/>
      <c r="AC18" s="508"/>
      <c r="AD18" s="508"/>
      <c r="AE18" s="509"/>
    </row>
    <row r="19" spans="1:31" x14ac:dyDescent="0.25">
      <c r="A19" s="399">
        <v>8</v>
      </c>
      <c r="F19" s="503"/>
      <c r="K19" s="504"/>
      <c r="P19" s="505"/>
      <c r="U19" s="506"/>
      <c r="Z19" s="507"/>
      <c r="AA19" s="508"/>
      <c r="AB19" s="508"/>
      <c r="AC19" s="508"/>
      <c r="AD19" s="508"/>
      <c r="AE19" s="509"/>
    </row>
    <row r="20" spans="1:31" x14ac:dyDescent="0.25">
      <c r="A20" s="399">
        <v>9</v>
      </c>
      <c r="F20" s="503"/>
      <c r="K20" s="504"/>
      <c r="P20" s="505"/>
      <c r="U20" s="506"/>
      <c r="Z20" s="507"/>
      <c r="AA20" s="508"/>
      <c r="AB20" s="508"/>
      <c r="AC20" s="508"/>
      <c r="AD20" s="508"/>
      <c r="AE20" s="509"/>
    </row>
    <row r="21" spans="1:31" x14ac:dyDescent="0.25">
      <c r="A21" s="399">
        <v>10</v>
      </c>
      <c r="F21" s="503"/>
      <c r="K21" s="504"/>
      <c r="P21" s="505"/>
      <c r="U21" s="506"/>
      <c r="Z21" s="507"/>
      <c r="AA21" s="508"/>
      <c r="AB21" s="508"/>
      <c r="AC21" s="508"/>
      <c r="AD21" s="508"/>
      <c r="AE21" s="509"/>
    </row>
    <row r="22" spans="1:31" x14ac:dyDescent="0.25">
      <c r="A22" s="399">
        <v>11</v>
      </c>
      <c r="F22" s="503"/>
      <c r="K22" s="504"/>
      <c r="P22" s="505"/>
      <c r="U22" s="506"/>
      <c r="Z22" s="507"/>
      <c r="AA22" s="508"/>
      <c r="AB22" s="508"/>
      <c r="AC22" s="508"/>
      <c r="AD22" s="508"/>
      <c r="AE22" s="509"/>
    </row>
    <row r="23" spans="1:31" x14ac:dyDescent="0.25">
      <c r="A23" s="399">
        <v>12</v>
      </c>
      <c r="F23" s="503"/>
      <c r="K23" s="504"/>
      <c r="P23" s="505"/>
      <c r="U23" s="506"/>
      <c r="Z23" s="507"/>
      <c r="AA23" s="508"/>
      <c r="AB23" s="508"/>
      <c r="AC23" s="508"/>
      <c r="AD23" s="508"/>
      <c r="AE23" s="509"/>
    </row>
    <row r="24" spans="1:31" x14ac:dyDescent="0.25">
      <c r="A24" s="399">
        <v>13</v>
      </c>
      <c r="F24" s="503"/>
      <c r="K24" s="504"/>
      <c r="P24" s="505"/>
      <c r="U24" s="506"/>
      <c r="Z24" s="507"/>
      <c r="AA24" s="508"/>
      <c r="AB24" s="508"/>
      <c r="AC24" s="508"/>
      <c r="AD24" s="508"/>
      <c r="AE24" s="509"/>
    </row>
    <row r="25" spans="1:31" x14ac:dyDescent="0.25">
      <c r="A25" s="399">
        <v>14</v>
      </c>
      <c r="F25" s="503"/>
      <c r="K25" s="504"/>
      <c r="P25" s="505"/>
      <c r="U25" s="506"/>
      <c r="Z25" s="507"/>
      <c r="AA25" s="508"/>
      <c r="AB25" s="508"/>
      <c r="AC25" s="508"/>
      <c r="AD25" s="508"/>
      <c r="AE25" s="509"/>
    </row>
    <row r="26" spans="1:31" x14ac:dyDescent="0.25">
      <c r="A26" s="399">
        <v>15</v>
      </c>
      <c r="F26" s="503"/>
      <c r="K26" s="504"/>
      <c r="P26" s="505"/>
      <c r="U26" s="506"/>
      <c r="Z26" s="507"/>
      <c r="AA26" s="508"/>
      <c r="AB26" s="508"/>
      <c r="AC26" s="508"/>
      <c r="AD26" s="508"/>
      <c r="AE26" s="509"/>
    </row>
    <row r="27" spans="1:31" x14ac:dyDescent="0.25">
      <c r="A27" s="399">
        <v>16</v>
      </c>
      <c r="F27" s="503"/>
      <c r="K27" s="504"/>
      <c r="P27" s="505"/>
      <c r="U27" s="506"/>
      <c r="Z27" s="507"/>
      <c r="AA27" s="508"/>
      <c r="AB27" s="508"/>
      <c r="AC27" s="508"/>
      <c r="AD27" s="508"/>
      <c r="AE27" s="509"/>
    </row>
    <row r="28" spans="1:31" x14ac:dyDescent="0.25">
      <c r="A28" s="399">
        <v>17</v>
      </c>
      <c r="F28" s="503"/>
      <c r="K28" s="504"/>
      <c r="P28" s="505"/>
      <c r="U28" s="506"/>
      <c r="Z28" s="507"/>
      <c r="AA28" s="508"/>
      <c r="AB28" s="508"/>
      <c r="AC28" s="508"/>
      <c r="AD28" s="508"/>
      <c r="AE28" s="509"/>
    </row>
    <row r="29" spans="1:31" x14ac:dyDescent="0.25">
      <c r="A29" s="399">
        <v>18</v>
      </c>
      <c r="F29" s="503"/>
      <c r="K29" s="504"/>
      <c r="P29" s="505"/>
      <c r="U29" s="506"/>
      <c r="Z29" s="507"/>
      <c r="AA29" s="508"/>
      <c r="AB29" s="508"/>
      <c r="AC29" s="508"/>
      <c r="AD29" s="508"/>
      <c r="AE29" s="509"/>
    </row>
    <row r="30" spans="1:31" x14ac:dyDescent="0.25">
      <c r="A30" s="399">
        <v>19</v>
      </c>
      <c r="F30" s="503"/>
      <c r="K30" s="504"/>
      <c r="P30" s="505"/>
      <c r="U30" s="506"/>
      <c r="Z30" s="507"/>
      <c r="AA30" s="508"/>
      <c r="AB30" s="508"/>
      <c r="AC30" s="508"/>
      <c r="AD30" s="508"/>
      <c r="AE30" s="509"/>
    </row>
    <row r="31" spans="1:31" x14ac:dyDescent="0.25">
      <c r="A31" s="399">
        <v>20</v>
      </c>
      <c r="F31" s="503"/>
      <c r="K31" s="504"/>
      <c r="P31" s="505"/>
      <c r="U31" s="506"/>
      <c r="Z31" s="507"/>
      <c r="AA31" s="508"/>
      <c r="AB31" s="508"/>
      <c r="AC31" s="508"/>
      <c r="AD31" s="508"/>
      <c r="AE31" s="509"/>
    </row>
    <row r="32" spans="1:31" x14ac:dyDescent="0.25">
      <c r="A32" s="399">
        <v>21</v>
      </c>
      <c r="F32" s="503"/>
      <c r="K32" s="504"/>
      <c r="P32" s="505"/>
      <c r="U32" s="506"/>
      <c r="Z32" s="507"/>
      <c r="AA32" s="508"/>
      <c r="AB32" s="508"/>
      <c r="AC32" s="508"/>
      <c r="AD32" s="508"/>
      <c r="AE32" s="509"/>
    </row>
    <row r="33" spans="1:31" x14ac:dyDescent="0.25">
      <c r="A33" s="399">
        <v>22</v>
      </c>
      <c r="F33" s="503"/>
      <c r="K33" s="504"/>
      <c r="P33" s="505"/>
      <c r="U33" s="506"/>
      <c r="Z33" s="507"/>
      <c r="AA33" s="508"/>
      <c r="AB33" s="508"/>
      <c r="AC33" s="508"/>
      <c r="AD33" s="508"/>
      <c r="AE33" s="509"/>
    </row>
    <row r="34" spans="1:31" x14ac:dyDescent="0.25">
      <c r="A34" s="399">
        <v>23</v>
      </c>
      <c r="F34" s="503"/>
      <c r="K34" s="504"/>
      <c r="P34" s="505"/>
      <c r="U34" s="506"/>
      <c r="Z34" s="507"/>
      <c r="AA34" s="508"/>
      <c r="AB34" s="508"/>
      <c r="AC34" s="508"/>
      <c r="AD34" s="508"/>
      <c r="AE34" s="509"/>
    </row>
    <row r="35" spans="1:31" x14ac:dyDescent="0.25">
      <c r="A35" s="399">
        <v>24</v>
      </c>
      <c r="F35" s="503"/>
      <c r="K35" s="504"/>
      <c r="P35" s="505"/>
      <c r="U35" s="506"/>
      <c r="Z35" s="507"/>
      <c r="AA35" s="508"/>
      <c r="AB35" s="508"/>
      <c r="AC35" s="508"/>
      <c r="AD35" s="508"/>
      <c r="AE35" s="509"/>
    </row>
    <row r="36" spans="1:31" x14ac:dyDescent="0.25">
      <c r="A36" s="399">
        <v>25</v>
      </c>
      <c r="F36" s="503"/>
      <c r="K36" s="504"/>
      <c r="P36" s="505"/>
      <c r="U36" s="506"/>
      <c r="Z36" s="507"/>
      <c r="AA36" s="508"/>
      <c r="AB36" s="508"/>
      <c r="AC36" s="508"/>
      <c r="AD36" s="508"/>
      <c r="AE36" s="509"/>
    </row>
    <row r="37" spans="1:31" x14ac:dyDescent="0.25">
      <c r="A37" s="399">
        <v>26</v>
      </c>
      <c r="F37" s="503"/>
      <c r="K37" s="504"/>
      <c r="P37" s="505"/>
      <c r="U37" s="506"/>
      <c r="Z37" s="507"/>
      <c r="AA37" s="508"/>
      <c r="AB37" s="508"/>
      <c r="AC37" s="508"/>
      <c r="AD37" s="508"/>
      <c r="AE37" s="509"/>
    </row>
    <row r="38" spans="1:31" x14ac:dyDescent="0.25">
      <c r="A38" s="399">
        <v>27</v>
      </c>
      <c r="F38" s="503"/>
      <c r="K38" s="504"/>
      <c r="P38" s="505"/>
      <c r="U38" s="506"/>
      <c r="Z38" s="507"/>
      <c r="AA38" s="508"/>
      <c r="AB38" s="508"/>
      <c r="AC38" s="508"/>
      <c r="AD38" s="508"/>
      <c r="AE38" s="509"/>
    </row>
    <row r="39" spans="1:31" x14ac:dyDescent="0.25">
      <c r="A39" s="399">
        <v>28</v>
      </c>
      <c r="F39" s="503"/>
      <c r="K39" s="504"/>
      <c r="P39" s="505"/>
      <c r="U39" s="506"/>
      <c r="Z39" s="507"/>
      <c r="AA39" s="508"/>
      <c r="AB39" s="508"/>
      <c r="AC39" s="508"/>
      <c r="AD39" s="508"/>
      <c r="AE39" s="509"/>
    </row>
    <row r="40" spans="1:31" x14ac:dyDescent="0.25">
      <c r="A40" s="399">
        <v>29</v>
      </c>
      <c r="F40" s="503"/>
      <c r="K40" s="504"/>
      <c r="P40" s="505"/>
      <c r="U40" s="506"/>
      <c r="Z40" s="507"/>
      <c r="AA40" s="508"/>
      <c r="AB40" s="508"/>
      <c r="AC40" s="508"/>
      <c r="AD40" s="508"/>
      <c r="AE40" s="509"/>
    </row>
    <row r="41" spans="1:31" x14ac:dyDescent="0.25">
      <c r="A41" s="399">
        <v>30</v>
      </c>
      <c r="F41" s="503"/>
      <c r="K41" s="504"/>
      <c r="P41" s="505"/>
      <c r="U41" s="506"/>
      <c r="Z41" s="507"/>
      <c r="AA41" s="508"/>
      <c r="AB41" s="508"/>
      <c r="AC41" s="508"/>
      <c r="AD41" s="508"/>
      <c r="AE41" s="509"/>
    </row>
    <row r="42" spans="1:31" x14ac:dyDescent="0.25">
      <c r="A42" s="399">
        <v>31</v>
      </c>
      <c r="F42" s="503"/>
      <c r="K42" s="504"/>
      <c r="P42" s="505"/>
      <c r="U42" s="506"/>
      <c r="Z42" s="507"/>
      <c r="AA42" s="508"/>
      <c r="AB42" s="508"/>
      <c r="AC42" s="508"/>
      <c r="AD42" s="508"/>
      <c r="AE42" s="509"/>
    </row>
    <row r="43" spans="1:31" x14ac:dyDescent="0.25">
      <c r="A43" s="399">
        <v>32</v>
      </c>
      <c r="F43" s="503"/>
      <c r="K43" s="504"/>
      <c r="P43" s="505"/>
      <c r="U43" s="506"/>
      <c r="Z43" s="507"/>
      <c r="AA43" s="508"/>
      <c r="AB43" s="508"/>
      <c r="AC43" s="508"/>
      <c r="AD43" s="508"/>
      <c r="AE43" s="509"/>
    </row>
    <row r="44" spans="1:31" x14ac:dyDescent="0.25">
      <c r="A44" s="399">
        <v>33</v>
      </c>
      <c r="F44" s="503"/>
      <c r="K44" s="504"/>
      <c r="P44" s="505"/>
      <c r="U44" s="506"/>
      <c r="Z44" s="507"/>
      <c r="AA44" s="508"/>
      <c r="AB44" s="508"/>
      <c r="AC44" s="508"/>
      <c r="AD44" s="508"/>
      <c r="AE44" s="509"/>
    </row>
    <row r="45" spans="1:31" x14ac:dyDescent="0.25">
      <c r="A45" s="399">
        <v>34</v>
      </c>
      <c r="F45" s="503"/>
      <c r="K45" s="504"/>
      <c r="P45" s="505"/>
      <c r="U45" s="506"/>
      <c r="Z45" s="507"/>
      <c r="AA45" s="508"/>
      <c r="AB45" s="508"/>
      <c r="AC45" s="508"/>
      <c r="AD45" s="508"/>
      <c r="AE45" s="509"/>
    </row>
    <row r="46" spans="1:31" x14ac:dyDescent="0.25">
      <c r="A46" s="399">
        <v>35</v>
      </c>
      <c r="F46" s="503"/>
      <c r="K46" s="504"/>
      <c r="P46" s="505"/>
      <c r="U46" s="506"/>
      <c r="Z46" s="507"/>
      <c r="AA46" s="508"/>
      <c r="AB46" s="508"/>
      <c r="AC46" s="508"/>
      <c r="AD46" s="508"/>
      <c r="AE46" s="509"/>
    </row>
    <row r="47" spans="1:31" x14ac:dyDescent="0.25">
      <c r="A47" s="399">
        <v>36</v>
      </c>
      <c r="F47" s="503"/>
      <c r="K47" s="504"/>
      <c r="P47" s="505"/>
      <c r="U47" s="506"/>
      <c r="Z47" s="507"/>
      <c r="AA47" s="508"/>
      <c r="AB47" s="508"/>
      <c r="AC47" s="508"/>
      <c r="AD47" s="508"/>
      <c r="AE47" s="509"/>
    </row>
    <row r="48" spans="1:31" x14ac:dyDescent="0.25">
      <c r="A48" s="399">
        <v>37</v>
      </c>
      <c r="F48" s="503"/>
      <c r="K48" s="504"/>
      <c r="P48" s="505"/>
      <c r="U48" s="506"/>
      <c r="Z48" s="507"/>
      <c r="AA48" s="508"/>
      <c r="AB48" s="508"/>
      <c r="AC48" s="508"/>
      <c r="AD48" s="508"/>
      <c r="AE48" s="509"/>
    </row>
    <row r="49" spans="1:31" x14ac:dyDescent="0.25">
      <c r="A49" s="399">
        <v>38</v>
      </c>
      <c r="F49" s="503"/>
      <c r="K49" s="504"/>
      <c r="P49" s="505"/>
      <c r="U49" s="506"/>
      <c r="Z49" s="507"/>
      <c r="AA49" s="508"/>
      <c r="AB49" s="508"/>
      <c r="AC49" s="508"/>
      <c r="AD49" s="508"/>
      <c r="AE49" s="509"/>
    </row>
    <row r="50" spans="1:31" x14ac:dyDescent="0.25">
      <c r="A50" s="399">
        <v>39</v>
      </c>
      <c r="F50" s="503"/>
      <c r="K50" s="504"/>
      <c r="P50" s="505"/>
      <c r="U50" s="506"/>
      <c r="Z50" s="507"/>
      <c r="AA50" s="508"/>
      <c r="AB50" s="508"/>
      <c r="AC50" s="508"/>
      <c r="AD50" s="508"/>
      <c r="AE50" s="509"/>
    </row>
    <row r="51" spans="1:31" x14ac:dyDescent="0.25">
      <c r="A51" s="399">
        <v>40</v>
      </c>
      <c r="F51" s="503"/>
      <c r="K51" s="504"/>
      <c r="P51" s="505"/>
      <c r="U51" s="506"/>
      <c r="Z51" s="507"/>
      <c r="AA51" s="508"/>
      <c r="AB51" s="508"/>
      <c r="AC51" s="508"/>
      <c r="AD51" s="508"/>
      <c r="AE51" s="509"/>
    </row>
    <row r="52" spans="1:31" x14ac:dyDescent="0.25">
      <c r="A52" s="399">
        <v>41</v>
      </c>
      <c r="F52" s="503"/>
      <c r="K52" s="504"/>
      <c r="P52" s="505"/>
      <c r="U52" s="506"/>
      <c r="Z52" s="507"/>
      <c r="AA52" s="508"/>
      <c r="AB52" s="508"/>
      <c r="AC52" s="508"/>
      <c r="AD52" s="508"/>
      <c r="AE52" s="509"/>
    </row>
    <row r="53" spans="1:31" x14ac:dyDescent="0.25">
      <c r="A53" s="399">
        <v>42</v>
      </c>
      <c r="F53" s="503"/>
      <c r="K53" s="504"/>
      <c r="P53" s="505"/>
      <c r="U53" s="506"/>
      <c r="Z53" s="507"/>
      <c r="AA53" s="508"/>
      <c r="AB53" s="508"/>
      <c r="AC53" s="508"/>
      <c r="AD53" s="508"/>
      <c r="AE53" s="509"/>
    </row>
    <row r="54" spans="1:31" x14ac:dyDescent="0.25">
      <c r="A54" s="399">
        <v>43</v>
      </c>
      <c r="F54" s="503"/>
      <c r="K54" s="504"/>
      <c r="P54" s="505"/>
      <c r="U54" s="506"/>
      <c r="Z54" s="507"/>
      <c r="AA54" s="508"/>
      <c r="AB54" s="508"/>
      <c r="AC54" s="508"/>
      <c r="AD54" s="508"/>
      <c r="AE54" s="509"/>
    </row>
    <row r="55" spans="1:31" x14ac:dyDescent="0.25">
      <c r="A55" s="399">
        <v>44</v>
      </c>
      <c r="F55" s="503"/>
      <c r="K55" s="504"/>
      <c r="P55" s="505"/>
      <c r="U55" s="506"/>
      <c r="Z55" s="507"/>
      <c r="AA55" s="508"/>
      <c r="AB55" s="508"/>
      <c r="AC55" s="508"/>
      <c r="AD55" s="508"/>
      <c r="AE55" s="509"/>
    </row>
    <row r="56" spans="1:31" x14ac:dyDescent="0.25">
      <c r="A56" s="399">
        <v>45</v>
      </c>
      <c r="F56" s="503"/>
      <c r="K56" s="504"/>
      <c r="P56" s="505"/>
      <c r="U56" s="506"/>
      <c r="Z56" s="507"/>
      <c r="AA56" s="508"/>
      <c r="AB56" s="508"/>
      <c r="AC56" s="508"/>
      <c r="AD56" s="508"/>
      <c r="AE56" s="509"/>
    </row>
    <row r="57" spans="1:31" x14ac:dyDescent="0.25">
      <c r="A57" s="399">
        <v>46</v>
      </c>
      <c r="F57" s="503"/>
      <c r="K57" s="504"/>
      <c r="P57" s="505"/>
      <c r="U57" s="506"/>
      <c r="Z57" s="507"/>
      <c r="AA57" s="508"/>
      <c r="AB57" s="508"/>
      <c r="AC57" s="508"/>
      <c r="AD57" s="508"/>
      <c r="AE57" s="509"/>
    </row>
    <row r="58" spans="1:31" x14ac:dyDescent="0.25">
      <c r="A58" s="399">
        <v>47</v>
      </c>
      <c r="F58" s="503"/>
      <c r="K58" s="504"/>
      <c r="P58" s="505"/>
      <c r="U58" s="506"/>
      <c r="Z58" s="507"/>
      <c r="AA58" s="508"/>
      <c r="AB58" s="508"/>
      <c r="AC58" s="508"/>
      <c r="AD58" s="508"/>
      <c r="AE58" s="509"/>
    </row>
    <row r="59" spans="1:31" x14ac:dyDescent="0.25">
      <c r="A59" s="399">
        <v>48</v>
      </c>
      <c r="F59" s="503"/>
      <c r="K59" s="504"/>
      <c r="P59" s="505"/>
      <c r="U59" s="506"/>
      <c r="Z59" s="507"/>
      <c r="AA59" s="508"/>
      <c r="AB59" s="508"/>
      <c r="AC59" s="508"/>
      <c r="AD59" s="508"/>
      <c r="AE59" s="509"/>
    </row>
    <row r="60" spans="1:31" x14ac:dyDescent="0.25">
      <c r="A60" s="399">
        <v>49</v>
      </c>
      <c r="F60" s="503"/>
      <c r="K60" s="504"/>
      <c r="P60" s="505"/>
      <c r="U60" s="506"/>
      <c r="Z60" s="507"/>
      <c r="AA60" s="508"/>
      <c r="AB60" s="508"/>
      <c r="AC60" s="508"/>
      <c r="AD60" s="508"/>
      <c r="AE60" s="509"/>
    </row>
    <row r="61" spans="1:31" x14ac:dyDescent="0.25">
      <c r="A61" s="399">
        <v>50</v>
      </c>
      <c r="F61" s="503"/>
      <c r="K61" s="504"/>
      <c r="P61" s="505"/>
      <c r="U61" s="506"/>
      <c r="Z61" s="507"/>
      <c r="AA61" s="508"/>
      <c r="AB61" s="508"/>
      <c r="AC61" s="508"/>
      <c r="AD61" s="508"/>
      <c r="AE61" s="509"/>
    </row>
    <row r="62" spans="1:31" x14ac:dyDescent="0.25">
      <c r="A62" s="399">
        <v>51</v>
      </c>
      <c r="F62" s="503"/>
      <c r="K62" s="504"/>
      <c r="P62" s="505"/>
      <c r="U62" s="506"/>
      <c r="Z62" s="507"/>
      <c r="AA62" s="508"/>
      <c r="AB62" s="508"/>
      <c r="AC62" s="508"/>
      <c r="AD62" s="508"/>
      <c r="AE62" s="509"/>
    </row>
    <row r="63" spans="1:31" x14ac:dyDescent="0.25">
      <c r="A63" s="399">
        <v>52</v>
      </c>
      <c r="F63" s="503"/>
      <c r="K63" s="504"/>
      <c r="P63" s="505"/>
      <c r="U63" s="506"/>
      <c r="Z63" s="507"/>
      <c r="AA63" s="508"/>
      <c r="AB63" s="508"/>
      <c r="AC63" s="508"/>
      <c r="AD63" s="508"/>
      <c r="AE63" s="509"/>
    </row>
    <row r="64" spans="1:31" x14ac:dyDescent="0.25">
      <c r="A64" s="399">
        <v>53</v>
      </c>
      <c r="F64" s="503"/>
      <c r="K64" s="504"/>
      <c r="P64" s="505"/>
      <c r="U64" s="506"/>
      <c r="Z64" s="507"/>
      <c r="AA64" s="508"/>
      <c r="AB64" s="508"/>
      <c r="AC64" s="508"/>
      <c r="AD64" s="508"/>
      <c r="AE64" s="509"/>
    </row>
    <row r="65" spans="1:31" x14ac:dyDescent="0.25">
      <c r="A65" s="399">
        <v>54</v>
      </c>
      <c r="F65" s="503"/>
      <c r="K65" s="504"/>
      <c r="P65" s="505"/>
      <c r="U65" s="506"/>
      <c r="Z65" s="507"/>
      <c r="AA65" s="508"/>
      <c r="AB65" s="508"/>
      <c r="AC65" s="508"/>
      <c r="AD65" s="508"/>
      <c r="AE65" s="509"/>
    </row>
    <row r="66" spans="1:31" x14ac:dyDescent="0.25">
      <c r="A66" s="399">
        <v>55</v>
      </c>
      <c r="F66" s="503"/>
      <c r="K66" s="504"/>
      <c r="P66" s="505"/>
      <c r="U66" s="506"/>
      <c r="Z66" s="507"/>
      <c r="AA66" s="508"/>
      <c r="AB66" s="508"/>
      <c r="AC66" s="508"/>
      <c r="AD66" s="508"/>
      <c r="AE66" s="509"/>
    </row>
    <row r="67" spans="1:31" x14ac:dyDescent="0.25">
      <c r="A67" s="399">
        <v>56</v>
      </c>
      <c r="F67" s="503"/>
      <c r="K67" s="504"/>
      <c r="P67" s="505"/>
      <c r="U67" s="506"/>
      <c r="Z67" s="507"/>
      <c r="AA67" s="508"/>
      <c r="AB67" s="508"/>
      <c r="AC67" s="508"/>
      <c r="AD67" s="508"/>
      <c r="AE67" s="509"/>
    </row>
    <row r="68" spans="1:31" x14ac:dyDescent="0.25">
      <c r="A68" s="399">
        <v>57</v>
      </c>
      <c r="F68" s="503"/>
      <c r="K68" s="504"/>
      <c r="P68" s="505"/>
      <c r="U68" s="506"/>
      <c r="Z68" s="507"/>
      <c r="AA68" s="508"/>
      <c r="AB68" s="508"/>
      <c r="AC68" s="508"/>
      <c r="AD68" s="508"/>
      <c r="AE68" s="509"/>
    </row>
    <row r="69" spans="1:31" x14ac:dyDescent="0.25">
      <c r="A69" s="399">
        <v>58</v>
      </c>
      <c r="F69" s="503"/>
      <c r="K69" s="504"/>
      <c r="P69" s="505"/>
      <c r="U69" s="506"/>
      <c r="Z69" s="507"/>
      <c r="AA69" s="508"/>
      <c r="AB69" s="508"/>
      <c r="AC69" s="508"/>
      <c r="AD69" s="508"/>
      <c r="AE69" s="509"/>
    </row>
    <row r="70" spans="1:31" x14ac:dyDescent="0.25">
      <c r="A70" s="399">
        <v>59</v>
      </c>
      <c r="F70" s="503"/>
      <c r="K70" s="504"/>
      <c r="P70" s="505"/>
      <c r="U70" s="506"/>
      <c r="Z70" s="507"/>
      <c r="AA70" s="508"/>
      <c r="AB70" s="508"/>
      <c r="AC70" s="508"/>
      <c r="AD70" s="508"/>
      <c r="AE70" s="509"/>
    </row>
    <row r="71" spans="1:31" x14ac:dyDescent="0.25">
      <c r="A71" s="399">
        <v>60</v>
      </c>
      <c r="F71" s="503"/>
      <c r="K71" s="504"/>
      <c r="P71" s="505"/>
      <c r="U71" s="506"/>
      <c r="Z71" s="507"/>
      <c r="AA71" s="508"/>
      <c r="AB71" s="508"/>
      <c r="AC71" s="508"/>
      <c r="AD71" s="508"/>
      <c r="AE71" s="509"/>
    </row>
    <row r="72" spans="1:31" x14ac:dyDescent="0.25">
      <c r="A72" s="399">
        <v>61</v>
      </c>
      <c r="F72" s="503"/>
      <c r="K72" s="504"/>
      <c r="P72" s="505"/>
      <c r="U72" s="506"/>
      <c r="Z72" s="507"/>
      <c r="AA72" s="508"/>
      <c r="AB72" s="508"/>
      <c r="AC72" s="508"/>
      <c r="AD72" s="508"/>
      <c r="AE72" s="509"/>
    </row>
    <row r="73" spans="1:31" x14ac:dyDescent="0.25">
      <c r="A73" s="399">
        <v>62</v>
      </c>
      <c r="F73" s="503"/>
      <c r="K73" s="504"/>
      <c r="P73" s="505"/>
      <c r="U73" s="506"/>
      <c r="Z73" s="507"/>
      <c r="AA73" s="508"/>
      <c r="AB73" s="508"/>
      <c r="AC73" s="508"/>
      <c r="AD73" s="508"/>
      <c r="AE73" s="509"/>
    </row>
    <row r="74" spans="1:31" x14ac:dyDescent="0.25">
      <c r="A74" s="399">
        <v>63</v>
      </c>
      <c r="F74" s="503"/>
      <c r="K74" s="504"/>
      <c r="P74" s="505"/>
      <c r="U74" s="506"/>
      <c r="Z74" s="507"/>
      <c r="AA74" s="508"/>
      <c r="AB74" s="508"/>
      <c r="AC74" s="508"/>
      <c r="AD74" s="508"/>
      <c r="AE74" s="509"/>
    </row>
    <row r="75" spans="1:31" x14ac:dyDescent="0.25">
      <c r="A75" s="399">
        <v>64</v>
      </c>
      <c r="F75" s="503"/>
      <c r="K75" s="504"/>
      <c r="P75" s="505"/>
      <c r="U75" s="506"/>
      <c r="Z75" s="507"/>
      <c r="AA75" s="508"/>
      <c r="AB75" s="508"/>
      <c r="AC75" s="508"/>
      <c r="AD75" s="508"/>
      <c r="AE75" s="509"/>
    </row>
    <row r="76" spans="1:31" x14ac:dyDescent="0.25">
      <c r="A76" s="399">
        <v>65</v>
      </c>
      <c r="F76" s="503"/>
      <c r="K76" s="504"/>
      <c r="P76" s="505"/>
      <c r="U76" s="506"/>
      <c r="Z76" s="507"/>
      <c r="AA76" s="508"/>
      <c r="AB76" s="508"/>
      <c r="AC76" s="508"/>
      <c r="AD76" s="508"/>
      <c r="AE76" s="509"/>
    </row>
    <row r="77" spans="1:31" x14ac:dyDescent="0.25">
      <c r="A77" s="399">
        <v>66</v>
      </c>
      <c r="F77" s="503"/>
      <c r="K77" s="504"/>
      <c r="P77" s="505"/>
      <c r="U77" s="506"/>
      <c r="Z77" s="507"/>
      <c r="AA77" s="508"/>
      <c r="AB77" s="508"/>
      <c r="AC77" s="508"/>
      <c r="AD77" s="508"/>
      <c r="AE77" s="509"/>
    </row>
    <row r="78" spans="1:31" x14ac:dyDescent="0.25">
      <c r="A78" s="399">
        <v>67</v>
      </c>
      <c r="F78" s="503"/>
      <c r="K78" s="504"/>
      <c r="P78" s="505"/>
      <c r="U78" s="506"/>
      <c r="Z78" s="507"/>
      <c r="AA78" s="508"/>
      <c r="AB78" s="508"/>
      <c r="AC78" s="508"/>
      <c r="AD78" s="508"/>
      <c r="AE78" s="509"/>
    </row>
    <row r="79" spans="1:31" x14ac:dyDescent="0.25">
      <c r="A79" s="399">
        <v>68</v>
      </c>
      <c r="F79" s="503"/>
      <c r="K79" s="504"/>
      <c r="P79" s="505"/>
      <c r="U79" s="506"/>
      <c r="Z79" s="507"/>
      <c r="AA79" s="508"/>
      <c r="AB79" s="508"/>
      <c r="AC79" s="508"/>
      <c r="AD79" s="508"/>
      <c r="AE79" s="509"/>
    </row>
    <row r="80" spans="1:31" x14ac:dyDescent="0.25">
      <c r="A80" s="399">
        <v>69</v>
      </c>
      <c r="F80" s="503"/>
      <c r="K80" s="504"/>
      <c r="P80" s="505"/>
      <c r="U80" s="506"/>
      <c r="Z80" s="507"/>
      <c r="AA80" s="508"/>
      <c r="AB80" s="508"/>
      <c r="AC80" s="508"/>
      <c r="AD80" s="508"/>
      <c r="AE80" s="509"/>
    </row>
    <row r="81" spans="1:31" x14ac:dyDescent="0.25">
      <c r="A81" s="399">
        <v>70</v>
      </c>
      <c r="F81" s="503"/>
      <c r="K81" s="504"/>
      <c r="P81" s="505"/>
      <c r="U81" s="506"/>
      <c r="Z81" s="507"/>
      <c r="AA81" s="508"/>
      <c r="AB81" s="508"/>
      <c r="AC81" s="508"/>
      <c r="AD81" s="508"/>
      <c r="AE81" s="509"/>
    </row>
    <row r="82" spans="1:31" x14ac:dyDescent="0.25">
      <c r="A82" s="399">
        <v>71</v>
      </c>
      <c r="F82" s="503"/>
      <c r="K82" s="504"/>
      <c r="P82" s="505"/>
      <c r="U82" s="506"/>
      <c r="Z82" s="507"/>
      <c r="AA82" s="508"/>
      <c r="AB82" s="508"/>
      <c r="AC82" s="508"/>
      <c r="AD82" s="508"/>
      <c r="AE82" s="509"/>
    </row>
    <row r="83" spans="1:31" x14ac:dyDescent="0.25">
      <c r="A83" s="399">
        <v>72</v>
      </c>
      <c r="F83" s="503"/>
      <c r="K83" s="504"/>
      <c r="P83" s="505"/>
      <c r="U83" s="506"/>
      <c r="Z83" s="507"/>
      <c r="AA83" s="508"/>
      <c r="AB83" s="508"/>
      <c r="AC83" s="508"/>
      <c r="AD83" s="508"/>
      <c r="AE83" s="509"/>
    </row>
    <row r="84" spans="1:31" x14ac:dyDescent="0.25">
      <c r="A84" s="399">
        <v>73</v>
      </c>
      <c r="F84" s="503"/>
      <c r="K84" s="504"/>
      <c r="P84" s="505"/>
      <c r="U84" s="506"/>
      <c r="Z84" s="507"/>
      <c r="AA84" s="508"/>
      <c r="AB84" s="508"/>
      <c r="AC84" s="508"/>
      <c r="AD84" s="508"/>
      <c r="AE84" s="509"/>
    </row>
    <row r="85" spans="1:31" x14ac:dyDescent="0.25">
      <c r="A85" s="399">
        <v>74</v>
      </c>
      <c r="F85" s="503"/>
      <c r="K85" s="504"/>
      <c r="P85" s="505"/>
      <c r="U85" s="506"/>
      <c r="Z85" s="507"/>
      <c r="AA85" s="508"/>
      <c r="AB85" s="508"/>
      <c r="AC85" s="508"/>
      <c r="AD85" s="508"/>
      <c r="AE85" s="509"/>
    </row>
    <row r="86" spans="1:31" x14ac:dyDescent="0.25">
      <c r="A86" s="399">
        <v>75</v>
      </c>
      <c r="F86" s="503"/>
      <c r="K86" s="504"/>
      <c r="P86" s="505"/>
      <c r="U86" s="506"/>
      <c r="Z86" s="507"/>
      <c r="AA86" s="508"/>
      <c r="AB86" s="508"/>
      <c r="AC86" s="508"/>
      <c r="AD86" s="508"/>
      <c r="AE86" s="509"/>
    </row>
    <row r="87" spans="1:31" x14ac:dyDescent="0.25">
      <c r="A87" s="399">
        <v>76</v>
      </c>
      <c r="F87" s="503"/>
      <c r="K87" s="504"/>
      <c r="P87" s="505"/>
      <c r="U87" s="506"/>
      <c r="Z87" s="507"/>
      <c r="AA87" s="508"/>
      <c r="AB87" s="508"/>
      <c r="AC87" s="508"/>
      <c r="AD87" s="508"/>
      <c r="AE87" s="509"/>
    </row>
    <row r="88" spans="1:31" x14ac:dyDescent="0.25">
      <c r="A88" s="399">
        <v>77</v>
      </c>
      <c r="F88" s="503"/>
      <c r="K88" s="504"/>
      <c r="P88" s="505"/>
      <c r="U88" s="506"/>
      <c r="Z88" s="507"/>
      <c r="AA88" s="508"/>
      <c r="AB88" s="508"/>
      <c r="AC88" s="508"/>
      <c r="AD88" s="508"/>
      <c r="AE88" s="509"/>
    </row>
    <row r="89" spans="1:31" x14ac:dyDescent="0.25">
      <c r="A89" s="399">
        <v>78</v>
      </c>
      <c r="F89" s="503"/>
      <c r="K89" s="504"/>
      <c r="P89" s="505"/>
      <c r="U89" s="506"/>
      <c r="Z89" s="507"/>
      <c r="AA89" s="508"/>
      <c r="AB89" s="508"/>
      <c r="AC89" s="508"/>
      <c r="AD89" s="508"/>
      <c r="AE89" s="509"/>
    </row>
    <row r="90" spans="1:31" x14ac:dyDescent="0.25">
      <c r="A90" s="399">
        <v>79</v>
      </c>
      <c r="F90" s="503"/>
      <c r="K90" s="504"/>
      <c r="P90" s="505"/>
      <c r="U90" s="506"/>
      <c r="Z90" s="507"/>
      <c r="AA90" s="508"/>
      <c r="AB90" s="508"/>
      <c r="AC90" s="508"/>
      <c r="AD90" s="508"/>
      <c r="AE90" s="509"/>
    </row>
    <row r="91" spans="1:31" x14ac:dyDescent="0.25">
      <c r="A91" s="399">
        <v>80</v>
      </c>
      <c r="F91" s="503"/>
      <c r="K91" s="504"/>
      <c r="P91" s="505"/>
      <c r="U91" s="506"/>
      <c r="Z91" s="507"/>
      <c r="AA91" s="508"/>
      <c r="AB91" s="508"/>
      <c r="AC91" s="508"/>
      <c r="AD91" s="508"/>
      <c r="AE91" s="509"/>
    </row>
    <row r="92" spans="1:31" x14ac:dyDescent="0.25">
      <c r="A92" s="399">
        <v>81</v>
      </c>
      <c r="F92" s="503"/>
      <c r="K92" s="504"/>
      <c r="P92" s="505"/>
      <c r="U92" s="506"/>
      <c r="Z92" s="507"/>
      <c r="AA92" s="508"/>
      <c r="AB92" s="508"/>
      <c r="AC92" s="508"/>
      <c r="AD92" s="508"/>
      <c r="AE92" s="509"/>
    </row>
    <row r="93" spans="1:31" x14ac:dyDescent="0.25">
      <c r="A93" s="399">
        <v>82</v>
      </c>
      <c r="F93" s="503"/>
      <c r="K93" s="504"/>
      <c r="P93" s="505"/>
      <c r="U93" s="506"/>
      <c r="Z93" s="507"/>
      <c r="AA93" s="508"/>
      <c r="AB93" s="508"/>
      <c r="AC93" s="508"/>
      <c r="AD93" s="508"/>
      <c r="AE93" s="509"/>
    </row>
    <row r="94" spans="1:31" x14ac:dyDescent="0.25">
      <c r="A94" s="399">
        <v>83</v>
      </c>
      <c r="F94" s="503"/>
      <c r="K94" s="504"/>
      <c r="P94" s="505"/>
      <c r="U94" s="506"/>
      <c r="Z94" s="507"/>
      <c r="AA94" s="508"/>
      <c r="AB94" s="508"/>
      <c r="AC94" s="508"/>
      <c r="AD94" s="508"/>
      <c r="AE94" s="509"/>
    </row>
    <row r="95" spans="1:31" x14ac:dyDescent="0.25">
      <c r="A95" s="399">
        <v>84</v>
      </c>
      <c r="F95" s="503"/>
      <c r="K95" s="504"/>
      <c r="P95" s="505"/>
      <c r="U95" s="506"/>
      <c r="Z95" s="507"/>
      <c r="AA95" s="508"/>
      <c r="AB95" s="508"/>
      <c r="AC95" s="508"/>
      <c r="AD95" s="508"/>
      <c r="AE95" s="509"/>
    </row>
    <row r="96" spans="1:31" x14ac:dyDescent="0.25">
      <c r="A96" s="399">
        <v>85</v>
      </c>
      <c r="F96" s="503"/>
      <c r="K96" s="504"/>
      <c r="P96" s="505"/>
      <c r="U96" s="506"/>
      <c r="Z96" s="507"/>
      <c r="AA96" s="508"/>
      <c r="AB96" s="508"/>
      <c r="AC96" s="508"/>
      <c r="AD96" s="508"/>
      <c r="AE96" s="509"/>
    </row>
    <row r="97" spans="1:31" x14ac:dyDescent="0.25">
      <c r="A97" s="399">
        <v>86</v>
      </c>
      <c r="F97" s="503"/>
      <c r="K97" s="504"/>
      <c r="P97" s="505"/>
      <c r="U97" s="506"/>
      <c r="Z97" s="507"/>
      <c r="AA97" s="508"/>
      <c r="AB97" s="508"/>
      <c r="AC97" s="508"/>
      <c r="AD97" s="508"/>
      <c r="AE97" s="509"/>
    </row>
    <row r="98" spans="1:31" x14ac:dyDescent="0.25">
      <c r="A98" s="399">
        <v>87</v>
      </c>
      <c r="F98" s="503"/>
      <c r="K98" s="504"/>
      <c r="P98" s="505"/>
      <c r="U98" s="506"/>
      <c r="Z98" s="507"/>
      <c r="AA98" s="508"/>
      <c r="AB98" s="508"/>
      <c r="AC98" s="508"/>
      <c r="AD98" s="508"/>
      <c r="AE98" s="509"/>
    </row>
    <row r="99" spans="1:31" x14ac:dyDescent="0.25">
      <c r="A99" s="399">
        <v>88</v>
      </c>
      <c r="F99" s="503"/>
      <c r="K99" s="504"/>
      <c r="P99" s="505"/>
      <c r="U99" s="506"/>
      <c r="Z99" s="507"/>
      <c r="AA99" s="508"/>
      <c r="AB99" s="508"/>
      <c r="AC99" s="508"/>
      <c r="AD99" s="508"/>
      <c r="AE99" s="509"/>
    </row>
    <row r="100" spans="1:31" x14ac:dyDescent="0.25">
      <c r="A100" s="399">
        <v>89</v>
      </c>
      <c r="F100" s="503"/>
      <c r="K100" s="504"/>
      <c r="P100" s="505"/>
      <c r="U100" s="506"/>
      <c r="Z100" s="507"/>
      <c r="AA100" s="508"/>
      <c r="AB100" s="508"/>
      <c r="AC100" s="508"/>
      <c r="AD100" s="508"/>
      <c r="AE100" s="509"/>
    </row>
    <row r="101" spans="1:31" x14ac:dyDescent="0.25">
      <c r="A101" s="399">
        <v>90</v>
      </c>
      <c r="F101" s="503"/>
      <c r="K101" s="504"/>
      <c r="P101" s="505"/>
      <c r="U101" s="506"/>
      <c r="Z101" s="507"/>
      <c r="AA101" s="508"/>
      <c r="AB101" s="508"/>
      <c r="AC101" s="508"/>
      <c r="AD101" s="508"/>
      <c r="AE101" s="509"/>
    </row>
    <row r="102" spans="1:31" x14ac:dyDescent="0.25">
      <c r="A102" s="399">
        <v>91</v>
      </c>
      <c r="F102" s="503"/>
      <c r="K102" s="504"/>
      <c r="P102" s="505"/>
      <c r="U102" s="506"/>
      <c r="Z102" s="507"/>
      <c r="AA102" s="508"/>
      <c r="AB102" s="508"/>
      <c r="AC102" s="508"/>
      <c r="AD102" s="508"/>
      <c r="AE102" s="509"/>
    </row>
    <row r="103" spans="1:31" x14ac:dyDescent="0.25">
      <c r="A103" s="399">
        <v>92</v>
      </c>
      <c r="F103" s="503"/>
      <c r="K103" s="504"/>
      <c r="P103" s="505"/>
      <c r="U103" s="506"/>
      <c r="Z103" s="507"/>
      <c r="AA103" s="508"/>
      <c r="AB103" s="508"/>
      <c r="AC103" s="508"/>
      <c r="AD103" s="508"/>
      <c r="AE103" s="509"/>
    </row>
    <row r="104" spans="1:31" x14ac:dyDescent="0.25">
      <c r="A104" s="399">
        <v>93</v>
      </c>
      <c r="F104" s="503"/>
      <c r="K104" s="504"/>
      <c r="P104" s="505"/>
      <c r="U104" s="506"/>
      <c r="Z104" s="507"/>
      <c r="AA104" s="508"/>
      <c r="AB104" s="508"/>
      <c r="AC104" s="508"/>
      <c r="AD104" s="508"/>
      <c r="AE104" s="509"/>
    </row>
    <row r="105" spans="1:31" x14ac:dyDescent="0.25">
      <c r="A105" s="399">
        <v>94</v>
      </c>
      <c r="F105" s="503"/>
      <c r="K105" s="504"/>
      <c r="P105" s="505"/>
      <c r="U105" s="506"/>
      <c r="Z105" s="507"/>
      <c r="AA105" s="508"/>
      <c r="AB105" s="508"/>
      <c r="AC105" s="508"/>
      <c r="AD105" s="508"/>
      <c r="AE105" s="509"/>
    </row>
    <row r="106" spans="1:31" x14ac:dyDescent="0.25">
      <c r="A106" s="399">
        <v>95</v>
      </c>
      <c r="F106" s="503"/>
      <c r="K106" s="504"/>
      <c r="P106" s="505"/>
      <c r="U106" s="506"/>
      <c r="Z106" s="507"/>
      <c r="AA106" s="508"/>
      <c r="AB106" s="508"/>
      <c r="AC106" s="508"/>
      <c r="AD106" s="508"/>
      <c r="AE106" s="509"/>
    </row>
    <row r="107" spans="1:31" x14ac:dyDescent="0.25">
      <c r="A107" s="399">
        <v>96</v>
      </c>
      <c r="F107" s="503"/>
      <c r="K107" s="504"/>
      <c r="P107" s="505"/>
      <c r="U107" s="506"/>
      <c r="Z107" s="507"/>
      <c r="AA107" s="508"/>
      <c r="AB107" s="508"/>
      <c r="AC107" s="508"/>
      <c r="AD107" s="508"/>
      <c r="AE107" s="509"/>
    </row>
    <row r="108" spans="1:31" x14ac:dyDescent="0.25">
      <c r="A108" s="399">
        <v>97</v>
      </c>
      <c r="F108" s="503"/>
      <c r="K108" s="504"/>
      <c r="P108" s="505"/>
      <c r="U108" s="506"/>
      <c r="Z108" s="507"/>
      <c r="AA108" s="508"/>
      <c r="AB108" s="508"/>
      <c r="AC108" s="508"/>
      <c r="AD108" s="508"/>
      <c r="AE108" s="509"/>
    </row>
    <row r="109" spans="1:31" x14ac:dyDescent="0.25">
      <c r="A109" s="399">
        <v>98</v>
      </c>
      <c r="F109" s="503"/>
      <c r="K109" s="504"/>
      <c r="P109" s="505"/>
      <c r="U109" s="506"/>
      <c r="Z109" s="507"/>
      <c r="AA109" s="508"/>
      <c r="AB109" s="508"/>
      <c r="AC109" s="508"/>
      <c r="AD109" s="508"/>
      <c r="AE109" s="509"/>
    </row>
    <row r="110" spans="1:31" x14ac:dyDescent="0.25">
      <c r="A110" s="399">
        <v>99</v>
      </c>
      <c r="F110" s="503"/>
      <c r="K110" s="504"/>
      <c r="P110" s="505"/>
      <c r="U110" s="506"/>
      <c r="Z110" s="507"/>
      <c r="AA110" s="508"/>
      <c r="AB110" s="508"/>
      <c r="AC110" s="508"/>
      <c r="AD110" s="508"/>
      <c r="AE110" s="509"/>
    </row>
    <row r="111" spans="1:31" x14ac:dyDescent="0.25">
      <c r="A111" s="399">
        <v>100</v>
      </c>
      <c r="F111" s="503"/>
      <c r="K111" s="504"/>
      <c r="P111" s="505"/>
      <c r="U111" s="506"/>
      <c r="Z111" s="507"/>
      <c r="AA111" s="508"/>
      <c r="AB111" s="508"/>
      <c r="AC111" s="508"/>
      <c r="AD111" s="508"/>
      <c r="AE111" s="509"/>
    </row>
    <row r="112" spans="1:31" x14ac:dyDescent="0.25">
      <c r="A112" s="399">
        <v>101</v>
      </c>
      <c r="F112" s="503"/>
      <c r="K112" s="504"/>
      <c r="P112" s="505"/>
      <c r="U112" s="506"/>
      <c r="Z112" s="507"/>
      <c r="AA112" s="508"/>
      <c r="AB112" s="508"/>
      <c r="AC112" s="508"/>
      <c r="AD112" s="508"/>
      <c r="AE112" s="509"/>
    </row>
    <row r="113" spans="1:31" x14ac:dyDescent="0.25">
      <c r="A113" s="399">
        <v>102</v>
      </c>
      <c r="F113" s="503"/>
      <c r="K113" s="504"/>
      <c r="P113" s="505"/>
      <c r="U113" s="506"/>
      <c r="Z113" s="507"/>
      <c r="AA113" s="508"/>
      <c r="AB113" s="508"/>
      <c r="AC113" s="508"/>
      <c r="AD113" s="508"/>
      <c r="AE113" s="509"/>
    </row>
    <row r="114" spans="1:31" x14ac:dyDescent="0.25">
      <c r="A114" s="399">
        <v>103</v>
      </c>
      <c r="F114" s="503"/>
      <c r="K114" s="504"/>
      <c r="P114" s="505"/>
      <c r="U114" s="506"/>
      <c r="Z114" s="507"/>
      <c r="AA114" s="508"/>
      <c r="AB114" s="508"/>
      <c r="AC114" s="508"/>
      <c r="AD114" s="508"/>
      <c r="AE114" s="509"/>
    </row>
    <row r="115" spans="1:31" x14ac:dyDescent="0.25">
      <c r="A115" s="399">
        <v>104</v>
      </c>
      <c r="F115" s="503"/>
      <c r="K115" s="504"/>
      <c r="P115" s="505"/>
      <c r="U115" s="506"/>
      <c r="Z115" s="507"/>
      <c r="AA115" s="508"/>
      <c r="AB115" s="508"/>
      <c r="AC115" s="508"/>
      <c r="AD115" s="508"/>
      <c r="AE115" s="509"/>
    </row>
    <row r="116" spans="1:31" x14ac:dyDescent="0.25">
      <c r="A116" s="399">
        <v>105</v>
      </c>
      <c r="F116" s="503"/>
      <c r="K116" s="504"/>
      <c r="P116" s="505"/>
      <c r="U116" s="506"/>
      <c r="Z116" s="507"/>
      <c r="AA116" s="508"/>
      <c r="AB116" s="508"/>
      <c r="AC116" s="508"/>
      <c r="AD116" s="508"/>
      <c r="AE116" s="509"/>
    </row>
    <row r="117" spans="1:31" x14ac:dyDescent="0.25">
      <c r="A117" s="399">
        <v>106</v>
      </c>
      <c r="F117" s="503"/>
      <c r="K117" s="504"/>
      <c r="P117" s="505"/>
      <c r="U117" s="506"/>
      <c r="Z117" s="507"/>
      <c r="AA117" s="508"/>
      <c r="AB117" s="508"/>
      <c r="AC117" s="508"/>
      <c r="AD117" s="508"/>
      <c r="AE117" s="509"/>
    </row>
    <row r="118" spans="1:31" x14ac:dyDescent="0.25">
      <c r="A118" s="399">
        <v>107</v>
      </c>
      <c r="F118" s="503"/>
      <c r="K118" s="504"/>
      <c r="P118" s="505"/>
      <c r="U118" s="506"/>
      <c r="Z118" s="507"/>
      <c r="AA118" s="508"/>
      <c r="AB118" s="508"/>
      <c r="AC118" s="508"/>
      <c r="AD118" s="508"/>
      <c r="AE118" s="509"/>
    </row>
    <row r="119" spans="1:31" x14ac:dyDescent="0.25">
      <c r="A119" s="399">
        <v>108</v>
      </c>
      <c r="F119" s="503"/>
      <c r="K119" s="504"/>
      <c r="P119" s="505"/>
      <c r="U119" s="506"/>
      <c r="Z119" s="507"/>
      <c r="AA119" s="508"/>
      <c r="AB119" s="508"/>
      <c r="AC119" s="508"/>
      <c r="AD119" s="508"/>
      <c r="AE119" s="509"/>
    </row>
    <row r="120" spans="1:31" x14ac:dyDescent="0.25">
      <c r="A120" s="399">
        <v>109</v>
      </c>
      <c r="F120" s="503"/>
      <c r="K120" s="504"/>
      <c r="P120" s="505"/>
      <c r="U120" s="506"/>
      <c r="Z120" s="507"/>
      <c r="AA120" s="508"/>
      <c r="AB120" s="508"/>
      <c r="AC120" s="508"/>
      <c r="AD120" s="508"/>
      <c r="AE120" s="509"/>
    </row>
    <row r="121" spans="1:31" x14ac:dyDescent="0.25">
      <c r="A121" s="399">
        <v>110</v>
      </c>
      <c r="F121" s="503"/>
      <c r="K121" s="504"/>
      <c r="P121" s="505"/>
      <c r="U121" s="506"/>
      <c r="Z121" s="507"/>
      <c r="AA121" s="508"/>
      <c r="AB121" s="508"/>
      <c r="AC121" s="508"/>
      <c r="AD121" s="508"/>
      <c r="AE121" s="509"/>
    </row>
    <row r="122" spans="1:31" x14ac:dyDescent="0.25">
      <c r="A122" s="399">
        <v>111</v>
      </c>
      <c r="F122" s="503"/>
      <c r="K122" s="504"/>
      <c r="P122" s="505"/>
      <c r="U122" s="506"/>
      <c r="Z122" s="507"/>
      <c r="AA122" s="508"/>
      <c r="AB122" s="508"/>
      <c r="AC122" s="508"/>
      <c r="AD122" s="508"/>
      <c r="AE122" s="509"/>
    </row>
    <row r="123" spans="1:31" x14ac:dyDescent="0.25">
      <c r="A123" s="399">
        <v>112</v>
      </c>
      <c r="F123" s="503"/>
      <c r="K123" s="504"/>
      <c r="P123" s="505"/>
      <c r="U123" s="506"/>
      <c r="Z123" s="507"/>
      <c r="AA123" s="508"/>
      <c r="AB123" s="508"/>
      <c r="AC123" s="508"/>
      <c r="AD123" s="508"/>
      <c r="AE123" s="509"/>
    </row>
    <row r="124" spans="1:31" x14ac:dyDescent="0.25">
      <c r="A124" s="399">
        <v>113</v>
      </c>
      <c r="F124" s="503"/>
      <c r="K124" s="504"/>
      <c r="P124" s="505"/>
      <c r="U124" s="506"/>
      <c r="Z124" s="507"/>
      <c r="AA124" s="508"/>
      <c r="AB124" s="508"/>
      <c r="AC124" s="508"/>
      <c r="AD124" s="508"/>
      <c r="AE124" s="509"/>
    </row>
    <row r="125" spans="1:31" x14ac:dyDescent="0.25">
      <c r="A125" s="399">
        <v>114</v>
      </c>
      <c r="F125" s="503"/>
      <c r="K125" s="504"/>
      <c r="P125" s="505"/>
      <c r="U125" s="506"/>
      <c r="Z125" s="507"/>
      <c r="AA125" s="508"/>
      <c r="AB125" s="508"/>
      <c r="AC125" s="508"/>
      <c r="AD125" s="508"/>
      <c r="AE125" s="509"/>
    </row>
    <row r="126" spans="1:31" x14ac:dyDescent="0.25">
      <c r="A126" s="399">
        <v>115</v>
      </c>
      <c r="F126" s="503"/>
      <c r="K126" s="504"/>
      <c r="P126" s="505"/>
      <c r="U126" s="506"/>
      <c r="Z126" s="507"/>
      <c r="AA126" s="508"/>
      <c r="AB126" s="508"/>
      <c r="AC126" s="508"/>
      <c r="AD126" s="508"/>
      <c r="AE126" s="509"/>
    </row>
    <row r="127" spans="1:31" x14ac:dyDescent="0.25">
      <c r="A127" s="399">
        <v>116</v>
      </c>
      <c r="F127" s="503"/>
      <c r="K127" s="504"/>
      <c r="P127" s="505"/>
      <c r="U127" s="506"/>
      <c r="Z127" s="507"/>
      <c r="AA127" s="508"/>
      <c r="AB127" s="508"/>
      <c r="AC127" s="508"/>
      <c r="AD127" s="508"/>
      <c r="AE127" s="509"/>
    </row>
    <row r="128" spans="1:31" x14ac:dyDescent="0.25">
      <c r="A128" s="399">
        <v>117</v>
      </c>
      <c r="F128" s="503"/>
      <c r="K128" s="504"/>
      <c r="P128" s="505"/>
      <c r="U128" s="506"/>
      <c r="Z128" s="507"/>
      <c r="AA128" s="508"/>
      <c r="AB128" s="508"/>
      <c r="AC128" s="508"/>
      <c r="AD128" s="508"/>
      <c r="AE128" s="509"/>
    </row>
    <row r="129" spans="1:31" x14ac:dyDescent="0.25">
      <c r="A129" s="399">
        <v>118</v>
      </c>
      <c r="F129" s="503"/>
      <c r="K129" s="504"/>
      <c r="P129" s="505"/>
      <c r="U129" s="506"/>
      <c r="Z129" s="507"/>
      <c r="AA129" s="508"/>
      <c r="AB129" s="508"/>
      <c r="AC129" s="508"/>
      <c r="AD129" s="508"/>
      <c r="AE129" s="509"/>
    </row>
    <row r="130" spans="1:31" x14ac:dyDescent="0.25">
      <c r="A130" s="399">
        <v>119</v>
      </c>
      <c r="F130" s="503"/>
      <c r="K130" s="504"/>
      <c r="P130" s="505"/>
      <c r="U130" s="506"/>
      <c r="Z130" s="507"/>
      <c r="AA130" s="508"/>
      <c r="AB130" s="508"/>
      <c r="AC130" s="508"/>
      <c r="AD130" s="508"/>
      <c r="AE130" s="509"/>
    </row>
    <row r="131" spans="1:31" x14ac:dyDescent="0.25">
      <c r="A131" s="399">
        <v>120</v>
      </c>
      <c r="F131" s="503"/>
      <c r="K131" s="504"/>
      <c r="P131" s="505"/>
      <c r="U131" s="506"/>
      <c r="Z131" s="507"/>
      <c r="AA131" s="508"/>
      <c r="AB131" s="508"/>
      <c r="AC131" s="508"/>
      <c r="AD131" s="508"/>
      <c r="AE131" s="509"/>
    </row>
    <row r="132" spans="1:31" x14ac:dyDescent="0.25">
      <c r="A132" s="399">
        <v>121</v>
      </c>
      <c r="F132" s="503"/>
      <c r="K132" s="504"/>
      <c r="P132" s="505"/>
      <c r="U132" s="506"/>
      <c r="Z132" s="507"/>
      <c r="AA132" s="508"/>
      <c r="AB132" s="508"/>
      <c r="AC132" s="508"/>
      <c r="AD132" s="508"/>
      <c r="AE132" s="509"/>
    </row>
    <row r="133" spans="1:31" x14ac:dyDescent="0.25">
      <c r="A133" s="399">
        <v>122</v>
      </c>
      <c r="F133" s="503"/>
      <c r="K133" s="504"/>
      <c r="P133" s="505"/>
      <c r="U133" s="506"/>
      <c r="Z133" s="507"/>
      <c r="AA133" s="508"/>
      <c r="AB133" s="508"/>
      <c r="AC133" s="508"/>
      <c r="AD133" s="508"/>
      <c r="AE133" s="509"/>
    </row>
    <row r="134" spans="1:31" x14ac:dyDescent="0.25">
      <c r="A134" s="399">
        <v>123</v>
      </c>
      <c r="F134" s="503"/>
      <c r="K134" s="504"/>
      <c r="P134" s="505"/>
      <c r="U134" s="506"/>
      <c r="Z134" s="507"/>
      <c r="AA134" s="508"/>
      <c r="AB134" s="508"/>
      <c r="AC134" s="508"/>
      <c r="AD134" s="508"/>
      <c r="AE134" s="509"/>
    </row>
    <row r="135" spans="1:31" x14ac:dyDescent="0.25">
      <c r="A135" s="399">
        <v>124</v>
      </c>
      <c r="F135" s="503"/>
      <c r="K135" s="504"/>
      <c r="P135" s="505"/>
      <c r="U135" s="506"/>
      <c r="Z135" s="507"/>
      <c r="AA135" s="508"/>
      <c r="AB135" s="508"/>
      <c r="AC135" s="508"/>
      <c r="AD135" s="508"/>
      <c r="AE135" s="509"/>
    </row>
    <row r="136" spans="1:31" x14ac:dyDescent="0.25">
      <c r="A136" s="399">
        <v>125</v>
      </c>
      <c r="F136" s="503"/>
      <c r="K136" s="504"/>
      <c r="P136" s="505"/>
      <c r="U136" s="506"/>
      <c r="Z136" s="507"/>
      <c r="AA136" s="508"/>
      <c r="AB136" s="508"/>
      <c r="AC136" s="508"/>
      <c r="AD136" s="508"/>
      <c r="AE136" s="509"/>
    </row>
    <row r="137" spans="1:31" x14ac:dyDescent="0.25">
      <c r="A137" s="399">
        <v>126</v>
      </c>
      <c r="F137" s="503"/>
      <c r="K137" s="504"/>
      <c r="P137" s="505"/>
      <c r="U137" s="506"/>
      <c r="Z137" s="507"/>
      <c r="AA137" s="508"/>
      <c r="AB137" s="508"/>
      <c r="AC137" s="508"/>
      <c r="AD137" s="508"/>
      <c r="AE137" s="509"/>
    </row>
    <row r="138" spans="1:31" x14ac:dyDescent="0.25">
      <c r="A138" s="399">
        <v>127</v>
      </c>
      <c r="F138" s="503"/>
      <c r="K138" s="504"/>
      <c r="P138" s="505"/>
      <c r="U138" s="506"/>
      <c r="Z138" s="507"/>
      <c r="AA138" s="508"/>
      <c r="AB138" s="508"/>
      <c r="AC138" s="508"/>
      <c r="AD138" s="508"/>
      <c r="AE138" s="509"/>
    </row>
    <row r="139" spans="1:31" x14ac:dyDescent="0.25">
      <c r="A139" s="399">
        <v>128</v>
      </c>
      <c r="F139" s="503"/>
      <c r="K139" s="504"/>
      <c r="P139" s="505"/>
      <c r="U139" s="506"/>
      <c r="Z139" s="507"/>
      <c r="AA139" s="508"/>
      <c r="AB139" s="508"/>
      <c r="AC139" s="508"/>
      <c r="AD139" s="508"/>
      <c r="AE139" s="509"/>
    </row>
    <row r="140" spans="1:31" x14ac:dyDescent="0.25">
      <c r="A140" s="399">
        <v>129</v>
      </c>
      <c r="F140" s="503"/>
      <c r="K140" s="504"/>
      <c r="P140" s="505"/>
      <c r="U140" s="506"/>
      <c r="Z140" s="507"/>
      <c r="AA140" s="508"/>
      <c r="AB140" s="508"/>
      <c r="AC140" s="508"/>
      <c r="AD140" s="508"/>
      <c r="AE140" s="509"/>
    </row>
    <row r="141" spans="1:31" x14ac:dyDescent="0.25">
      <c r="A141" s="399">
        <v>130</v>
      </c>
      <c r="F141" s="503"/>
      <c r="K141" s="504"/>
      <c r="P141" s="505"/>
      <c r="U141" s="506"/>
      <c r="Z141" s="507"/>
      <c r="AA141" s="508"/>
      <c r="AB141" s="508"/>
      <c r="AC141" s="508"/>
      <c r="AD141" s="508"/>
      <c r="AE141" s="509"/>
    </row>
    <row r="142" spans="1:31" x14ac:dyDescent="0.25">
      <c r="A142" s="399">
        <v>131</v>
      </c>
      <c r="F142" s="503"/>
      <c r="K142" s="504"/>
      <c r="P142" s="505"/>
      <c r="U142" s="506"/>
      <c r="Z142" s="507"/>
      <c r="AA142" s="508"/>
      <c r="AB142" s="508"/>
      <c r="AC142" s="508"/>
      <c r="AD142" s="508"/>
      <c r="AE142" s="509"/>
    </row>
    <row r="143" spans="1:31" x14ac:dyDescent="0.25">
      <c r="A143" s="399">
        <v>132</v>
      </c>
      <c r="F143" s="503"/>
      <c r="K143" s="504"/>
      <c r="P143" s="505"/>
      <c r="U143" s="506"/>
      <c r="Z143" s="507"/>
      <c r="AA143" s="508"/>
      <c r="AB143" s="508"/>
      <c r="AC143" s="508"/>
      <c r="AD143" s="508"/>
      <c r="AE143" s="509"/>
    </row>
    <row r="144" spans="1:31" x14ac:dyDescent="0.25">
      <c r="A144" s="399">
        <v>133</v>
      </c>
      <c r="F144" s="503"/>
      <c r="K144" s="504"/>
      <c r="P144" s="505"/>
      <c r="U144" s="506"/>
      <c r="Z144" s="507"/>
      <c r="AA144" s="508"/>
      <c r="AB144" s="508"/>
      <c r="AC144" s="508"/>
      <c r="AD144" s="508"/>
      <c r="AE144" s="509"/>
    </row>
    <row r="145" spans="1:31" x14ac:dyDescent="0.25">
      <c r="A145" s="399">
        <v>134</v>
      </c>
      <c r="F145" s="503"/>
      <c r="K145" s="504"/>
      <c r="P145" s="505"/>
      <c r="U145" s="506"/>
      <c r="Z145" s="507"/>
      <c r="AA145" s="508"/>
      <c r="AB145" s="508"/>
      <c r="AC145" s="508"/>
      <c r="AD145" s="508"/>
      <c r="AE145" s="509"/>
    </row>
    <row r="146" spans="1:31" x14ac:dyDescent="0.25">
      <c r="A146" s="399">
        <v>135</v>
      </c>
      <c r="F146" s="503"/>
      <c r="K146" s="504"/>
      <c r="P146" s="505"/>
      <c r="U146" s="506"/>
      <c r="Z146" s="507"/>
      <c r="AA146" s="508"/>
      <c r="AB146" s="508"/>
      <c r="AC146" s="508"/>
      <c r="AD146" s="508"/>
      <c r="AE146" s="509"/>
    </row>
    <row r="147" spans="1:31" x14ac:dyDescent="0.25">
      <c r="A147" s="399">
        <v>136</v>
      </c>
      <c r="F147" s="503"/>
      <c r="K147" s="504"/>
      <c r="P147" s="505"/>
      <c r="U147" s="506"/>
      <c r="Z147" s="507"/>
      <c r="AA147" s="508"/>
      <c r="AB147" s="508"/>
      <c r="AC147" s="508"/>
      <c r="AD147" s="508"/>
      <c r="AE147" s="509"/>
    </row>
    <row r="148" spans="1:31" x14ac:dyDescent="0.25">
      <c r="A148" s="399">
        <v>137</v>
      </c>
      <c r="F148" s="503"/>
      <c r="K148" s="504"/>
      <c r="P148" s="505"/>
      <c r="U148" s="506"/>
      <c r="Z148" s="507"/>
      <c r="AA148" s="508"/>
      <c r="AB148" s="508"/>
      <c r="AC148" s="508"/>
      <c r="AD148" s="508"/>
      <c r="AE148" s="509"/>
    </row>
    <row r="149" spans="1:31" x14ac:dyDescent="0.25">
      <c r="A149" s="399">
        <v>138</v>
      </c>
      <c r="F149" s="503"/>
      <c r="K149" s="504"/>
      <c r="P149" s="505"/>
      <c r="U149" s="506"/>
      <c r="Z149" s="507"/>
      <c r="AA149" s="508"/>
      <c r="AB149" s="508"/>
      <c r="AC149" s="508"/>
      <c r="AD149" s="508"/>
      <c r="AE149" s="509"/>
    </row>
    <row r="150" spans="1:31" x14ac:dyDescent="0.25">
      <c r="A150" s="399">
        <v>139</v>
      </c>
      <c r="F150" s="503"/>
      <c r="K150" s="504"/>
      <c r="P150" s="505"/>
      <c r="U150" s="506"/>
      <c r="Z150" s="507"/>
      <c r="AA150" s="508"/>
      <c r="AB150" s="508"/>
      <c r="AC150" s="508"/>
      <c r="AD150" s="508"/>
      <c r="AE150" s="509"/>
    </row>
    <row r="151" spans="1:31" x14ac:dyDescent="0.25">
      <c r="A151" s="399">
        <v>140</v>
      </c>
      <c r="F151" s="503"/>
      <c r="K151" s="504"/>
      <c r="P151" s="505"/>
      <c r="U151" s="506"/>
      <c r="Z151" s="507"/>
      <c r="AA151" s="508"/>
      <c r="AB151" s="508"/>
      <c r="AC151" s="508"/>
      <c r="AD151" s="508"/>
      <c r="AE151" s="509"/>
    </row>
    <row r="152" spans="1:31" x14ac:dyDescent="0.25">
      <c r="A152" s="399">
        <v>141</v>
      </c>
      <c r="F152" s="503"/>
      <c r="K152" s="504"/>
      <c r="P152" s="505"/>
      <c r="U152" s="506"/>
      <c r="Z152" s="507"/>
      <c r="AA152" s="508"/>
      <c r="AB152" s="508"/>
      <c r="AC152" s="508"/>
      <c r="AD152" s="508"/>
      <c r="AE152" s="509"/>
    </row>
    <row r="153" spans="1:31" x14ac:dyDescent="0.25">
      <c r="A153" s="399">
        <v>142</v>
      </c>
      <c r="F153" s="503"/>
      <c r="K153" s="504"/>
      <c r="P153" s="505"/>
      <c r="U153" s="506"/>
      <c r="Z153" s="507"/>
      <c r="AA153" s="508"/>
      <c r="AB153" s="508"/>
      <c r="AC153" s="508"/>
      <c r="AD153" s="508"/>
      <c r="AE153" s="509"/>
    </row>
    <row r="154" spans="1:31" x14ac:dyDescent="0.25">
      <c r="A154" s="399">
        <v>143</v>
      </c>
      <c r="F154" s="503"/>
      <c r="K154" s="504"/>
      <c r="P154" s="505"/>
      <c r="U154" s="506"/>
      <c r="Z154" s="507"/>
      <c r="AA154" s="508"/>
      <c r="AB154" s="508"/>
      <c r="AC154" s="508"/>
      <c r="AD154" s="508"/>
      <c r="AE154" s="509"/>
    </row>
    <row r="155" spans="1:31" x14ac:dyDescent="0.25">
      <c r="A155" s="399">
        <v>144</v>
      </c>
      <c r="F155" s="503"/>
      <c r="K155" s="504"/>
      <c r="P155" s="505"/>
      <c r="U155" s="506"/>
      <c r="Z155" s="507"/>
      <c r="AA155" s="508"/>
      <c r="AB155" s="508"/>
      <c r="AC155" s="508"/>
      <c r="AD155" s="508"/>
      <c r="AE155" s="509"/>
    </row>
    <row r="156" spans="1:31" x14ac:dyDescent="0.25">
      <c r="A156" s="399">
        <v>145</v>
      </c>
      <c r="F156" s="503"/>
      <c r="K156" s="504"/>
      <c r="P156" s="505"/>
      <c r="U156" s="506"/>
      <c r="Z156" s="507"/>
      <c r="AA156" s="508"/>
      <c r="AB156" s="508"/>
      <c r="AC156" s="508"/>
      <c r="AD156" s="508"/>
      <c r="AE156" s="509"/>
    </row>
    <row r="157" spans="1:31" x14ac:dyDescent="0.25">
      <c r="A157" s="399">
        <v>146</v>
      </c>
      <c r="F157" s="503"/>
      <c r="K157" s="504"/>
      <c r="P157" s="505"/>
      <c r="U157" s="506"/>
      <c r="Z157" s="507"/>
      <c r="AA157" s="508"/>
      <c r="AB157" s="508"/>
      <c r="AC157" s="508"/>
      <c r="AD157" s="508"/>
      <c r="AE157" s="509"/>
    </row>
    <row r="158" spans="1:31" x14ac:dyDescent="0.25">
      <c r="A158" s="399">
        <v>147</v>
      </c>
      <c r="F158" s="503"/>
      <c r="K158" s="504"/>
      <c r="P158" s="505"/>
      <c r="U158" s="506"/>
      <c r="Z158" s="507"/>
      <c r="AA158" s="508"/>
      <c r="AB158" s="508"/>
      <c r="AC158" s="508"/>
      <c r="AD158" s="508"/>
      <c r="AE158" s="509"/>
    </row>
    <row r="159" spans="1:31" x14ac:dyDescent="0.25">
      <c r="A159" s="399">
        <v>148</v>
      </c>
      <c r="F159" s="503"/>
      <c r="K159" s="504"/>
      <c r="P159" s="505"/>
      <c r="U159" s="506"/>
      <c r="Z159" s="507"/>
      <c r="AA159" s="508"/>
      <c r="AB159" s="508"/>
      <c r="AC159" s="508"/>
      <c r="AD159" s="508"/>
      <c r="AE159" s="509"/>
    </row>
    <row r="160" spans="1:31" x14ac:dyDescent="0.25">
      <c r="A160" s="399">
        <v>149</v>
      </c>
      <c r="F160" s="503"/>
      <c r="K160" s="504"/>
      <c r="P160" s="505"/>
      <c r="U160" s="506"/>
      <c r="Z160" s="507"/>
      <c r="AA160" s="508"/>
      <c r="AB160" s="508"/>
      <c r="AC160" s="508"/>
      <c r="AD160" s="508"/>
      <c r="AE160" s="509"/>
    </row>
    <row r="161" spans="1:31" x14ac:dyDescent="0.25">
      <c r="A161" s="399">
        <v>150</v>
      </c>
      <c r="F161" s="503"/>
      <c r="K161" s="504"/>
      <c r="P161" s="505"/>
      <c r="U161" s="506"/>
      <c r="Z161" s="507"/>
      <c r="AA161" s="508"/>
      <c r="AB161" s="508"/>
      <c r="AC161" s="508"/>
      <c r="AD161" s="508"/>
      <c r="AE161" s="509"/>
    </row>
    <row r="162" spans="1:31" x14ac:dyDescent="0.25">
      <c r="A162" s="399">
        <v>151</v>
      </c>
      <c r="F162" s="503"/>
      <c r="K162" s="504"/>
      <c r="P162" s="505"/>
      <c r="U162" s="506"/>
      <c r="Z162" s="507"/>
      <c r="AA162" s="508"/>
      <c r="AB162" s="508"/>
      <c r="AC162" s="508"/>
      <c r="AD162" s="508"/>
      <c r="AE162" s="509"/>
    </row>
    <row r="163" spans="1:31" x14ac:dyDescent="0.25">
      <c r="A163" s="399">
        <v>152</v>
      </c>
      <c r="F163" s="503"/>
      <c r="K163" s="504"/>
      <c r="P163" s="505"/>
      <c r="U163" s="506"/>
      <c r="Z163" s="507"/>
      <c r="AA163" s="508"/>
      <c r="AB163" s="508"/>
      <c r="AC163" s="508"/>
      <c r="AD163" s="508"/>
      <c r="AE163" s="509"/>
    </row>
    <row r="164" spans="1:31" x14ac:dyDescent="0.25">
      <c r="A164" s="399">
        <v>153</v>
      </c>
      <c r="F164" s="503"/>
      <c r="K164" s="504"/>
      <c r="P164" s="505"/>
      <c r="U164" s="506"/>
      <c r="Z164" s="507"/>
      <c r="AA164" s="508"/>
      <c r="AB164" s="508"/>
      <c r="AC164" s="508"/>
      <c r="AD164" s="508"/>
      <c r="AE164" s="509"/>
    </row>
    <row r="165" spans="1:31" x14ac:dyDescent="0.25">
      <c r="A165" s="399">
        <v>154</v>
      </c>
      <c r="F165" s="503"/>
      <c r="K165" s="504"/>
      <c r="P165" s="505"/>
      <c r="U165" s="506"/>
      <c r="Z165" s="507"/>
      <c r="AA165" s="508"/>
      <c r="AB165" s="508"/>
      <c r="AC165" s="508"/>
      <c r="AD165" s="508"/>
      <c r="AE165" s="509"/>
    </row>
    <row r="166" spans="1:31" x14ac:dyDescent="0.25">
      <c r="A166" s="399">
        <v>155</v>
      </c>
      <c r="F166" s="503"/>
      <c r="K166" s="504"/>
      <c r="P166" s="505"/>
      <c r="U166" s="506"/>
      <c r="Z166" s="507"/>
      <c r="AA166" s="508"/>
      <c r="AB166" s="508"/>
      <c r="AC166" s="508"/>
      <c r="AD166" s="508"/>
      <c r="AE166" s="509"/>
    </row>
    <row r="167" spans="1:31" x14ac:dyDescent="0.25">
      <c r="A167" s="399">
        <v>156</v>
      </c>
      <c r="F167" s="503"/>
      <c r="K167" s="504"/>
      <c r="P167" s="505"/>
      <c r="U167" s="506"/>
      <c r="Z167" s="507"/>
      <c r="AA167" s="508"/>
      <c r="AB167" s="508"/>
      <c r="AC167" s="508"/>
      <c r="AD167" s="508"/>
      <c r="AE167" s="509"/>
    </row>
    <row r="168" spans="1:31" x14ac:dyDescent="0.25">
      <c r="A168" s="399">
        <v>157</v>
      </c>
      <c r="F168" s="503"/>
      <c r="K168" s="504"/>
      <c r="P168" s="505"/>
      <c r="U168" s="506"/>
      <c r="Z168" s="507"/>
      <c r="AA168" s="508"/>
      <c r="AB168" s="508"/>
      <c r="AC168" s="508"/>
      <c r="AD168" s="508"/>
      <c r="AE168" s="509"/>
    </row>
    <row r="169" spans="1:31" x14ac:dyDescent="0.25">
      <c r="A169" s="399">
        <v>158</v>
      </c>
      <c r="F169" s="503"/>
      <c r="K169" s="504"/>
      <c r="P169" s="505"/>
      <c r="U169" s="506"/>
      <c r="Z169" s="507"/>
      <c r="AA169" s="508"/>
      <c r="AB169" s="508"/>
      <c r="AC169" s="508"/>
      <c r="AD169" s="508"/>
      <c r="AE169" s="509"/>
    </row>
    <row r="170" spans="1:31" x14ac:dyDescent="0.25">
      <c r="A170" s="399">
        <v>159</v>
      </c>
      <c r="F170" s="503"/>
      <c r="K170" s="504"/>
      <c r="P170" s="505"/>
      <c r="U170" s="506"/>
      <c r="Z170" s="507"/>
      <c r="AA170" s="508"/>
      <c r="AB170" s="508"/>
      <c r="AC170" s="508"/>
      <c r="AD170" s="508"/>
      <c r="AE170" s="509"/>
    </row>
    <row r="171" spans="1:31" x14ac:dyDescent="0.25">
      <c r="A171" s="399">
        <v>160</v>
      </c>
      <c r="F171" s="503"/>
      <c r="K171" s="504"/>
      <c r="P171" s="505"/>
      <c r="U171" s="506"/>
      <c r="Z171" s="507"/>
      <c r="AA171" s="508"/>
      <c r="AB171" s="508"/>
      <c r="AC171" s="508"/>
      <c r="AD171" s="508"/>
      <c r="AE171" s="509"/>
    </row>
    <row r="172" spans="1:31" x14ac:dyDescent="0.25">
      <c r="A172" s="399">
        <v>161</v>
      </c>
      <c r="F172" s="503"/>
      <c r="K172" s="504"/>
      <c r="P172" s="505"/>
      <c r="U172" s="506"/>
      <c r="Z172" s="507"/>
      <c r="AA172" s="508"/>
      <c r="AB172" s="508"/>
      <c r="AC172" s="508"/>
      <c r="AD172" s="508"/>
      <c r="AE172" s="509"/>
    </row>
    <row r="173" spans="1:31" x14ac:dyDescent="0.25">
      <c r="A173" s="399">
        <v>162</v>
      </c>
      <c r="F173" s="503"/>
      <c r="K173" s="504"/>
      <c r="P173" s="505"/>
      <c r="U173" s="506"/>
      <c r="Z173" s="507"/>
      <c r="AA173" s="508"/>
      <c r="AB173" s="508"/>
      <c r="AC173" s="508"/>
      <c r="AD173" s="508"/>
      <c r="AE173" s="509"/>
    </row>
    <row r="174" spans="1:31" x14ac:dyDescent="0.25">
      <c r="A174" s="399">
        <v>163</v>
      </c>
      <c r="F174" s="503"/>
      <c r="K174" s="504"/>
      <c r="P174" s="505"/>
      <c r="U174" s="506"/>
      <c r="Z174" s="507"/>
      <c r="AA174" s="508"/>
      <c r="AB174" s="508"/>
      <c r="AC174" s="508"/>
      <c r="AD174" s="508"/>
      <c r="AE174" s="509"/>
    </row>
    <row r="175" spans="1:31" x14ac:dyDescent="0.25">
      <c r="A175" s="399">
        <v>164</v>
      </c>
      <c r="F175" s="503"/>
      <c r="K175" s="504"/>
      <c r="P175" s="505"/>
      <c r="U175" s="506"/>
      <c r="Z175" s="507"/>
      <c r="AA175" s="508"/>
      <c r="AB175" s="508"/>
      <c r="AC175" s="508"/>
      <c r="AD175" s="508"/>
      <c r="AE175" s="509"/>
    </row>
    <row r="176" spans="1:31" x14ac:dyDescent="0.25">
      <c r="A176" s="399">
        <v>165</v>
      </c>
      <c r="F176" s="503"/>
      <c r="K176" s="504"/>
      <c r="P176" s="505"/>
      <c r="U176" s="506"/>
      <c r="Z176" s="507"/>
      <c r="AA176" s="508"/>
      <c r="AB176" s="508"/>
      <c r="AC176" s="508"/>
      <c r="AD176" s="508"/>
      <c r="AE176" s="509"/>
    </row>
    <row r="177" spans="1:31" x14ac:dyDescent="0.25">
      <c r="A177" s="399">
        <v>166</v>
      </c>
      <c r="F177" s="503"/>
      <c r="K177" s="504"/>
      <c r="P177" s="505"/>
      <c r="U177" s="506"/>
      <c r="Z177" s="507"/>
      <c r="AA177" s="508"/>
      <c r="AB177" s="508"/>
      <c r="AC177" s="508"/>
      <c r="AD177" s="508"/>
      <c r="AE177" s="509"/>
    </row>
    <row r="178" spans="1:31" x14ac:dyDescent="0.25">
      <c r="A178" s="399">
        <v>167</v>
      </c>
      <c r="F178" s="503"/>
      <c r="K178" s="504"/>
      <c r="P178" s="505"/>
      <c r="U178" s="506"/>
      <c r="Z178" s="507"/>
      <c r="AA178" s="508"/>
      <c r="AB178" s="508"/>
      <c r="AC178" s="508"/>
      <c r="AD178" s="508"/>
      <c r="AE178" s="509"/>
    </row>
    <row r="179" spans="1:31" x14ac:dyDescent="0.25">
      <c r="A179" s="399">
        <v>168</v>
      </c>
      <c r="F179" s="503"/>
      <c r="K179" s="504"/>
      <c r="P179" s="505"/>
      <c r="U179" s="506"/>
      <c r="Z179" s="507"/>
      <c r="AA179" s="508"/>
      <c r="AB179" s="508"/>
      <c r="AC179" s="508"/>
      <c r="AD179" s="508"/>
      <c r="AE179" s="509"/>
    </row>
    <row r="180" spans="1:31" x14ac:dyDescent="0.25">
      <c r="A180" s="399">
        <v>169</v>
      </c>
      <c r="F180" s="503"/>
      <c r="K180" s="504"/>
      <c r="P180" s="505"/>
      <c r="U180" s="506"/>
      <c r="Z180" s="507"/>
      <c r="AA180" s="508"/>
      <c r="AB180" s="508"/>
      <c r="AC180" s="508"/>
      <c r="AD180" s="508"/>
      <c r="AE180" s="509"/>
    </row>
    <row r="181" spans="1:31" x14ac:dyDescent="0.25">
      <c r="A181" s="399">
        <v>170</v>
      </c>
      <c r="F181" s="503"/>
      <c r="K181" s="504"/>
      <c r="P181" s="505"/>
      <c r="U181" s="506"/>
      <c r="Z181" s="507"/>
      <c r="AA181" s="508"/>
      <c r="AB181" s="508"/>
      <c r="AC181" s="508"/>
      <c r="AD181" s="508"/>
      <c r="AE181" s="509"/>
    </row>
    <row r="182" spans="1:31" x14ac:dyDescent="0.25">
      <c r="A182" s="399">
        <v>171</v>
      </c>
      <c r="F182" s="503"/>
      <c r="K182" s="504"/>
      <c r="P182" s="505"/>
      <c r="U182" s="506"/>
      <c r="Z182" s="507"/>
      <c r="AA182" s="508"/>
      <c r="AB182" s="508"/>
      <c r="AC182" s="508"/>
      <c r="AD182" s="508"/>
      <c r="AE182" s="509"/>
    </row>
    <row r="183" spans="1:31" x14ac:dyDescent="0.25">
      <c r="A183" s="399">
        <v>172</v>
      </c>
      <c r="F183" s="503"/>
      <c r="K183" s="504"/>
      <c r="P183" s="505"/>
      <c r="U183" s="506"/>
      <c r="Z183" s="507"/>
      <c r="AA183" s="508"/>
      <c r="AB183" s="508"/>
      <c r="AC183" s="508"/>
      <c r="AD183" s="508"/>
      <c r="AE183" s="509"/>
    </row>
    <row r="184" spans="1:31" x14ac:dyDescent="0.25">
      <c r="A184" s="399">
        <v>173</v>
      </c>
      <c r="F184" s="503"/>
      <c r="K184" s="504"/>
      <c r="P184" s="505"/>
      <c r="U184" s="506"/>
      <c r="Z184" s="507"/>
      <c r="AA184" s="508"/>
      <c r="AB184" s="508"/>
      <c r="AC184" s="508"/>
      <c r="AD184" s="508"/>
      <c r="AE184" s="509"/>
    </row>
    <row r="185" spans="1:31" x14ac:dyDescent="0.25">
      <c r="A185" s="399">
        <v>174</v>
      </c>
      <c r="F185" s="503"/>
      <c r="K185" s="504"/>
      <c r="P185" s="505"/>
      <c r="U185" s="506"/>
      <c r="Z185" s="507"/>
      <c r="AA185" s="508"/>
      <c r="AB185" s="508"/>
      <c r="AC185" s="508"/>
      <c r="AD185" s="508"/>
      <c r="AE185" s="509"/>
    </row>
    <row r="186" spans="1:31" x14ac:dyDescent="0.25">
      <c r="A186" s="399">
        <v>175</v>
      </c>
      <c r="F186" s="503"/>
      <c r="K186" s="504"/>
      <c r="P186" s="505"/>
      <c r="U186" s="506"/>
      <c r="Z186" s="507"/>
      <c r="AA186" s="508"/>
      <c r="AB186" s="508"/>
      <c r="AC186" s="508"/>
      <c r="AD186" s="508"/>
      <c r="AE186" s="509"/>
    </row>
    <row r="187" spans="1:31" x14ac:dyDescent="0.25">
      <c r="A187" s="399">
        <v>176</v>
      </c>
      <c r="F187" s="503"/>
      <c r="K187" s="504"/>
      <c r="P187" s="505"/>
      <c r="U187" s="506"/>
      <c r="Z187" s="507"/>
      <c r="AA187" s="508"/>
      <c r="AB187" s="508"/>
      <c r="AC187" s="508"/>
      <c r="AD187" s="508"/>
      <c r="AE187" s="509"/>
    </row>
    <row r="188" spans="1:31" x14ac:dyDescent="0.25">
      <c r="A188" s="399">
        <v>177</v>
      </c>
      <c r="F188" s="503"/>
      <c r="K188" s="504"/>
      <c r="P188" s="505"/>
      <c r="U188" s="506"/>
      <c r="Z188" s="507"/>
      <c r="AA188" s="508"/>
      <c r="AB188" s="508"/>
      <c r="AC188" s="508"/>
      <c r="AD188" s="508"/>
      <c r="AE188" s="509"/>
    </row>
    <row r="189" spans="1:31" x14ac:dyDescent="0.25">
      <c r="A189" s="399">
        <v>178</v>
      </c>
      <c r="F189" s="503"/>
      <c r="K189" s="504"/>
      <c r="P189" s="505"/>
      <c r="U189" s="506"/>
      <c r="Z189" s="507"/>
      <c r="AA189" s="508"/>
      <c r="AB189" s="508"/>
      <c r="AC189" s="508"/>
      <c r="AD189" s="508"/>
      <c r="AE189" s="509"/>
    </row>
    <row r="190" spans="1:31" x14ac:dyDescent="0.25">
      <c r="A190" s="399">
        <v>179</v>
      </c>
      <c r="F190" s="503"/>
      <c r="K190" s="504"/>
      <c r="P190" s="505"/>
      <c r="U190" s="506"/>
      <c r="Z190" s="507"/>
      <c r="AA190" s="508"/>
      <c r="AB190" s="508"/>
      <c r="AC190" s="508"/>
      <c r="AD190" s="508"/>
      <c r="AE190" s="509"/>
    </row>
    <row r="191" spans="1:31" x14ac:dyDescent="0.25">
      <c r="A191" s="399">
        <v>180</v>
      </c>
      <c r="F191" s="503"/>
      <c r="K191" s="504"/>
      <c r="P191" s="505"/>
      <c r="U191" s="506"/>
      <c r="Z191" s="507"/>
      <c r="AA191" s="508"/>
      <c r="AB191" s="508"/>
      <c r="AC191" s="508"/>
      <c r="AD191" s="508"/>
      <c r="AE191" s="509"/>
    </row>
    <row r="192" spans="1:31" x14ac:dyDescent="0.25">
      <c r="A192" s="399">
        <v>181</v>
      </c>
      <c r="F192" s="503"/>
      <c r="K192" s="504"/>
      <c r="P192" s="505"/>
      <c r="U192" s="506"/>
      <c r="Z192" s="507"/>
      <c r="AA192" s="508"/>
      <c r="AB192" s="508"/>
      <c r="AC192" s="508"/>
      <c r="AD192" s="508"/>
      <c r="AE192" s="509"/>
    </row>
    <row r="193" spans="1:31" x14ac:dyDescent="0.25">
      <c r="A193" s="399">
        <v>182</v>
      </c>
      <c r="F193" s="503"/>
      <c r="K193" s="504"/>
      <c r="P193" s="505"/>
      <c r="U193" s="506"/>
      <c r="Z193" s="507"/>
      <c r="AA193" s="508"/>
      <c r="AB193" s="508"/>
      <c r="AC193" s="508"/>
      <c r="AD193" s="508"/>
      <c r="AE193" s="509"/>
    </row>
    <row r="194" spans="1:31" x14ac:dyDescent="0.25">
      <c r="A194" s="399">
        <v>183</v>
      </c>
      <c r="F194" s="503"/>
      <c r="K194" s="504"/>
      <c r="P194" s="505"/>
      <c r="U194" s="506"/>
      <c r="Z194" s="507"/>
      <c r="AA194" s="508"/>
      <c r="AB194" s="508"/>
      <c r="AC194" s="508"/>
      <c r="AD194" s="508"/>
      <c r="AE194" s="509"/>
    </row>
    <row r="195" spans="1:31" x14ac:dyDescent="0.25">
      <c r="A195" s="399">
        <v>184</v>
      </c>
      <c r="F195" s="503"/>
      <c r="K195" s="504"/>
      <c r="P195" s="505"/>
      <c r="U195" s="506"/>
      <c r="Z195" s="507"/>
      <c r="AA195" s="508"/>
      <c r="AB195" s="508"/>
      <c r="AC195" s="508"/>
      <c r="AD195" s="508"/>
      <c r="AE195" s="509"/>
    </row>
    <row r="196" spans="1:31" x14ac:dyDescent="0.25">
      <c r="A196" s="399">
        <v>185</v>
      </c>
      <c r="F196" s="503"/>
      <c r="K196" s="504"/>
      <c r="P196" s="505"/>
      <c r="U196" s="506"/>
      <c r="Z196" s="507"/>
      <c r="AA196" s="508"/>
      <c r="AB196" s="508"/>
      <c r="AC196" s="508"/>
      <c r="AD196" s="508"/>
      <c r="AE196" s="509"/>
    </row>
    <row r="197" spans="1:31" x14ac:dyDescent="0.25">
      <c r="A197" s="399">
        <v>186</v>
      </c>
      <c r="F197" s="503"/>
      <c r="K197" s="504"/>
      <c r="P197" s="505"/>
      <c r="U197" s="506"/>
      <c r="Z197" s="507"/>
      <c r="AA197" s="508"/>
      <c r="AB197" s="508"/>
      <c r="AC197" s="508"/>
      <c r="AD197" s="508"/>
      <c r="AE197" s="509"/>
    </row>
    <row r="198" spans="1:31" x14ac:dyDescent="0.25">
      <c r="A198" s="399">
        <v>187</v>
      </c>
      <c r="F198" s="503"/>
      <c r="K198" s="504"/>
      <c r="P198" s="505"/>
      <c r="U198" s="506"/>
      <c r="Z198" s="507"/>
      <c r="AA198" s="508"/>
      <c r="AB198" s="508"/>
      <c r="AC198" s="508"/>
      <c r="AD198" s="508"/>
      <c r="AE198" s="509"/>
    </row>
    <row r="199" spans="1:31" x14ac:dyDescent="0.25">
      <c r="A199" s="399">
        <v>188</v>
      </c>
      <c r="F199" s="503"/>
      <c r="K199" s="504"/>
      <c r="P199" s="505"/>
      <c r="U199" s="506"/>
      <c r="Z199" s="507"/>
      <c r="AA199" s="508"/>
      <c r="AB199" s="508"/>
      <c r="AC199" s="508"/>
      <c r="AD199" s="508"/>
      <c r="AE199" s="509"/>
    </row>
    <row r="200" spans="1:31" x14ac:dyDescent="0.25">
      <c r="A200" s="399">
        <v>189</v>
      </c>
      <c r="F200" s="503"/>
      <c r="K200" s="504"/>
      <c r="P200" s="505"/>
      <c r="U200" s="506"/>
      <c r="Z200" s="507"/>
      <c r="AA200" s="508"/>
      <c r="AB200" s="508"/>
      <c r="AC200" s="508"/>
      <c r="AD200" s="508"/>
      <c r="AE200" s="509"/>
    </row>
    <row r="201" spans="1:31" x14ac:dyDescent="0.25">
      <c r="A201" s="399">
        <v>190</v>
      </c>
      <c r="F201" s="503"/>
      <c r="K201" s="504"/>
      <c r="P201" s="505"/>
      <c r="U201" s="506"/>
      <c r="Z201" s="507"/>
      <c r="AA201" s="508"/>
      <c r="AB201" s="508"/>
      <c r="AC201" s="508"/>
      <c r="AD201" s="508"/>
      <c r="AE201" s="509"/>
    </row>
    <row r="202" spans="1:31" x14ac:dyDescent="0.25">
      <c r="A202" s="399">
        <v>191</v>
      </c>
      <c r="F202" s="503"/>
      <c r="K202" s="504"/>
      <c r="P202" s="505"/>
      <c r="U202" s="506"/>
      <c r="Z202" s="507"/>
      <c r="AA202" s="508"/>
      <c r="AB202" s="508"/>
      <c r="AC202" s="508"/>
      <c r="AD202" s="508"/>
      <c r="AE202" s="509"/>
    </row>
    <row r="203" spans="1:31" x14ac:dyDescent="0.25">
      <c r="A203" s="399">
        <v>192</v>
      </c>
      <c r="F203" s="503"/>
      <c r="K203" s="504"/>
      <c r="P203" s="505"/>
      <c r="U203" s="506"/>
      <c r="Z203" s="507"/>
      <c r="AA203" s="508"/>
      <c r="AB203" s="508"/>
      <c r="AC203" s="508"/>
      <c r="AD203" s="508"/>
      <c r="AE203" s="509"/>
    </row>
    <row r="204" spans="1:31" x14ac:dyDescent="0.25">
      <c r="A204" s="399">
        <v>193</v>
      </c>
      <c r="F204" s="503"/>
      <c r="K204" s="504"/>
      <c r="P204" s="505"/>
      <c r="U204" s="506"/>
      <c r="Z204" s="507"/>
      <c r="AA204" s="508"/>
      <c r="AB204" s="508"/>
      <c r="AC204" s="508"/>
      <c r="AD204" s="508"/>
      <c r="AE204" s="509"/>
    </row>
    <row r="205" spans="1:31" x14ac:dyDescent="0.25">
      <c r="A205" s="399">
        <v>194</v>
      </c>
      <c r="F205" s="503"/>
      <c r="K205" s="504"/>
      <c r="P205" s="505"/>
      <c r="U205" s="506"/>
      <c r="Z205" s="507"/>
      <c r="AA205" s="508"/>
      <c r="AB205" s="508"/>
      <c r="AC205" s="508"/>
      <c r="AD205" s="508"/>
      <c r="AE205" s="509"/>
    </row>
    <row r="206" spans="1:31" x14ac:dyDescent="0.25">
      <c r="A206" s="399">
        <v>195</v>
      </c>
      <c r="F206" s="503"/>
      <c r="K206" s="504"/>
      <c r="P206" s="505"/>
      <c r="U206" s="506"/>
      <c r="Z206" s="507"/>
      <c r="AA206" s="508"/>
      <c r="AB206" s="508"/>
      <c r="AC206" s="508"/>
      <c r="AD206" s="508"/>
      <c r="AE206" s="509"/>
    </row>
    <row r="207" spans="1:31" x14ac:dyDescent="0.25">
      <c r="A207" s="399">
        <v>196</v>
      </c>
      <c r="F207" s="503"/>
      <c r="K207" s="504"/>
      <c r="P207" s="505"/>
      <c r="U207" s="506"/>
      <c r="Z207" s="507"/>
      <c r="AA207" s="508"/>
      <c r="AB207" s="508"/>
      <c r="AC207" s="508"/>
      <c r="AD207" s="508"/>
      <c r="AE207" s="509"/>
    </row>
    <row r="208" spans="1:31" x14ac:dyDescent="0.25">
      <c r="A208" s="399">
        <v>197</v>
      </c>
      <c r="F208" s="503"/>
      <c r="K208" s="504"/>
      <c r="P208" s="505"/>
      <c r="U208" s="506"/>
      <c r="Z208" s="507"/>
      <c r="AA208" s="508"/>
      <c r="AB208" s="508"/>
      <c r="AC208" s="508"/>
      <c r="AD208" s="508"/>
      <c r="AE208" s="509"/>
    </row>
    <row r="209" spans="1:31" x14ac:dyDescent="0.25">
      <c r="A209" s="399">
        <v>198</v>
      </c>
      <c r="F209" s="503"/>
      <c r="K209" s="504"/>
      <c r="P209" s="505"/>
      <c r="U209" s="506"/>
      <c r="Z209" s="507"/>
      <c r="AA209" s="508"/>
      <c r="AB209" s="508"/>
      <c r="AC209" s="508"/>
      <c r="AD209" s="508"/>
      <c r="AE209" s="509"/>
    </row>
    <row r="210" spans="1:31" x14ac:dyDescent="0.25">
      <c r="A210" s="399">
        <v>199</v>
      </c>
      <c r="F210" s="503"/>
      <c r="K210" s="504"/>
      <c r="P210" s="505"/>
      <c r="U210" s="506"/>
      <c r="Z210" s="507"/>
      <c r="AA210" s="508"/>
      <c r="AB210" s="508"/>
      <c r="AC210" s="508"/>
      <c r="AD210" s="508"/>
      <c r="AE210" s="509"/>
    </row>
    <row r="211" spans="1:31" x14ac:dyDescent="0.25">
      <c r="A211" s="399">
        <v>200</v>
      </c>
      <c r="F211" s="503"/>
      <c r="K211" s="504"/>
      <c r="P211" s="505"/>
      <c r="U211" s="506"/>
      <c r="Z211" s="507"/>
      <c r="AA211" s="508"/>
      <c r="AB211" s="508"/>
      <c r="AC211" s="508"/>
      <c r="AD211" s="508"/>
      <c r="AE211" s="509"/>
    </row>
    <row r="212" spans="1:31" x14ac:dyDescent="0.25">
      <c r="A212" s="399">
        <v>201</v>
      </c>
      <c r="F212" s="503"/>
      <c r="K212" s="504"/>
      <c r="P212" s="505"/>
      <c r="U212" s="506"/>
      <c r="Z212" s="507"/>
      <c r="AA212" s="508"/>
      <c r="AB212" s="508"/>
      <c r="AC212" s="508"/>
      <c r="AD212" s="508"/>
      <c r="AE212" s="509"/>
    </row>
    <row r="213" spans="1:31" x14ac:dyDescent="0.25">
      <c r="A213" s="399">
        <v>202</v>
      </c>
      <c r="F213" s="503"/>
      <c r="K213" s="504"/>
      <c r="P213" s="505"/>
      <c r="U213" s="506"/>
      <c r="Z213" s="507"/>
      <c r="AA213" s="508"/>
      <c r="AB213" s="508"/>
      <c r="AC213" s="508"/>
      <c r="AD213" s="508"/>
      <c r="AE213" s="509"/>
    </row>
    <row r="214" spans="1:31" x14ac:dyDescent="0.25">
      <c r="A214" s="399">
        <v>203</v>
      </c>
      <c r="F214" s="503"/>
      <c r="K214" s="504"/>
      <c r="P214" s="505"/>
      <c r="U214" s="506"/>
      <c r="Z214" s="507"/>
      <c r="AA214" s="508"/>
      <c r="AB214" s="508"/>
      <c r="AC214" s="508"/>
      <c r="AD214" s="508"/>
      <c r="AE214" s="509"/>
    </row>
    <row r="215" spans="1:31" x14ac:dyDescent="0.25">
      <c r="A215" s="399">
        <v>204</v>
      </c>
      <c r="F215" s="503"/>
      <c r="K215" s="504"/>
      <c r="P215" s="505"/>
      <c r="U215" s="506"/>
      <c r="Z215" s="507"/>
      <c r="AA215" s="508"/>
      <c r="AB215" s="508"/>
      <c r="AC215" s="508"/>
      <c r="AD215" s="508"/>
      <c r="AE215" s="509"/>
    </row>
    <row r="216" spans="1:31" x14ac:dyDescent="0.25">
      <c r="A216" s="399">
        <v>205</v>
      </c>
      <c r="F216" s="503"/>
      <c r="K216" s="504"/>
      <c r="P216" s="505"/>
      <c r="U216" s="506"/>
      <c r="Z216" s="507"/>
      <c r="AA216" s="508"/>
      <c r="AB216" s="508"/>
      <c r="AC216" s="508"/>
      <c r="AD216" s="508"/>
      <c r="AE216" s="509"/>
    </row>
    <row r="217" spans="1:31" x14ac:dyDescent="0.25">
      <c r="A217" s="399">
        <v>206</v>
      </c>
      <c r="F217" s="503"/>
      <c r="K217" s="504"/>
      <c r="P217" s="505"/>
      <c r="U217" s="506"/>
      <c r="Z217" s="507"/>
      <c r="AA217" s="508"/>
      <c r="AB217" s="508"/>
      <c r="AC217" s="508"/>
      <c r="AD217" s="508"/>
      <c r="AE217" s="509"/>
    </row>
    <row r="218" spans="1:31" x14ac:dyDescent="0.25">
      <c r="A218" s="399">
        <v>207</v>
      </c>
      <c r="F218" s="503"/>
      <c r="K218" s="504"/>
      <c r="P218" s="505"/>
      <c r="U218" s="506"/>
      <c r="Z218" s="507"/>
      <c r="AA218" s="508"/>
      <c r="AB218" s="508"/>
      <c r="AC218" s="508"/>
      <c r="AD218" s="508"/>
      <c r="AE218" s="509"/>
    </row>
    <row r="219" spans="1:31" x14ac:dyDescent="0.25">
      <c r="A219" s="399">
        <v>208</v>
      </c>
      <c r="F219" s="503"/>
      <c r="K219" s="504"/>
      <c r="P219" s="505"/>
      <c r="U219" s="506"/>
      <c r="Z219" s="507"/>
      <c r="AA219" s="508"/>
      <c r="AB219" s="508"/>
      <c r="AC219" s="508"/>
      <c r="AD219" s="508"/>
      <c r="AE219" s="509"/>
    </row>
    <row r="220" spans="1:31" x14ac:dyDescent="0.25">
      <c r="A220" s="399">
        <v>209</v>
      </c>
      <c r="F220" s="503"/>
      <c r="K220" s="504"/>
      <c r="P220" s="505"/>
      <c r="U220" s="506"/>
      <c r="Z220" s="507"/>
      <c r="AA220" s="508"/>
      <c r="AB220" s="508"/>
      <c r="AC220" s="508"/>
      <c r="AD220" s="508"/>
      <c r="AE220" s="509"/>
    </row>
    <row r="221" spans="1:31" x14ac:dyDescent="0.25">
      <c r="A221" s="399">
        <v>210</v>
      </c>
      <c r="F221" s="503"/>
      <c r="K221" s="504"/>
      <c r="P221" s="505"/>
      <c r="U221" s="506"/>
      <c r="Z221" s="507"/>
      <c r="AA221" s="508"/>
      <c r="AB221" s="508"/>
      <c r="AC221" s="508"/>
      <c r="AD221" s="508"/>
      <c r="AE221" s="509"/>
    </row>
    <row r="222" spans="1:31" x14ac:dyDescent="0.25">
      <c r="A222" s="399">
        <v>211</v>
      </c>
      <c r="F222" s="503"/>
      <c r="K222" s="504"/>
      <c r="P222" s="505"/>
      <c r="U222" s="506"/>
      <c r="Z222" s="507"/>
      <c r="AA222" s="508"/>
      <c r="AB222" s="508"/>
      <c r="AC222" s="508"/>
      <c r="AD222" s="508"/>
      <c r="AE222" s="509"/>
    </row>
    <row r="223" spans="1:31" x14ac:dyDescent="0.25">
      <c r="A223" s="399">
        <v>212</v>
      </c>
      <c r="F223" s="503"/>
      <c r="K223" s="504"/>
      <c r="P223" s="505"/>
      <c r="U223" s="506"/>
      <c r="Z223" s="507"/>
      <c r="AA223" s="508"/>
      <c r="AB223" s="508"/>
      <c r="AC223" s="508"/>
      <c r="AD223" s="508"/>
      <c r="AE223" s="509"/>
    </row>
    <row r="224" spans="1:31" x14ac:dyDescent="0.25">
      <c r="A224" s="399">
        <v>213</v>
      </c>
      <c r="F224" s="503"/>
      <c r="K224" s="504"/>
      <c r="P224" s="505"/>
      <c r="U224" s="506"/>
      <c r="Z224" s="507"/>
      <c r="AA224" s="508"/>
      <c r="AB224" s="508"/>
      <c r="AC224" s="508"/>
      <c r="AD224" s="508"/>
      <c r="AE224" s="509"/>
    </row>
    <row r="225" spans="1:31" x14ac:dyDescent="0.25">
      <c r="A225" s="399">
        <v>214</v>
      </c>
      <c r="F225" s="503"/>
      <c r="K225" s="504"/>
      <c r="P225" s="505"/>
      <c r="U225" s="506"/>
      <c r="Z225" s="507"/>
      <c r="AA225" s="508"/>
      <c r="AB225" s="508"/>
      <c r="AC225" s="508"/>
      <c r="AD225" s="508"/>
      <c r="AE225" s="509"/>
    </row>
    <row r="226" spans="1:31" x14ac:dyDescent="0.25">
      <c r="A226" s="399">
        <v>215</v>
      </c>
      <c r="F226" s="503"/>
      <c r="K226" s="504"/>
      <c r="P226" s="505"/>
      <c r="U226" s="506"/>
      <c r="Z226" s="507"/>
      <c r="AA226" s="508"/>
      <c r="AB226" s="508"/>
      <c r="AC226" s="508"/>
      <c r="AD226" s="508"/>
      <c r="AE226" s="509"/>
    </row>
    <row r="227" spans="1:31" x14ac:dyDescent="0.25">
      <c r="A227" s="399">
        <v>216</v>
      </c>
      <c r="F227" s="503"/>
      <c r="K227" s="504"/>
      <c r="P227" s="505"/>
      <c r="U227" s="506"/>
      <c r="Z227" s="507"/>
      <c r="AA227" s="508"/>
      <c r="AB227" s="508"/>
      <c r="AC227" s="508"/>
      <c r="AD227" s="508"/>
      <c r="AE227" s="509"/>
    </row>
    <row r="228" spans="1:31" x14ac:dyDescent="0.25">
      <c r="A228" s="399">
        <v>217</v>
      </c>
      <c r="F228" s="503"/>
      <c r="K228" s="504"/>
      <c r="P228" s="505"/>
      <c r="U228" s="506"/>
      <c r="Z228" s="507"/>
      <c r="AA228" s="508"/>
      <c r="AB228" s="508"/>
      <c r="AC228" s="508"/>
      <c r="AD228" s="508"/>
      <c r="AE228" s="509"/>
    </row>
    <row r="229" spans="1:31" x14ac:dyDescent="0.25">
      <c r="A229" s="399">
        <v>218</v>
      </c>
      <c r="F229" s="503"/>
      <c r="K229" s="504"/>
      <c r="P229" s="505"/>
      <c r="U229" s="506"/>
      <c r="Z229" s="507"/>
      <c r="AA229" s="508"/>
      <c r="AB229" s="508"/>
      <c r="AC229" s="508"/>
      <c r="AD229" s="508"/>
      <c r="AE229" s="509"/>
    </row>
    <row r="230" spans="1:31" x14ac:dyDescent="0.25">
      <c r="A230" s="399">
        <v>219</v>
      </c>
      <c r="F230" s="503"/>
      <c r="K230" s="504"/>
      <c r="P230" s="505"/>
      <c r="U230" s="506"/>
      <c r="Z230" s="507"/>
      <c r="AA230" s="508"/>
      <c r="AB230" s="508"/>
      <c r="AC230" s="508"/>
      <c r="AD230" s="508"/>
      <c r="AE230" s="509"/>
    </row>
    <row r="231" spans="1:31" x14ac:dyDescent="0.25">
      <c r="A231" s="399">
        <v>220</v>
      </c>
      <c r="F231" s="503"/>
      <c r="K231" s="504"/>
      <c r="P231" s="505"/>
      <c r="U231" s="506"/>
      <c r="Z231" s="507"/>
      <c r="AA231" s="508"/>
      <c r="AB231" s="508"/>
      <c r="AC231" s="508"/>
      <c r="AD231" s="508"/>
      <c r="AE231" s="509"/>
    </row>
    <row r="232" spans="1:31" x14ac:dyDescent="0.25">
      <c r="A232" s="399">
        <v>221</v>
      </c>
      <c r="F232" s="503"/>
      <c r="K232" s="504"/>
      <c r="P232" s="505"/>
      <c r="U232" s="506"/>
      <c r="Z232" s="507"/>
      <c r="AA232" s="508"/>
      <c r="AB232" s="508"/>
      <c r="AC232" s="508"/>
      <c r="AD232" s="508"/>
      <c r="AE232" s="509"/>
    </row>
    <row r="233" spans="1:31" x14ac:dyDescent="0.25">
      <c r="A233" s="399">
        <v>222</v>
      </c>
      <c r="F233" s="503"/>
      <c r="K233" s="504"/>
      <c r="P233" s="505"/>
      <c r="U233" s="506"/>
      <c r="Z233" s="507"/>
      <c r="AA233" s="508"/>
      <c r="AB233" s="508"/>
      <c r="AC233" s="508"/>
      <c r="AD233" s="508"/>
      <c r="AE233" s="509"/>
    </row>
    <row r="234" spans="1:31" x14ac:dyDescent="0.25">
      <c r="A234" s="399">
        <v>223</v>
      </c>
      <c r="F234" s="503"/>
      <c r="K234" s="504"/>
      <c r="P234" s="505"/>
      <c r="U234" s="506"/>
      <c r="Z234" s="507"/>
      <c r="AA234" s="508"/>
      <c r="AB234" s="508"/>
      <c r="AC234" s="508"/>
      <c r="AD234" s="508"/>
      <c r="AE234" s="509"/>
    </row>
    <row r="235" spans="1:31" x14ac:dyDescent="0.25">
      <c r="A235" s="399">
        <v>224</v>
      </c>
      <c r="F235" s="503"/>
      <c r="K235" s="504"/>
      <c r="P235" s="505"/>
      <c r="U235" s="506"/>
      <c r="Z235" s="507"/>
      <c r="AA235" s="508"/>
      <c r="AB235" s="508"/>
      <c r="AC235" s="508"/>
      <c r="AD235" s="508"/>
      <c r="AE235" s="509"/>
    </row>
    <row r="236" spans="1:31" x14ac:dyDescent="0.25">
      <c r="A236" s="399">
        <v>225</v>
      </c>
      <c r="F236" s="503"/>
      <c r="K236" s="504"/>
      <c r="P236" s="505"/>
      <c r="U236" s="506"/>
      <c r="Z236" s="507"/>
      <c r="AA236" s="508"/>
      <c r="AB236" s="508"/>
      <c r="AC236" s="508"/>
      <c r="AD236" s="508"/>
      <c r="AE236" s="509"/>
    </row>
    <row r="237" spans="1:31" x14ac:dyDescent="0.25">
      <c r="A237" s="399">
        <v>226</v>
      </c>
      <c r="F237" s="503"/>
      <c r="K237" s="504"/>
      <c r="P237" s="505"/>
      <c r="U237" s="506"/>
      <c r="Z237" s="507"/>
      <c r="AA237" s="508"/>
      <c r="AB237" s="508"/>
      <c r="AC237" s="508"/>
      <c r="AD237" s="508"/>
      <c r="AE237" s="509"/>
    </row>
    <row r="238" spans="1:31" x14ac:dyDescent="0.25">
      <c r="A238" s="399">
        <v>227</v>
      </c>
      <c r="F238" s="503"/>
      <c r="K238" s="504"/>
      <c r="P238" s="505"/>
      <c r="U238" s="506"/>
      <c r="Z238" s="507"/>
      <c r="AA238" s="508"/>
      <c r="AB238" s="508"/>
      <c r="AC238" s="508"/>
      <c r="AD238" s="508"/>
      <c r="AE238" s="509"/>
    </row>
    <row r="239" spans="1:31" x14ac:dyDescent="0.25">
      <c r="A239" s="399">
        <v>228</v>
      </c>
      <c r="F239" s="503"/>
      <c r="K239" s="504"/>
      <c r="P239" s="505"/>
      <c r="U239" s="506"/>
      <c r="Z239" s="507"/>
      <c r="AA239" s="508"/>
      <c r="AB239" s="508"/>
      <c r="AC239" s="508"/>
      <c r="AD239" s="508"/>
      <c r="AE239" s="509"/>
    </row>
    <row r="240" spans="1:31" x14ac:dyDescent="0.25">
      <c r="A240" s="399">
        <v>229</v>
      </c>
      <c r="F240" s="503"/>
      <c r="K240" s="504"/>
      <c r="P240" s="505"/>
      <c r="U240" s="506"/>
      <c r="Z240" s="507"/>
      <c r="AA240" s="508"/>
      <c r="AB240" s="508"/>
      <c r="AC240" s="508"/>
      <c r="AD240" s="508"/>
      <c r="AE240" s="509"/>
    </row>
    <row r="241" spans="1:31" x14ac:dyDescent="0.25">
      <c r="A241" s="399">
        <v>230</v>
      </c>
      <c r="F241" s="503"/>
      <c r="K241" s="504"/>
      <c r="P241" s="505"/>
      <c r="U241" s="506"/>
      <c r="Z241" s="507"/>
      <c r="AA241" s="508"/>
      <c r="AB241" s="508"/>
      <c r="AC241" s="508"/>
      <c r="AD241" s="508"/>
      <c r="AE241" s="509"/>
    </row>
    <row r="242" spans="1:31" x14ac:dyDescent="0.25">
      <c r="A242" s="399">
        <v>231</v>
      </c>
      <c r="F242" s="503"/>
      <c r="K242" s="504"/>
      <c r="P242" s="505"/>
      <c r="U242" s="506"/>
      <c r="Z242" s="507"/>
      <c r="AA242" s="508"/>
      <c r="AB242" s="508"/>
      <c r="AC242" s="508"/>
      <c r="AD242" s="508"/>
      <c r="AE242" s="509"/>
    </row>
    <row r="243" spans="1:31" x14ac:dyDescent="0.25">
      <c r="A243" s="399">
        <v>232</v>
      </c>
      <c r="F243" s="503"/>
      <c r="K243" s="504"/>
      <c r="P243" s="505"/>
      <c r="U243" s="506"/>
      <c r="Z243" s="507"/>
      <c r="AA243" s="508"/>
      <c r="AB243" s="508"/>
      <c r="AC243" s="508"/>
      <c r="AD243" s="508"/>
      <c r="AE243" s="509"/>
    </row>
    <row r="244" spans="1:31" x14ac:dyDescent="0.25">
      <c r="A244" s="399">
        <v>233</v>
      </c>
      <c r="F244" s="503"/>
      <c r="K244" s="504"/>
      <c r="P244" s="505"/>
      <c r="U244" s="506"/>
      <c r="Z244" s="507"/>
      <c r="AA244" s="508"/>
      <c r="AB244" s="508"/>
      <c r="AC244" s="508"/>
      <c r="AD244" s="508"/>
      <c r="AE244" s="509"/>
    </row>
    <row r="245" spans="1:31" x14ac:dyDescent="0.25">
      <c r="A245" s="399">
        <v>234</v>
      </c>
      <c r="F245" s="503"/>
      <c r="K245" s="504"/>
      <c r="P245" s="505"/>
      <c r="U245" s="506"/>
      <c r="Z245" s="507"/>
      <c r="AA245" s="508"/>
      <c r="AB245" s="508"/>
      <c r="AC245" s="508"/>
      <c r="AD245" s="508"/>
      <c r="AE245" s="509"/>
    </row>
    <row r="246" spans="1:31" x14ac:dyDescent="0.25">
      <c r="A246" s="399">
        <v>235</v>
      </c>
      <c r="F246" s="503"/>
      <c r="K246" s="504"/>
      <c r="P246" s="505"/>
      <c r="U246" s="506"/>
      <c r="Z246" s="507"/>
      <c r="AA246" s="508"/>
      <c r="AB246" s="508"/>
      <c r="AC246" s="508"/>
      <c r="AD246" s="508"/>
      <c r="AE246" s="509"/>
    </row>
    <row r="247" spans="1:31" x14ac:dyDescent="0.25">
      <c r="A247" s="399">
        <v>236</v>
      </c>
      <c r="F247" s="503"/>
      <c r="K247" s="504"/>
      <c r="P247" s="505"/>
      <c r="U247" s="506"/>
      <c r="Z247" s="507"/>
      <c r="AA247" s="508"/>
      <c r="AB247" s="508"/>
      <c r="AC247" s="508"/>
      <c r="AD247" s="508"/>
      <c r="AE247" s="509"/>
    </row>
    <row r="248" spans="1:31" x14ac:dyDescent="0.25">
      <c r="A248" s="399">
        <v>237</v>
      </c>
      <c r="F248" s="503"/>
      <c r="K248" s="504"/>
      <c r="P248" s="505"/>
      <c r="U248" s="506"/>
      <c r="Z248" s="507"/>
      <c r="AA248" s="508"/>
      <c r="AB248" s="508"/>
      <c r="AC248" s="508"/>
      <c r="AD248" s="508"/>
      <c r="AE248" s="509"/>
    </row>
    <row r="249" spans="1:31" x14ac:dyDescent="0.25">
      <c r="A249" s="399">
        <v>238</v>
      </c>
      <c r="F249" s="503"/>
      <c r="K249" s="504"/>
      <c r="P249" s="505"/>
      <c r="U249" s="506"/>
      <c r="Z249" s="507"/>
      <c r="AA249" s="508"/>
      <c r="AB249" s="508"/>
      <c r="AC249" s="508"/>
      <c r="AD249" s="508"/>
      <c r="AE249" s="509"/>
    </row>
    <row r="250" spans="1:31" x14ac:dyDescent="0.25">
      <c r="A250" s="399">
        <v>239</v>
      </c>
      <c r="F250" s="503"/>
      <c r="K250" s="504"/>
      <c r="P250" s="505"/>
      <c r="U250" s="506"/>
      <c r="Z250" s="507"/>
      <c r="AA250" s="508"/>
      <c r="AB250" s="508"/>
      <c r="AC250" s="508"/>
      <c r="AD250" s="508"/>
      <c r="AE250" s="509"/>
    </row>
    <row r="251" spans="1:31" x14ac:dyDescent="0.25">
      <c r="A251" s="399">
        <v>240</v>
      </c>
      <c r="F251" s="503"/>
      <c r="K251" s="504"/>
      <c r="P251" s="505"/>
      <c r="U251" s="506"/>
      <c r="Z251" s="507"/>
      <c r="AA251" s="508"/>
      <c r="AB251" s="508"/>
      <c r="AC251" s="508"/>
      <c r="AD251" s="508"/>
      <c r="AE251" s="509"/>
    </row>
    <row r="252" spans="1:31" x14ac:dyDescent="0.25">
      <c r="A252" s="399">
        <v>241</v>
      </c>
      <c r="F252" s="503"/>
      <c r="K252" s="504"/>
      <c r="P252" s="505"/>
      <c r="U252" s="506"/>
      <c r="Z252" s="507"/>
      <c r="AA252" s="508"/>
      <c r="AB252" s="508"/>
      <c r="AC252" s="508"/>
      <c r="AD252" s="508"/>
      <c r="AE252" s="509"/>
    </row>
    <row r="253" spans="1:31" x14ac:dyDescent="0.25">
      <c r="A253" s="399">
        <v>242</v>
      </c>
      <c r="F253" s="503"/>
      <c r="K253" s="504"/>
      <c r="P253" s="505"/>
      <c r="U253" s="506"/>
      <c r="Z253" s="507"/>
      <c r="AA253" s="508"/>
      <c r="AB253" s="508"/>
      <c r="AC253" s="508"/>
      <c r="AD253" s="508"/>
      <c r="AE253" s="509"/>
    </row>
    <row r="254" spans="1:31" x14ac:dyDescent="0.25">
      <c r="A254" s="399">
        <v>243</v>
      </c>
      <c r="F254" s="503"/>
      <c r="K254" s="504"/>
      <c r="P254" s="505"/>
      <c r="U254" s="506"/>
      <c r="Z254" s="507"/>
      <c r="AA254" s="508"/>
      <c r="AB254" s="508"/>
      <c r="AC254" s="508"/>
      <c r="AD254" s="508"/>
      <c r="AE254" s="509"/>
    </row>
    <row r="255" spans="1:31" x14ac:dyDescent="0.25">
      <c r="A255" s="399">
        <v>244</v>
      </c>
      <c r="F255" s="503"/>
      <c r="K255" s="504"/>
      <c r="P255" s="505"/>
      <c r="U255" s="506"/>
      <c r="Z255" s="507"/>
      <c r="AA255" s="508"/>
      <c r="AB255" s="508"/>
      <c r="AC255" s="508"/>
      <c r="AD255" s="508"/>
      <c r="AE255" s="509"/>
    </row>
    <row r="256" spans="1:31" x14ac:dyDescent="0.25">
      <c r="A256" s="399">
        <v>245</v>
      </c>
      <c r="F256" s="503"/>
      <c r="K256" s="504"/>
      <c r="P256" s="505"/>
      <c r="U256" s="506"/>
      <c r="Z256" s="507"/>
      <c r="AA256" s="508"/>
      <c r="AB256" s="508"/>
      <c r="AC256" s="508"/>
      <c r="AD256" s="508"/>
      <c r="AE256" s="509"/>
    </row>
    <row r="257" spans="1:31" x14ac:dyDescent="0.25">
      <c r="A257" s="399">
        <v>246</v>
      </c>
      <c r="F257" s="503"/>
      <c r="K257" s="504"/>
      <c r="P257" s="505"/>
      <c r="U257" s="506"/>
      <c r="Z257" s="507"/>
      <c r="AA257" s="508"/>
      <c r="AB257" s="508"/>
      <c r="AC257" s="508"/>
      <c r="AD257" s="508"/>
      <c r="AE257" s="509"/>
    </row>
    <row r="258" spans="1:31" x14ac:dyDescent="0.25">
      <c r="A258" s="399">
        <v>247</v>
      </c>
      <c r="F258" s="503"/>
      <c r="K258" s="504"/>
      <c r="P258" s="505"/>
      <c r="U258" s="506"/>
      <c r="Z258" s="507"/>
      <c r="AA258" s="508"/>
      <c r="AB258" s="508"/>
      <c r="AC258" s="508"/>
      <c r="AD258" s="508"/>
      <c r="AE258" s="509"/>
    </row>
    <row r="259" spans="1:31" x14ac:dyDescent="0.25">
      <c r="A259" s="399">
        <v>248</v>
      </c>
      <c r="F259" s="503"/>
      <c r="K259" s="504"/>
      <c r="P259" s="505"/>
      <c r="U259" s="506"/>
      <c r="Z259" s="507"/>
      <c r="AA259" s="508"/>
      <c r="AB259" s="508"/>
      <c r="AC259" s="508"/>
      <c r="AD259" s="508"/>
      <c r="AE259" s="509"/>
    </row>
    <row r="260" spans="1:31" x14ac:dyDescent="0.25">
      <c r="A260" s="399">
        <v>249</v>
      </c>
      <c r="F260" s="503"/>
      <c r="K260" s="504"/>
      <c r="P260" s="505"/>
      <c r="U260" s="506"/>
      <c r="Z260" s="507"/>
      <c r="AA260" s="508"/>
      <c r="AB260" s="508"/>
      <c r="AC260" s="508"/>
      <c r="AD260" s="508"/>
      <c r="AE260" s="509"/>
    </row>
    <row r="261" spans="1:31" x14ac:dyDescent="0.25">
      <c r="A261" s="399">
        <v>250</v>
      </c>
      <c r="F261" s="503"/>
      <c r="K261" s="504"/>
      <c r="P261" s="505"/>
      <c r="U261" s="506"/>
      <c r="Z261" s="507"/>
      <c r="AA261" s="508"/>
      <c r="AB261" s="508"/>
      <c r="AC261" s="508"/>
      <c r="AD261" s="508"/>
      <c r="AE261" s="509"/>
    </row>
    <row r="262" spans="1:31" ht="15.75" thickBot="1" x14ac:dyDescent="0.3">
      <c r="A262" s="411"/>
      <c r="B262" s="510"/>
      <c r="C262" s="510"/>
      <c r="D262" s="510"/>
      <c r="E262" s="510"/>
      <c r="F262" s="510"/>
      <c r="G262" s="510"/>
      <c r="H262" s="510"/>
      <c r="I262" s="510"/>
      <c r="J262" s="510"/>
      <c r="K262" s="510"/>
      <c r="L262" s="510"/>
      <c r="M262" s="510"/>
      <c r="N262" s="510"/>
      <c r="O262" s="510"/>
      <c r="P262" s="510"/>
      <c r="Q262" s="510"/>
      <c r="R262" s="510"/>
      <c r="S262" s="510"/>
      <c r="T262" s="510"/>
      <c r="U262" s="510"/>
      <c r="V262" s="510"/>
      <c r="W262" s="510"/>
      <c r="X262" s="510"/>
      <c r="Y262" s="510"/>
      <c r="Z262" s="510"/>
      <c r="AA262" s="510"/>
      <c r="AB262" s="510"/>
      <c r="AC262" s="510"/>
      <c r="AD262" s="510"/>
      <c r="AE262" s="510"/>
    </row>
  </sheetData>
  <sheetProtection sheet="1" objects="1" scenarios="1"/>
  <mergeCells count="6">
    <mergeCell ref="AA1:AD1"/>
    <mergeCell ref="B1:E1"/>
    <mergeCell ref="G1:J1"/>
    <mergeCell ref="L1:O1"/>
    <mergeCell ref="Q1:T1"/>
    <mergeCell ref="V1:Y1"/>
  </mergeCells>
  <pageMargins left="0.7" right="0.7" top="0.75" bottom="0.75" header="0.3" footer="0.3"/>
  <pageSetup scale="40" fitToHeight="3" orientation="landscape"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pageSetUpPr fitToPage="1"/>
  </sheetPr>
  <dimension ref="A1:AE262"/>
  <sheetViews>
    <sheetView workbookViewId="0">
      <pane xSplit="1" ySplit="10" topLeftCell="B11" activePane="bottomRight" state="frozen"/>
      <selection activeCell="B11" sqref="B11"/>
      <selection pane="topRight" activeCell="B11" sqref="B11"/>
      <selection pane="bottomLeft" activeCell="B11" sqref="B11"/>
      <selection pane="bottomRight" activeCell="B11" sqref="B11"/>
    </sheetView>
  </sheetViews>
  <sheetFormatPr defaultColWidth="8.85546875" defaultRowHeight="15" x14ac:dyDescent="0.25"/>
  <cols>
    <col min="1" max="1" width="14.85546875" style="7" customWidth="1"/>
    <col min="2" max="2" width="8.42578125" style="7" customWidth="1"/>
    <col min="3" max="3" width="8.85546875" style="7" customWidth="1"/>
    <col min="4" max="5" width="8.85546875" style="7"/>
    <col min="6" max="6" width="10" style="7" customWidth="1"/>
    <col min="7" max="10" width="8.85546875" style="7"/>
    <col min="11" max="11" width="10" style="7" customWidth="1"/>
    <col min="12" max="15" width="8.85546875" style="7"/>
    <col min="16" max="16" width="10" style="7" customWidth="1"/>
    <col min="17" max="20" width="8.85546875" style="7"/>
    <col min="21" max="21" width="10" style="7" customWidth="1"/>
    <col min="22" max="25" width="8.85546875" style="7"/>
    <col min="26" max="26" width="10" style="7" customWidth="1"/>
    <col min="27" max="30" width="8.85546875" style="7"/>
    <col min="31" max="31" width="10" style="7" customWidth="1"/>
    <col min="32" max="16384" width="8.85546875" style="7"/>
  </cols>
  <sheetData>
    <row r="1" spans="1:31" s="512" customFormat="1" ht="19.5" thickBot="1" x14ac:dyDescent="0.35">
      <c r="A1" s="511"/>
      <c r="B1" s="1447"/>
      <c r="C1" s="1448"/>
      <c r="D1" s="1448"/>
      <c r="E1" s="1449"/>
      <c r="F1" s="414"/>
      <c r="G1" s="1450"/>
      <c r="H1" s="1451"/>
      <c r="I1" s="1451"/>
      <c r="J1" s="1452"/>
      <c r="K1" s="414"/>
      <c r="L1" s="1453"/>
      <c r="M1" s="1454"/>
      <c r="N1" s="1454"/>
      <c r="O1" s="1455"/>
      <c r="P1" s="414"/>
      <c r="Q1" s="1456"/>
      <c r="R1" s="1457"/>
      <c r="S1" s="1457"/>
      <c r="T1" s="1458"/>
      <c r="U1" s="414"/>
      <c r="V1" s="1459"/>
      <c r="W1" s="1460"/>
      <c r="X1" s="1460"/>
      <c r="Y1" s="1461"/>
      <c r="Z1" s="414"/>
      <c r="AA1" s="1444"/>
      <c r="AB1" s="1445"/>
      <c r="AC1" s="1445"/>
      <c r="AD1" s="1446"/>
      <c r="AE1" s="254"/>
    </row>
    <row r="2" spans="1:31" ht="108" customHeight="1" thickBot="1" x14ac:dyDescent="0.3">
      <c r="A2" s="417" t="s">
        <v>3</v>
      </c>
      <c r="B2" s="258"/>
      <c r="C2" s="259"/>
      <c r="D2" s="259"/>
      <c r="E2" s="418"/>
      <c r="F2" s="419"/>
      <c r="G2" s="420"/>
      <c r="H2" s="261"/>
      <c r="I2" s="261"/>
      <c r="J2" s="262"/>
      <c r="K2" s="421"/>
      <c r="L2" s="264"/>
      <c r="M2" s="265"/>
      <c r="N2" s="265"/>
      <c r="O2" s="266"/>
      <c r="P2" s="422"/>
      <c r="Q2" s="268"/>
      <c r="R2" s="269"/>
      <c r="S2" s="269"/>
      <c r="T2" s="270"/>
      <c r="U2" s="423"/>
      <c r="V2" s="424"/>
      <c r="W2" s="425"/>
      <c r="X2" s="425"/>
      <c r="Y2" s="426"/>
      <c r="Z2" s="272"/>
      <c r="AA2" s="513"/>
      <c r="AB2" s="514"/>
      <c r="AC2" s="514"/>
      <c r="AD2" s="515"/>
      <c r="AE2" s="276"/>
    </row>
    <row r="3" spans="1:31" x14ac:dyDescent="0.25">
      <c r="A3" s="277" t="s">
        <v>11</v>
      </c>
      <c r="B3" s="278"/>
      <c r="C3" s="279"/>
      <c r="D3" s="279"/>
      <c r="E3" s="427"/>
      <c r="F3" s="281"/>
      <c r="G3" s="428"/>
      <c r="H3" s="283"/>
      <c r="I3" s="283"/>
      <c r="J3" s="284"/>
      <c r="K3" s="285"/>
      <c r="L3" s="286"/>
      <c r="M3" s="287"/>
      <c r="N3" s="287"/>
      <c r="O3" s="288"/>
      <c r="P3" s="289" t="s">
        <v>122</v>
      </c>
      <c r="Q3" s="290"/>
      <c r="R3" s="291"/>
      <c r="S3" s="291"/>
      <c r="T3" s="292"/>
      <c r="U3" s="429" t="s">
        <v>122</v>
      </c>
      <c r="V3" s="294"/>
      <c r="W3" s="295"/>
      <c r="X3" s="295"/>
      <c r="Y3" s="296"/>
      <c r="Z3" s="297" t="s">
        <v>122</v>
      </c>
      <c r="AA3" s="298"/>
      <c r="AB3" s="299"/>
      <c r="AC3" s="299"/>
      <c r="AD3" s="300"/>
      <c r="AE3" s="301" t="s">
        <v>122</v>
      </c>
    </row>
    <row r="4" spans="1:31" ht="15.75" thickBot="1" x14ac:dyDescent="0.3">
      <c r="A4" s="277" t="s">
        <v>1</v>
      </c>
      <c r="B4" s="430"/>
      <c r="C4" s="431"/>
      <c r="D4" s="431"/>
      <c r="E4" s="432"/>
      <c r="F4" s="281"/>
      <c r="G4" s="433"/>
      <c r="H4" s="434"/>
      <c r="I4" s="434"/>
      <c r="J4" s="435"/>
      <c r="K4" s="285"/>
      <c r="L4" s="516"/>
      <c r="M4" s="517"/>
      <c r="N4" s="517"/>
      <c r="O4" s="518"/>
      <c r="P4" s="289"/>
      <c r="Q4" s="439"/>
      <c r="R4" s="440"/>
      <c r="S4" s="440"/>
      <c r="T4" s="441"/>
      <c r="U4" s="429"/>
      <c r="V4" s="442"/>
      <c r="W4" s="443"/>
      <c r="X4" s="443"/>
      <c r="Y4" s="444"/>
      <c r="Z4" s="297"/>
      <c r="AA4" s="445"/>
      <c r="AB4" s="446"/>
      <c r="AC4" s="446"/>
      <c r="AD4" s="447"/>
      <c r="AE4" s="301"/>
    </row>
    <row r="5" spans="1:31" x14ac:dyDescent="0.25">
      <c r="A5" s="277" t="s">
        <v>102</v>
      </c>
      <c r="B5" s="519"/>
      <c r="C5" s="520"/>
      <c r="D5" s="520"/>
      <c r="E5" s="521"/>
      <c r="F5" s="1404"/>
      <c r="G5" s="522"/>
      <c r="H5" s="523"/>
      <c r="I5" s="523"/>
      <c r="J5" s="524"/>
      <c r="K5" s="1408"/>
      <c r="L5" s="525"/>
      <c r="M5" s="526"/>
      <c r="N5" s="526"/>
      <c r="O5" s="527"/>
      <c r="P5" s="1412"/>
      <c r="Q5" s="528"/>
      <c r="R5" s="529"/>
      <c r="S5" s="529"/>
      <c r="T5" s="530"/>
      <c r="U5" s="1416"/>
      <c r="V5" s="531"/>
      <c r="W5" s="532"/>
      <c r="X5" s="532"/>
      <c r="Y5" s="533"/>
      <c r="Z5" s="1420"/>
      <c r="AA5" s="534"/>
      <c r="AB5" s="535"/>
      <c r="AC5" s="535"/>
      <c r="AD5" s="536"/>
      <c r="AE5" s="1424"/>
    </row>
    <row r="6" spans="1:31" ht="15.75" thickBot="1" x14ac:dyDescent="0.3">
      <c r="A6" s="277" t="s">
        <v>103</v>
      </c>
      <c r="B6" s="537"/>
      <c r="C6" s="538"/>
      <c r="D6" s="538"/>
      <c r="E6" s="539"/>
      <c r="F6" s="1405"/>
      <c r="G6" s="540"/>
      <c r="H6" s="541"/>
      <c r="I6" s="541"/>
      <c r="J6" s="542"/>
      <c r="K6" s="1409"/>
      <c r="L6" s="543"/>
      <c r="M6" s="544"/>
      <c r="N6" s="544"/>
      <c r="O6" s="545"/>
      <c r="P6" s="1413"/>
      <c r="Q6" s="546"/>
      <c r="R6" s="547"/>
      <c r="S6" s="547"/>
      <c r="T6" s="548"/>
      <c r="U6" s="1417"/>
      <c r="V6" s="549"/>
      <c r="W6" s="550"/>
      <c r="X6" s="550"/>
      <c r="Y6" s="551"/>
      <c r="Z6" s="1421"/>
      <c r="AA6" s="552"/>
      <c r="AB6" s="553"/>
      <c r="AC6" s="553"/>
      <c r="AD6" s="554"/>
      <c r="AE6" s="1425"/>
    </row>
    <row r="7" spans="1:31" ht="15" customHeight="1" x14ac:dyDescent="0.3">
      <c r="A7" s="277" t="s">
        <v>135</v>
      </c>
      <c r="B7" s="520"/>
      <c r="C7" s="520"/>
      <c r="D7" s="520"/>
      <c r="E7" s="999"/>
      <c r="F7" s="1406"/>
      <c r="G7" s="1002"/>
      <c r="H7" s="1003"/>
      <c r="I7" s="1003"/>
      <c r="J7" s="1004"/>
      <c r="K7" s="1410"/>
      <c r="L7" s="525"/>
      <c r="M7" s="526"/>
      <c r="N7" s="526"/>
      <c r="O7" s="527"/>
      <c r="P7" s="1414"/>
      <c r="Q7" s="528"/>
      <c r="R7" s="529"/>
      <c r="S7" s="529"/>
      <c r="T7" s="530"/>
      <c r="U7" s="1418"/>
      <c r="V7" s="531"/>
      <c r="W7" s="532"/>
      <c r="X7" s="532"/>
      <c r="Y7" s="1400"/>
      <c r="Z7" s="1422"/>
      <c r="AA7" s="534"/>
      <c r="AB7" s="535"/>
      <c r="AC7" s="535"/>
      <c r="AD7" s="1402"/>
      <c r="AE7" s="1426"/>
    </row>
    <row r="8" spans="1:31" ht="15" customHeight="1" thickBot="1" x14ac:dyDescent="0.35">
      <c r="A8" s="277" t="s">
        <v>136</v>
      </c>
      <c r="B8" s="1000"/>
      <c r="C8" s="1000"/>
      <c r="D8" s="1000"/>
      <c r="E8" s="1001"/>
      <c r="F8" s="1407"/>
      <c r="G8" s="1005"/>
      <c r="H8" s="1006"/>
      <c r="I8" s="1006"/>
      <c r="J8" s="1007"/>
      <c r="K8" s="1411"/>
      <c r="L8" s="1008"/>
      <c r="M8" s="1009"/>
      <c r="N8" s="1009"/>
      <c r="O8" s="1010"/>
      <c r="P8" s="1415"/>
      <c r="Q8" s="1011"/>
      <c r="R8" s="1012"/>
      <c r="S8" s="1012"/>
      <c r="T8" s="1013"/>
      <c r="U8" s="1419"/>
      <c r="V8" s="1014"/>
      <c r="W8" s="1015"/>
      <c r="X8" s="1015"/>
      <c r="Y8" s="1401"/>
      <c r="Z8" s="1423"/>
      <c r="AA8" s="1016"/>
      <c r="AB8" s="1017"/>
      <c r="AC8" s="1017"/>
      <c r="AD8" s="1403"/>
      <c r="AE8" s="1427"/>
    </row>
    <row r="9" spans="1:31" ht="15.75" thickBot="1" x14ac:dyDescent="0.3">
      <c r="A9" s="277" t="s">
        <v>2</v>
      </c>
      <c r="B9" s="356"/>
      <c r="C9" s="357"/>
      <c r="D9" s="357"/>
      <c r="E9" s="555"/>
      <c r="F9" s="1106"/>
      <c r="G9" s="556"/>
      <c r="H9" s="557"/>
      <c r="I9" s="557"/>
      <c r="J9" s="558"/>
      <c r="K9" s="1107"/>
      <c r="L9" s="559"/>
      <c r="M9" s="560"/>
      <c r="N9" s="560"/>
      <c r="O9" s="561"/>
      <c r="P9" s="1108"/>
      <c r="Q9" s="562"/>
      <c r="R9" s="563"/>
      <c r="S9" s="563"/>
      <c r="T9" s="564"/>
      <c r="U9" s="1109"/>
      <c r="V9" s="565"/>
      <c r="W9" s="566"/>
      <c r="X9" s="566"/>
      <c r="Y9" s="567"/>
      <c r="Z9" s="1110"/>
      <c r="AA9" s="568"/>
      <c r="AB9" s="569"/>
      <c r="AC9" s="569"/>
      <c r="AD9" s="570"/>
      <c r="AE9" s="1111"/>
    </row>
    <row r="10" spans="1:31" ht="73.5" customHeight="1" thickBot="1" x14ac:dyDescent="0.3">
      <c r="A10" s="374" t="s">
        <v>0</v>
      </c>
      <c r="B10" s="375"/>
      <c r="C10" s="376"/>
      <c r="D10" s="376"/>
      <c r="E10" s="377"/>
      <c r="F10" s="378"/>
      <c r="G10" s="379"/>
      <c r="H10" s="380"/>
      <c r="I10" s="380"/>
      <c r="J10" s="381"/>
      <c r="K10" s="382"/>
      <c r="L10" s="383"/>
      <c r="M10" s="384"/>
      <c r="N10" s="384"/>
      <c r="O10" s="385"/>
      <c r="P10" s="386"/>
      <c r="Q10" s="387"/>
      <c r="R10" s="388"/>
      <c r="S10" s="388"/>
      <c r="T10" s="389"/>
      <c r="U10" s="496"/>
      <c r="V10" s="391"/>
      <c r="W10" s="392"/>
      <c r="X10" s="392"/>
      <c r="Y10" s="393"/>
      <c r="Z10" s="394"/>
      <c r="AA10" s="395"/>
      <c r="AB10" s="396"/>
      <c r="AC10" s="396"/>
      <c r="AD10" s="397"/>
      <c r="AE10" s="398"/>
    </row>
    <row r="11" spans="1:31" x14ac:dyDescent="0.25">
      <c r="A11" s="399">
        <v>0</v>
      </c>
      <c r="F11" s="401"/>
      <c r="K11" s="402"/>
      <c r="P11" s="403"/>
      <c r="U11" s="571"/>
      <c r="Z11" s="405"/>
      <c r="AA11" s="572"/>
      <c r="AB11" s="572"/>
      <c r="AC11" s="572"/>
      <c r="AD11" s="572"/>
      <c r="AE11" s="406"/>
    </row>
    <row r="12" spans="1:31" x14ac:dyDescent="0.25">
      <c r="A12" s="399">
        <v>1</v>
      </c>
      <c r="F12" s="407"/>
      <c r="K12" s="408"/>
      <c r="P12" s="409"/>
      <c r="U12" s="573"/>
      <c r="Z12" s="410"/>
      <c r="AA12" s="572"/>
      <c r="AB12" s="572"/>
      <c r="AC12" s="572"/>
      <c r="AD12" s="572"/>
      <c r="AE12" s="406"/>
    </row>
    <row r="13" spans="1:31" x14ac:dyDescent="0.25">
      <c r="A13" s="399">
        <v>2</v>
      </c>
      <c r="F13" s="407"/>
      <c r="K13" s="408"/>
      <c r="P13" s="409"/>
      <c r="U13" s="573"/>
      <c r="Z13" s="410"/>
      <c r="AA13" s="572"/>
      <c r="AB13" s="572"/>
      <c r="AC13" s="572"/>
      <c r="AD13" s="572"/>
      <c r="AE13" s="406"/>
    </row>
    <row r="14" spans="1:31" x14ac:dyDescent="0.25">
      <c r="A14" s="399">
        <v>3</v>
      </c>
      <c r="F14" s="407"/>
      <c r="K14" s="408"/>
      <c r="P14" s="409"/>
      <c r="U14" s="573"/>
      <c r="Z14" s="410"/>
      <c r="AA14" s="572"/>
      <c r="AB14" s="572"/>
      <c r="AC14" s="572"/>
      <c r="AD14" s="572"/>
      <c r="AE14" s="406"/>
    </row>
    <row r="15" spans="1:31" x14ac:dyDescent="0.25">
      <c r="A15" s="399">
        <v>4</v>
      </c>
      <c r="F15" s="407"/>
      <c r="K15" s="408"/>
      <c r="P15" s="409"/>
      <c r="U15" s="573"/>
      <c r="Z15" s="410"/>
      <c r="AA15" s="572"/>
      <c r="AB15" s="572"/>
      <c r="AC15" s="572"/>
      <c r="AD15" s="572"/>
      <c r="AE15" s="406"/>
    </row>
    <row r="16" spans="1:31" x14ac:dyDescent="0.25">
      <c r="A16" s="399">
        <v>5</v>
      </c>
      <c r="F16" s="407"/>
      <c r="K16" s="408"/>
      <c r="P16" s="409"/>
      <c r="U16" s="573"/>
      <c r="Z16" s="410"/>
      <c r="AA16" s="572"/>
      <c r="AB16" s="572"/>
      <c r="AC16" s="572"/>
      <c r="AD16" s="572"/>
      <c r="AE16" s="406"/>
    </row>
    <row r="17" spans="1:31" x14ac:dyDescent="0.25">
      <c r="A17" s="399">
        <v>6</v>
      </c>
      <c r="F17" s="407"/>
      <c r="K17" s="408"/>
      <c r="P17" s="409"/>
      <c r="U17" s="573"/>
      <c r="Z17" s="410"/>
      <c r="AA17" s="572"/>
      <c r="AB17" s="572"/>
      <c r="AC17" s="572"/>
      <c r="AD17" s="572"/>
      <c r="AE17" s="406"/>
    </row>
    <row r="18" spans="1:31" x14ac:dyDescent="0.25">
      <c r="A18" s="399">
        <v>7</v>
      </c>
      <c r="F18" s="407"/>
      <c r="K18" s="408"/>
      <c r="P18" s="409"/>
      <c r="U18" s="573"/>
      <c r="Z18" s="410"/>
      <c r="AA18" s="572"/>
      <c r="AB18" s="572"/>
      <c r="AC18" s="572"/>
      <c r="AD18" s="572"/>
      <c r="AE18" s="406"/>
    </row>
    <row r="19" spans="1:31" x14ac:dyDescent="0.25">
      <c r="A19" s="399">
        <v>8</v>
      </c>
      <c r="F19" s="407"/>
      <c r="K19" s="408"/>
      <c r="P19" s="409"/>
      <c r="U19" s="573"/>
      <c r="Z19" s="410"/>
      <c r="AA19" s="572"/>
      <c r="AB19" s="572"/>
      <c r="AC19" s="572"/>
      <c r="AD19" s="572"/>
      <c r="AE19" s="406"/>
    </row>
    <row r="20" spans="1:31" x14ac:dyDescent="0.25">
      <c r="A20" s="399">
        <v>9</v>
      </c>
      <c r="F20" s="407"/>
      <c r="K20" s="408"/>
      <c r="P20" s="409"/>
      <c r="U20" s="573"/>
      <c r="Z20" s="410"/>
      <c r="AA20" s="572"/>
      <c r="AB20" s="572"/>
      <c r="AC20" s="572"/>
      <c r="AD20" s="572"/>
      <c r="AE20" s="406"/>
    </row>
    <row r="21" spans="1:31" x14ac:dyDescent="0.25">
      <c r="A21" s="399">
        <v>10</v>
      </c>
      <c r="F21" s="407"/>
      <c r="K21" s="408"/>
      <c r="P21" s="409"/>
      <c r="U21" s="573"/>
      <c r="Z21" s="410"/>
      <c r="AA21" s="572"/>
      <c r="AB21" s="572"/>
      <c r="AC21" s="572"/>
      <c r="AD21" s="572"/>
      <c r="AE21" s="406"/>
    </row>
    <row r="22" spans="1:31" x14ac:dyDescent="0.25">
      <c r="A22" s="399">
        <v>11</v>
      </c>
      <c r="F22" s="407"/>
      <c r="K22" s="408"/>
      <c r="P22" s="409"/>
      <c r="U22" s="573"/>
      <c r="Z22" s="410"/>
      <c r="AA22" s="572"/>
      <c r="AB22" s="572"/>
      <c r="AC22" s="572"/>
      <c r="AD22" s="572"/>
      <c r="AE22" s="406"/>
    </row>
    <row r="23" spans="1:31" x14ac:dyDescent="0.25">
      <c r="A23" s="399">
        <v>12</v>
      </c>
      <c r="F23" s="407"/>
      <c r="K23" s="408"/>
      <c r="P23" s="409"/>
      <c r="U23" s="573"/>
      <c r="Z23" s="410"/>
      <c r="AA23" s="572"/>
      <c r="AB23" s="572"/>
      <c r="AC23" s="572"/>
      <c r="AD23" s="572"/>
      <c r="AE23" s="406"/>
    </row>
    <row r="24" spans="1:31" x14ac:dyDescent="0.25">
      <c r="A24" s="399">
        <v>13</v>
      </c>
      <c r="F24" s="407"/>
      <c r="K24" s="408"/>
      <c r="P24" s="409"/>
      <c r="U24" s="573"/>
      <c r="Z24" s="410"/>
      <c r="AA24" s="572"/>
      <c r="AB24" s="572"/>
      <c r="AC24" s="572"/>
      <c r="AD24" s="572"/>
      <c r="AE24" s="406"/>
    </row>
    <row r="25" spans="1:31" x14ac:dyDescent="0.25">
      <c r="A25" s="399">
        <v>14</v>
      </c>
      <c r="F25" s="407"/>
      <c r="K25" s="408"/>
      <c r="P25" s="409"/>
      <c r="U25" s="573"/>
      <c r="Z25" s="410"/>
      <c r="AA25" s="572"/>
      <c r="AB25" s="572"/>
      <c r="AC25" s="572"/>
      <c r="AD25" s="572"/>
      <c r="AE25" s="406"/>
    </row>
    <row r="26" spans="1:31" x14ac:dyDescent="0.25">
      <c r="A26" s="399">
        <v>15</v>
      </c>
      <c r="F26" s="407"/>
      <c r="K26" s="408"/>
      <c r="P26" s="409"/>
      <c r="U26" s="573"/>
      <c r="Z26" s="410"/>
      <c r="AA26" s="572"/>
      <c r="AB26" s="572"/>
      <c r="AC26" s="572"/>
      <c r="AD26" s="572"/>
      <c r="AE26" s="406"/>
    </row>
    <row r="27" spans="1:31" x14ac:dyDescent="0.25">
      <c r="A27" s="399">
        <v>16</v>
      </c>
      <c r="F27" s="407"/>
      <c r="K27" s="408"/>
      <c r="P27" s="409"/>
      <c r="U27" s="573"/>
      <c r="Z27" s="410"/>
      <c r="AA27" s="572"/>
      <c r="AB27" s="572"/>
      <c r="AC27" s="572"/>
      <c r="AD27" s="572"/>
      <c r="AE27" s="406"/>
    </row>
    <row r="28" spans="1:31" x14ac:dyDescent="0.25">
      <c r="A28" s="399">
        <v>17</v>
      </c>
      <c r="F28" s="407"/>
      <c r="K28" s="408"/>
      <c r="P28" s="409"/>
      <c r="U28" s="573"/>
      <c r="Z28" s="410"/>
      <c r="AA28" s="572"/>
      <c r="AB28" s="572"/>
      <c r="AC28" s="572"/>
      <c r="AD28" s="572"/>
      <c r="AE28" s="406"/>
    </row>
    <row r="29" spans="1:31" x14ac:dyDescent="0.25">
      <c r="A29" s="399">
        <v>18</v>
      </c>
      <c r="F29" s="407"/>
      <c r="K29" s="408"/>
      <c r="P29" s="409"/>
      <c r="U29" s="573"/>
      <c r="Z29" s="410"/>
      <c r="AA29" s="572"/>
      <c r="AB29" s="572"/>
      <c r="AC29" s="572"/>
      <c r="AD29" s="572"/>
      <c r="AE29" s="406"/>
    </row>
    <row r="30" spans="1:31" x14ac:dyDescent="0.25">
      <c r="A30" s="399">
        <v>19</v>
      </c>
      <c r="F30" s="407"/>
      <c r="K30" s="408"/>
      <c r="P30" s="409"/>
      <c r="U30" s="573"/>
      <c r="Z30" s="410"/>
      <c r="AA30" s="572"/>
      <c r="AB30" s="572"/>
      <c r="AC30" s="572"/>
      <c r="AD30" s="572"/>
      <c r="AE30" s="406"/>
    </row>
    <row r="31" spans="1:31" x14ac:dyDescent="0.25">
      <c r="A31" s="399">
        <v>20</v>
      </c>
      <c r="F31" s="407"/>
      <c r="K31" s="408"/>
      <c r="P31" s="409"/>
      <c r="U31" s="573"/>
      <c r="Z31" s="410"/>
      <c r="AA31" s="572"/>
      <c r="AB31" s="572"/>
      <c r="AC31" s="572"/>
      <c r="AD31" s="572"/>
      <c r="AE31" s="406"/>
    </row>
    <row r="32" spans="1:31" x14ac:dyDescent="0.25">
      <c r="A32" s="399">
        <v>21</v>
      </c>
      <c r="F32" s="407"/>
      <c r="K32" s="408"/>
      <c r="P32" s="409"/>
      <c r="U32" s="573"/>
      <c r="Z32" s="410"/>
      <c r="AA32" s="572"/>
      <c r="AB32" s="572"/>
      <c r="AC32" s="572"/>
      <c r="AD32" s="572"/>
      <c r="AE32" s="406"/>
    </row>
    <row r="33" spans="1:31" x14ac:dyDescent="0.25">
      <c r="A33" s="399">
        <v>22</v>
      </c>
      <c r="F33" s="407"/>
      <c r="K33" s="408"/>
      <c r="P33" s="409"/>
      <c r="U33" s="573"/>
      <c r="Z33" s="410"/>
      <c r="AA33" s="572"/>
      <c r="AB33" s="572"/>
      <c r="AC33" s="572"/>
      <c r="AD33" s="572"/>
      <c r="AE33" s="406"/>
    </row>
    <row r="34" spans="1:31" x14ac:dyDescent="0.25">
      <c r="A34" s="399">
        <v>23</v>
      </c>
      <c r="F34" s="407"/>
      <c r="K34" s="408"/>
      <c r="P34" s="409"/>
      <c r="U34" s="573"/>
      <c r="Z34" s="410"/>
      <c r="AA34" s="572"/>
      <c r="AB34" s="572"/>
      <c r="AC34" s="572"/>
      <c r="AD34" s="572"/>
      <c r="AE34" s="406"/>
    </row>
    <row r="35" spans="1:31" x14ac:dyDescent="0.25">
      <c r="A35" s="399">
        <v>24</v>
      </c>
      <c r="F35" s="407"/>
      <c r="K35" s="408"/>
      <c r="P35" s="409"/>
      <c r="U35" s="573"/>
      <c r="Z35" s="410"/>
      <c r="AA35" s="572"/>
      <c r="AB35" s="572"/>
      <c r="AC35" s="572"/>
      <c r="AD35" s="572"/>
      <c r="AE35" s="406"/>
    </row>
    <row r="36" spans="1:31" x14ac:dyDescent="0.25">
      <c r="A36" s="399">
        <v>25</v>
      </c>
      <c r="F36" s="407"/>
      <c r="K36" s="408"/>
      <c r="P36" s="409"/>
      <c r="U36" s="573"/>
      <c r="Z36" s="410"/>
      <c r="AA36" s="572"/>
      <c r="AB36" s="572"/>
      <c r="AC36" s="572"/>
      <c r="AD36" s="572"/>
      <c r="AE36" s="406"/>
    </row>
    <row r="37" spans="1:31" x14ac:dyDescent="0.25">
      <c r="A37" s="399">
        <v>26</v>
      </c>
      <c r="F37" s="407"/>
      <c r="K37" s="408"/>
      <c r="P37" s="409"/>
      <c r="U37" s="573"/>
      <c r="Z37" s="410"/>
      <c r="AA37" s="572"/>
      <c r="AB37" s="572"/>
      <c r="AC37" s="572"/>
      <c r="AD37" s="572"/>
      <c r="AE37" s="406"/>
    </row>
    <row r="38" spans="1:31" x14ac:dyDescent="0.25">
      <c r="A38" s="399">
        <v>27</v>
      </c>
      <c r="F38" s="407"/>
      <c r="K38" s="408"/>
      <c r="P38" s="409"/>
      <c r="U38" s="573"/>
      <c r="Z38" s="410"/>
      <c r="AA38" s="572"/>
      <c r="AB38" s="572"/>
      <c r="AC38" s="572"/>
      <c r="AD38" s="572"/>
      <c r="AE38" s="406"/>
    </row>
    <row r="39" spans="1:31" x14ac:dyDescent="0.25">
      <c r="A39" s="399">
        <v>28</v>
      </c>
      <c r="F39" s="407"/>
      <c r="K39" s="408"/>
      <c r="P39" s="409"/>
      <c r="U39" s="573"/>
      <c r="Z39" s="410"/>
      <c r="AA39" s="572"/>
      <c r="AB39" s="572"/>
      <c r="AC39" s="572"/>
      <c r="AD39" s="572"/>
      <c r="AE39" s="406"/>
    </row>
    <row r="40" spans="1:31" x14ac:dyDescent="0.25">
      <c r="A40" s="399">
        <v>29</v>
      </c>
      <c r="F40" s="407"/>
      <c r="K40" s="408"/>
      <c r="P40" s="409"/>
      <c r="U40" s="573"/>
      <c r="Z40" s="410"/>
      <c r="AA40" s="572"/>
      <c r="AB40" s="572"/>
      <c r="AC40" s="572"/>
      <c r="AD40" s="572"/>
      <c r="AE40" s="406"/>
    </row>
    <row r="41" spans="1:31" x14ac:dyDescent="0.25">
      <c r="A41" s="399">
        <v>30</v>
      </c>
      <c r="F41" s="407"/>
      <c r="K41" s="408"/>
      <c r="P41" s="409"/>
      <c r="U41" s="573"/>
      <c r="Z41" s="410"/>
      <c r="AA41" s="572"/>
      <c r="AB41" s="572"/>
      <c r="AC41" s="572"/>
      <c r="AD41" s="572"/>
      <c r="AE41" s="406"/>
    </row>
    <row r="42" spans="1:31" x14ac:dyDescent="0.25">
      <c r="A42" s="399">
        <v>31</v>
      </c>
      <c r="F42" s="407"/>
      <c r="K42" s="408"/>
      <c r="P42" s="409"/>
      <c r="U42" s="573"/>
      <c r="Z42" s="410"/>
      <c r="AA42" s="572"/>
      <c r="AB42" s="572"/>
      <c r="AC42" s="572"/>
      <c r="AD42" s="572"/>
      <c r="AE42" s="406"/>
    </row>
    <row r="43" spans="1:31" x14ac:dyDescent="0.25">
      <c r="A43" s="399">
        <v>32</v>
      </c>
      <c r="F43" s="407"/>
      <c r="K43" s="408"/>
      <c r="P43" s="409"/>
      <c r="U43" s="573"/>
      <c r="Z43" s="410"/>
      <c r="AA43" s="572"/>
      <c r="AB43" s="572"/>
      <c r="AC43" s="572"/>
      <c r="AD43" s="572"/>
      <c r="AE43" s="406"/>
    </row>
    <row r="44" spans="1:31" x14ac:dyDescent="0.25">
      <c r="A44" s="399">
        <v>33</v>
      </c>
      <c r="F44" s="407"/>
      <c r="K44" s="408"/>
      <c r="P44" s="409"/>
      <c r="U44" s="573"/>
      <c r="Z44" s="410"/>
      <c r="AA44" s="572"/>
      <c r="AB44" s="572"/>
      <c r="AC44" s="572"/>
      <c r="AD44" s="572"/>
      <c r="AE44" s="406"/>
    </row>
    <row r="45" spans="1:31" x14ac:dyDescent="0.25">
      <c r="A45" s="399">
        <v>34</v>
      </c>
      <c r="F45" s="407"/>
      <c r="K45" s="408"/>
      <c r="P45" s="409"/>
      <c r="U45" s="573"/>
      <c r="Z45" s="410"/>
      <c r="AA45" s="572"/>
      <c r="AB45" s="572"/>
      <c r="AC45" s="572"/>
      <c r="AD45" s="572"/>
      <c r="AE45" s="406"/>
    </row>
    <row r="46" spans="1:31" x14ac:dyDescent="0.25">
      <c r="A46" s="399">
        <v>35</v>
      </c>
      <c r="F46" s="407"/>
      <c r="K46" s="408"/>
      <c r="P46" s="409"/>
      <c r="U46" s="573"/>
      <c r="Z46" s="410"/>
      <c r="AA46" s="572"/>
      <c r="AB46" s="572"/>
      <c r="AC46" s="572"/>
      <c r="AD46" s="572"/>
      <c r="AE46" s="406"/>
    </row>
    <row r="47" spans="1:31" x14ac:dyDescent="0.25">
      <c r="A47" s="399">
        <v>36</v>
      </c>
      <c r="F47" s="407"/>
      <c r="K47" s="408"/>
      <c r="P47" s="409"/>
      <c r="U47" s="573"/>
      <c r="Z47" s="410"/>
      <c r="AA47" s="572"/>
      <c r="AB47" s="572"/>
      <c r="AC47" s="572"/>
      <c r="AD47" s="572"/>
      <c r="AE47" s="406"/>
    </row>
    <row r="48" spans="1:31" x14ac:dyDescent="0.25">
      <c r="A48" s="399">
        <v>37</v>
      </c>
      <c r="F48" s="407"/>
      <c r="K48" s="408"/>
      <c r="P48" s="409"/>
      <c r="U48" s="573"/>
      <c r="Z48" s="410"/>
      <c r="AA48" s="572"/>
      <c r="AB48" s="572"/>
      <c r="AC48" s="572"/>
      <c r="AD48" s="572"/>
      <c r="AE48" s="406"/>
    </row>
    <row r="49" spans="1:31" x14ac:dyDescent="0.25">
      <c r="A49" s="399">
        <v>38</v>
      </c>
      <c r="F49" s="407"/>
      <c r="K49" s="408"/>
      <c r="P49" s="409"/>
      <c r="U49" s="573"/>
      <c r="Z49" s="410"/>
      <c r="AA49" s="572"/>
      <c r="AB49" s="572"/>
      <c r="AC49" s="572"/>
      <c r="AD49" s="572"/>
      <c r="AE49" s="406"/>
    </row>
    <row r="50" spans="1:31" x14ac:dyDescent="0.25">
      <c r="A50" s="399">
        <v>39</v>
      </c>
      <c r="F50" s="407"/>
      <c r="K50" s="408"/>
      <c r="P50" s="409"/>
      <c r="U50" s="573"/>
      <c r="Z50" s="410"/>
      <c r="AA50" s="572"/>
      <c r="AB50" s="572"/>
      <c r="AC50" s="572"/>
      <c r="AD50" s="572"/>
      <c r="AE50" s="406"/>
    </row>
    <row r="51" spans="1:31" x14ac:dyDescent="0.25">
      <c r="A51" s="399">
        <v>40</v>
      </c>
      <c r="F51" s="407"/>
      <c r="K51" s="408"/>
      <c r="P51" s="409"/>
      <c r="U51" s="573"/>
      <c r="Z51" s="410"/>
      <c r="AA51" s="572"/>
      <c r="AB51" s="572"/>
      <c r="AC51" s="572"/>
      <c r="AD51" s="572"/>
      <c r="AE51" s="406"/>
    </row>
    <row r="52" spans="1:31" x14ac:dyDescent="0.25">
      <c r="A52" s="399">
        <v>41</v>
      </c>
      <c r="F52" s="407"/>
      <c r="K52" s="408"/>
      <c r="P52" s="409"/>
      <c r="U52" s="573"/>
      <c r="Z52" s="410"/>
      <c r="AA52" s="572"/>
      <c r="AB52" s="572"/>
      <c r="AC52" s="572"/>
      <c r="AD52" s="572"/>
      <c r="AE52" s="406"/>
    </row>
    <row r="53" spans="1:31" x14ac:dyDescent="0.25">
      <c r="A53" s="399">
        <v>42</v>
      </c>
      <c r="F53" s="407"/>
      <c r="K53" s="408"/>
      <c r="P53" s="409"/>
      <c r="U53" s="573"/>
      <c r="Z53" s="410"/>
      <c r="AA53" s="572"/>
      <c r="AB53" s="572"/>
      <c r="AC53" s="572"/>
      <c r="AD53" s="572"/>
      <c r="AE53" s="406"/>
    </row>
    <row r="54" spans="1:31" x14ac:dyDescent="0.25">
      <c r="A54" s="399">
        <v>43</v>
      </c>
      <c r="F54" s="407"/>
      <c r="K54" s="408"/>
      <c r="P54" s="409"/>
      <c r="U54" s="573"/>
      <c r="Z54" s="410"/>
      <c r="AA54" s="572"/>
      <c r="AB54" s="572"/>
      <c r="AC54" s="572"/>
      <c r="AD54" s="572"/>
      <c r="AE54" s="406"/>
    </row>
    <row r="55" spans="1:31" x14ac:dyDescent="0.25">
      <c r="A55" s="399">
        <v>44</v>
      </c>
      <c r="F55" s="407"/>
      <c r="K55" s="408"/>
      <c r="P55" s="409"/>
      <c r="U55" s="573"/>
      <c r="Z55" s="410"/>
      <c r="AA55" s="572"/>
      <c r="AB55" s="572"/>
      <c r="AC55" s="572"/>
      <c r="AD55" s="572"/>
      <c r="AE55" s="406"/>
    </row>
    <row r="56" spans="1:31" x14ac:dyDescent="0.25">
      <c r="A56" s="399">
        <v>45</v>
      </c>
      <c r="F56" s="407"/>
      <c r="K56" s="408"/>
      <c r="P56" s="409"/>
      <c r="U56" s="573"/>
      <c r="Z56" s="410"/>
      <c r="AA56" s="572"/>
      <c r="AB56" s="572"/>
      <c r="AC56" s="572"/>
      <c r="AD56" s="572"/>
      <c r="AE56" s="406"/>
    </row>
    <row r="57" spans="1:31" x14ac:dyDescent="0.25">
      <c r="A57" s="399">
        <v>46</v>
      </c>
      <c r="F57" s="407"/>
      <c r="K57" s="408"/>
      <c r="P57" s="409"/>
      <c r="U57" s="573"/>
      <c r="Z57" s="410"/>
      <c r="AA57" s="572"/>
      <c r="AB57" s="572"/>
      <c r="AC57" s="572"/>
      <c r="AD57" s="572"/>
      <c r="AE57" s="406"/>
    </row>
    <row r="58" spans="1:31" x14ac:dyDescent="0.25">
      <c r="A58" s="399">
        <v>47</v>
      </c>
      <c r="F58" s="407"/>
      <c r="K58" s="408"/>
      <c r="P58" s="409"/>
      <c r="U58" s="573"/>
      <c r="Z58" s="410"/>
      <c r="AA58" s="572"/>
      <c r="AB58" s="572"/>
      <c r="AC58" s="572"/>
      <c r="AD58" s="572"/>
      <c r="AE58" s="406"/>
    </row>
    <row r="59" spans="1:31" x14ac:dyDescent="0.25">
      <c r="A59" s="399">
        <v>48</v>
      </c>
      <c r="F59" s="407"/>
      <c r="K59" s="408"/>
      <c r="P59" s="409"/>
      <c r="U59" s="573"/>
      <c r="Z59" s="410"/>
      <c r="AA59" s="572"/>
      <c r="AB59" s="572"/>
      <c r="AC59" s="572"/>
      <c r="AD59" s="572"/>
      <c r="AE59" s="406"/>
    </row>
    <row r="60" spans="1:31" x14ac:dyDescent="0.25">
      <c r="A60" s="399">
        <v>49</v>
      </c>
      <c r="F60" s="407"/>
      <c r="K60" s="408"/>
      <c r="P60" s="409"/>
      <c r="U60" s="573"/>
      <c r="Z60" s="410"/>
      <c r="AA60" s="572"/>
      <c r="AB60" s="572"/>
      <c r="AC60" s="572"/>
      <c r="AD60" s="572"/>
      <c r="AE60" s="406"/>
    </row>
    <row r="61" spans="1:31" x14ac:dyDescent="0.25">
      <c r="A61" s="399">
        <v>50</v>
      </c>
      <c r="F61" s="407"/>
      <c r="K61" s="408"/>
      <c r="P61" s="409"/>
      <c r="U61" s="573"/>
      <c r="Z61" s="410"/>
      <c r="AA61" s="572"/>
      <c r="AB61" s="572"/>
      <c r="AC61" s="572"/>
      <c r="AD61" s="572"/>
      <c r="AE61" s="406"/>
    </row>
    <row r="62" spans="1:31" x14ac:dyDescent="0.25">
      <c r="A62" s="399">
        <v>51</v>
      </c>
      <c r="F62" s="407"/>
      <c r="K62" s="408"/>
      <c r="P62" s="409"/>
      <c r="U62" s="573"/>
      <c r="Z62" s="410"/>
      <c r="AA62" s="572"/>
      <c r="AB62" s="572"/>
      <c r="AC62" s="572"/>
      <c r="AD62" s="572"/>
      <c r="AE62" s="406"/>
    </row>
    <row r="63" spans="1:31" x14ac:dyDescent="0.25">
      <c r="A63" s="399">
        <v>52</v>
      </c>
      <c r="F63" s="407"/>
      <c r="K63" s="408"/>
      <c r="P63" s="409"/>
      <c r="U63" s="573"/>
      <c r="Z63" s="410"/>
      <c r="AA63" s="572"/>
      <c r="AB63" s="572"/>
      <c r="AC63" s="572"/>
      <c r="AD63" s="572"/>
      <c r="AE63" s="406"/>
    </row>
    <row r="64" spans="1:31" x14ac:dyDescent="0.25">
      <c r="A64" s="399">
        <v>53</v>
      </c>
      <c r="F64" s="407"/>
      <c r="K64" s="408"/>
      <c r="P64" s="409"/>
      <c r="U64" s="573"/>
      <c r="Z64" s="410"/>
      <c r="AA64" s="572"/>
      <c r="AB64" s="572"/>
      <c r="AC64" s="572"/>
      <c r="AD64" s="572"/>
      <c r="AE64" s="406"/>
    </row>
    <row r="65" spans="1:31" x14ac:dyDescent="0.25">
      <c r="A65" s="399">
        <v>54</v>
      </c>
      <c r="F65" s="407"/>
      <c r="K65" s="408"/>
      <c r="P65" s="409"/>
      <c r="U65" s="573"/>
      <c r="Z65" s="410"/>
      <c r="AA65" s="572"/>
      <c r="AB65" s="572"/>
      <c r="AC65" s="572"/>
      <c r="AD65" s="572"/>
      <c r="AE65" s="406"/>
    </row>
    <row r="66" spans="1:31" x14ac:dyDescent="0.25">
      <c r="A66" s="399">
        <v>55</v>
      </c>
      <c r="F66" s="407"/>
      <c r="K66" s="408"/>
      <c r="P66" s="409"/>
      <c r="U66" s="573"/>
      <c r="Z66" s="410"/>
      <c r="AA66" s="572"/>
      <c r="AB66" s="572"/>
      <c r="AC66" s="572"/>
      <c r="AD66" s="572"/>
      <c r="AE66" s="406"/>
    </row>
    <row r="67" spans="1:31" x14ac:dyDescent="0.25">
      <c r="A67" s="399">
        <v>56</v>
      </c>
      <c r="F67" s="407"/>
      <c r="K67" s="408"/>
      <c r="P67" s="409"/>
      <c r="U67" s="573"/>
      <c r="Z67" s="410"/>
      <c r="AA67" s="572"/>
      <c r="AB67" s="572"/>
      <c r="AC67" s="572"/>
      <c r="AD67" s="572"/>
      <c r="AE67" s="406"/>
    </row>
    <row r="68" spans="1:31" x14ac:dyDescent="0.25">
      <c r="A68" s="399">
        <v>57</v>
      </c>
      <c r="F68" s="407"/>
      <c r="K68" s="408"/>
      <c r="P68" s="409"/>
      <c r="U68" s="573"/>
      <c r="Z68" s="410"/>
      <c r="AA68" s="572"/>
      <c r="AB68" s="572"/>
      <c r="AC68" s="572"/>
      <c r="AD68" s="572"/>
      <c r="AE68" s="406"/>
    </row>
    <row r="69" spans="1:31" x14ac:dyDescent="0.25">
      <c r="A69" s="399">
        <v>58</v>
      </c>
      <c r="F69" s="407"/>
      <c r="K69" s="408"/>
      <c r="P69" s="409"/>
      <c r="U69" s="573"/>
      <c r="Z69" s="410"/>
      <c r="AA69" s="572"/>
      <c r="AB69" s="572"/>
      <c r="AC69" s="572"/>
      <c r="AD69" s="572"/>
      <c r="AE69" s="406"/>
    </row>
    <row r="70" spans="1:31" x14ac:dyDescent="0.25">
      <c r="A70" s="399">
        <v>59</v>
      </c>
      <c r="F70" s="407"/>
      <c r="K70" s="408"/>
      <c r="P70" s="409"/>
      <c r="U70" s="573"/>
      <c r="Z70" s="410"/>
      <c r="AA70" s="572"/>
      <c r="AB70" s="572"/>
      <c r="AC70" s="572"/>
      <c r="AD70" s="572"/>
      <c r="AE70" s="406"/>
    </row>
    <row r="71" spans="1:31" x14ac:dyDescent="0.25">
      <c r="A71" s="399">
        <v>60</v>
      </c>
      <c r="F71" s="407"/>
      <c r="K71" s="408"/>
      <c r="P71" s="409"/>
      <c r="U71" s="573"/>
      <c r="Z71" s="410"/>
      <c r="AA71" s="572"/>
      <c r="AB71" s="572"/>
      <c r="AC71" s="572"/>
      <c r="AD71" s="572"/>
      <c r="AE71" s="406"/>
    </row>
    <row r="72" spans="1:31" x14ac:dyDescent="0.25">
      <c r="A72" s="399">
        <v>61</v>
      </c>
      <c r="F72" s="407"/>
      <c r="K72" s="408"/>
      <c r="P72" s="409"/>
      <c r="U72" s="573"/>
      <c r="Z72" s="410"/>
      <c r="AA72" s="572"/>
      <c r="AB72" s="572"/>
      <c r="AC72" s="572"/>
      <c r="AD72" s="572"/>
      <c r="AE72" s="406"/>
    </row>
    <row r="73" spans="1:31" x14ac:dyDescent="0.25">
      <c r="A73" s="399">
        <v>62</v>
      </c>
      <c r="F73" s="407"/>
      <c r="K73" s="408"/>
      <c r="P73" s="409"/>
      <c r="U73" s="573"/>
      <c r="Z73" s="410"/>
      <c r="AA73" s="572"/>
      <c r="AB73" s="572"/>
      <c r="AC73" s="572"/>
      <c r="AD73" s="572"/>
      <c r="AE73" s="406"/>
    </row>
    <row r="74" spans="1:31" x14ac:dyDescent="0.25">
      <c r="A74" s="399">
        <v>63</v>
      </c>
      <c r="F74" s="407"/>
      <c r="K74" s="408"/>
      <c r="P74" s="409"/>
      <c r="U74" s="573"/>
      <c r="Z74" s="410"/>
      <c r="AA74" s="572"/>
      <c r="AB74" s="572"/>
      <c r="AC74" s="572"/>
      <c r="AD74" s="572"/>
      <c r="AE74" s="406"/>
    </row>
    <row r="75" spans="1:31" x14ac:dyDescent="0.25">
      <c r="A75" s="399">
        <v>64</v>
      </c>
      <c r="F75" s="407"/>
      <c r="K75" s="408"/>
      <c r="P75" s="409"/>
      <c r="U75" s="573"/>
      <c r="Z75" s="410"/>
      <c r="AA75" s="572"/>
      <c r="AB75" s="572"/>
      <c r="AC75" s="572"/>
      <c r="AD75" s="572"/>
      <c r="AE75" s="406"/>
    </row>
    <row r="76" spans="1:31" x14ac:dyDescent="0.25">
      <c r="A76" s="399">
        <v>65</v>
      </c>
      <c r="F76" s="407"/>
      <c r="K76" s="408"/>
      <c r="P76" s="409"/>
      <c r="U76" s="573"/>
      <c r="Z76" s="410"/>
      <c r="AA76" s="572"/>
      <c r="AB76" s="572"/>
      <c r="AC76" s="572"/>
      <c r="AD76" s="572"/>
      <c r="AE76" s="406"/>
    </row>
    <row r="77" spans="1:31" x14ac:dyDescent="0.25">
      <c r="A77" s="399">
        <v>66</v>
      </c>
      <c r="F77" s="407"/>
      <c r="K77" s="408"/>
      <c r="P77" s="409"/>
      <c r="U77" s="573"/>
      <c r="Z77" s="410"/>
      <c r="AA77" s="572"/>
      <c r="AB77" s="572"/>
      <c r="AC77" s="572"/>
      <c r="AD77" s="572"/>
      <c r="AE77" s="406"/>
    </row>
    <row r="78" spans="1:31" x14ac:dyDescent="0.25">
      <c r="A78" s="399">
        <v>67</v>
      </c>
      <c r="F78" s="407"/>
      <c r="K78" s="408"/>
      <c r="P78" s="409"/>
      <c r="U78" s="573"/>
      <c r="Z78" s="410"/>
      <c r="AA78" s="572"/>
      <c r="AB78" s="572"/>
      <c r="AC78" s="572"/>
      <c r="AD78" s="572"/>
      <c r="AE78" s="406"/>
    </row>
    <row r="79" spans="1:31" x14ac:dyDescent="0.25">
      <c r="A79" s="399">
        <v>68</v>
      </c>
      <c r="F79" s="407"/>
      <c r="K79" s="408"/>
      <c r="P79" s="409"/>
      <c r="U79" s="573"/>
      <c r="Z79" s="410"/>
      <c r="AA79" s="572"/>
      <c r="AB79" s="572"/>
      <c r="AC79" s="572"/>
      <c r="AD79" s="572"/>
      <c r="AE79" s="406"/>
    </row>
    <row r="80" spans="1:31" x14ac:dyDescent="0.25">
      <c r="A80" s="399">
        <v>69</v>
      </c>
      <c r="F80" s="407"/>
      <c r="K80" s="408"/>
      <c r="P80" s="409"/>
      <c r="U80" s="573"/>
      <c r="Z80" s="410"/>
      <c r="AA80" s="572"/>
      <c r="AB80" s="572"/>
      <c r="AC80" s="572"/>
      <c r="AD80" s="572"/>
      <c r="AE80" s="406"/>
    </row>
    <row r="81" spans="1:31" x14ac:dyDescent="0.25">
      <c r="A81" s="399">
        <v>70</v>
      </c>
      <c r="F81" s="407"/>
      <c r="K81" s="408"/>
      <c r="P81" s="409"/>
      <c r="U81" s="573"/>
      <c r="Z81" s="410"/>
      <c r="AA81" s="572"/>
      <c r="AB81" s="572"/>
      <c r="AC81" s="572"/>
      <c r="AD81" s="572"/>
      <c r="AE81" s="406"/>
    </row>
    <row r="82" spans="1:31" x14ac:dyDescent="0.25">
      <c r="A82" s="399">
        <v>71</v>
      </c>
      <c r="F82" s="407"/>
      <c r="K82" s="408"/>
      <c r="P82" s="409"/>
      <c r="U82" s="573"/>
      <c r="Z82" s="410"/>
      <c r="AA82" s="572"/>
      <c r="AB82" s="572"/>
      <c r="AC82" s="572"/>
      <c r="AD82" s="572"/>
      <c r="AE82" s="406"/>
    </row>
    <row r="83" spans="1:31" x14ac:dyDescent="0.25">
      <c r="A83" s="399">
        <v>72</v>
      </c>
      <c r="F83" s="407"/>
      <c r="K83" s="408"/>
      <c r="P83" s="409"/>
      <c r="U83" s="573"/>
      <c r="Z83" s="410"/>
      <c r="AA83" s="572"/>
      <c r="AB83" s="572"/>
      <c r="AC83" s="572"/>
      <c r="AD83" s="572"/>
      <c r="AE83" s="406"/>
    </row>
    <row r="84" spans="1:31" x14ac:dyDescent="0.25">
      <c r="A84" s="399">
        <v>73</v>
      </c>
      <c r="F84" s="407"/>
      <c r="K84" s="408"/>
      <c r="P84" s="409"/>
      <c r="U84" s="573"/>
      <c r="Z84" s="410"/>
      <c r="AA84" s="572"/>
      <c r="AB84" s="572"/>
      <c r="AC84" s="572"/>
      <c r="AD84" s="572"/>
      <c r="AE84" s="406"/>
    </row>
    <row r="85" spans="1:31" x14ac:dyDescent="0.25">
      <c r="A85" s="399">
        <v>74</v>
      </c>
      <c r="F85" s="407"/>
      <c r="K85" s="408"/>
      <c r="P85" s="409"/>
      <c r="U85" s="573"/>
      <c r="Z85" s="410"/>
      <c r="AA85" s="572"/>
      <c r="AB85" s="572"/>
      <c r="AC85" s="572"/>
      <c r="AD85" s="572"/>
      <c r="AE85" s="406"/>
    </row>
    <row r="86" spans="1:31" x14ac:dyDescent="0.25">
      <c r="A86" s="399">
        <v>75</v>
      </c>
      <c r="F86" s="407"/>
      <c r="K86" s="408"/>
      <c r="P86" s="409"/>
      <c r="U86" s="573"/>
      <c r="Z86" s="410"/>
      <c r="AA86" s="572"/>
      <c r="AB86" s="572"/>
      <c r="AC86" s="572"/>
      <c r="AD86" s="572"/>
      <c r="AE86" s="406"/>
    </row>
    <row r="87" spans="1:31" x14ac:dyDescent="0.25">
      <c r="A87" s="399">
        <v>76</v>
      </c>
      <c r="F87" s="407"/>
      <c r="K87" s="408"/>
      <c r="P87" s="409"/>
      <c r="U87" s="573"/>
      <c r="Z87" s="410"/>
      <c r="AA87" s="572"/>
      <c r="AB87" s="572"/>
      <c r="AC87" s="572"/>
      <c r="AD87" s="572"/>
      <c r="AE87" s="406"/>
    </row>
    <row r="88" spans="1:31" x14ac:dyDescent="0.25">
      <c r="A88" s="399">
        <v>77</v>
      </c>
      <c r="F88" s="407"/>
      <c r="K88" s="408"/>
      <c r="P88" s="409"/>
      <c r="U88" s="573"/>
      <c r="Z88" s="410"/>
      <c r="AA88" s="572"/>
      <c r="AB88" s="572"/>
      <c r="AC88" s="572"/>
      <c r="AD88" s="572"/>
      <c r="AE88" s="406"/>
    </row>
    <row r="89" spans="1:31" x14ac:dyDescent="0.25">
      <c r="A89" s="399">
        <v>78</v>
      </c>
      <c r="F89" s="407"/>
      <c r="K89" s="408"/>
      <c r="P89" s="409"/>
      <c r="U89" s="573"/>
      <c r="Z89" s="410"/>
      <c r="AA89" s="572"/>
      <c r="AB89" s="572"/>
      <c r="AC89" s="572"/>
      <c r="AD89" s="572"/>
      <c r="AE89" s="406"/>
    </row>
    <row r="90" spans="1:31" x14ac:dyDescent="0.25">
      <c r="A90" s="399">
        <v>79</v>
      </c>
      <c r="F90" s="407"/>
      <c r="K90" s="408"/>
      <c r="P90" s="409"/>
      <c r="U90" s="573"/>
      <c r="Z90" s="410"/>
      <c r="AA90" s="572"/>
      <c r="AB90" s="572"/>
      <c r="AC90" s="572"/>
      <c r="AD90" s="572"/>
      <c r="AE90" s="406"/>
    </row>
    <row r="91" spans="1:31" x14ac:dyDescent="0.25">
      <c r="A91" s="399">
        <v>80</v>
      </c>
      <c r="F91" s="407"/>
      <c r="K91" s="408"/>
      <c r="P91" s="409"/>
      <c r="U91" s="573"/>
      <c r="Z91" s="410"/>
      <c r="AA91" s="572"/>
      <c r="AB91" s="572"/>
      <c r="AC91" s="572"/>
      <c r="AD91" s="572"/>
      <c r="AE91" s="406"/>
    </row>
    <row r="92" spans="1:31" x14ac:dyDescent="0.25">
      <c r="A92" s="399">
        <v>81</v>
      </c>
      <c r="F92" s="407"/>
      <c r="K92" s="408"/>
      <c r="P92" s="409"/>
      <c r="U92" s="573"/>
      <c r="Z92" s="410"/>
      <c r="AA92" s="572"/>
      <c r="AB92" s="572"/>
      <c r="AC92" s="572"/>
      <c r="AD92" s="572"/>
      <c r="AE92" s="406"/>
    </row>
    <row r="93" spans="1:31" x14ac:dyDescent="0.25">
      <c r="A93" s="399">
        <v>82</v>
      </c>
      <c r="F93" s="407"/>
      <c r="K93" s="408"/>
      <c r="P93" s="409"/>
      <c r="U93" s="573"/>
      <c r="Z93" s="410"/>
      <c r="AA93" s="572"/>
      <c r="AB93" s="572"/>
      <c r="AC93" s="572"/>
      <c r="AD93" s="572"/>
      <c r="AE93" s="406"/>
    </row>
    <row r="94" spans="1:31" x14ac:dyDescent="0.25">
      <c r="A94" s="399">
        <v>83</v>
      </c>
      <c r="F94" s="407"/>
      <c r="K94" s="408"/>
      <c r="P94" s="409"/>
      <c r="U94" s="573"/>
      <c r="Z94" s="410"/>
      <c r="AA94" s="572"/>
      <c r="AB94" s="572"/>
      <c r="AC94" s="572"/>
      <c r="AD94" s="572"/>
      <c r="AE94" s="406"/>
    </row>
    <row r="95" spans="1:31" x14ac:dyDescent="0.25">
      <c r="A95" s="399">
        <v>84</v>
      </c>
      <c r="F95" s="407"/>
      <c r="K95" s="408"/>
      <c r="P95" s="409"/>
      <c r="U95" s="573"/>
      <c r="Z95" s="410"/>
      <c r="AA95" s="572"/>
      <c r="AB95" s="572"/>
      <c r="AC95" s="572"/>
      <c r="AD95" s="572"/>
      <c r="AE95" s="406"/>
    </row>
    <row r="96" spans="1:31" x14ac:dyDescent="0.25">
      <c r="A96" s="399">
        <v>85</v>
      </c>
      <c r="F96" s="407"/>
      <c r="K96" s="408"/>
      <c r="P96" s="409"/>
      <c r="U96" s="573"/>
      <c r="Z96" s="410"/>
      <c r="AA96" s="572"/>
      <c r="AB96" s="572"/>
      <c r="AC96" s="572"/>
      <c r="AD96" s="572"/>
      <c r="AE96" s="406"/>
    </row>
    <row r="97" spans="1:31" x14ac:dyDescent="0.25">
      <c r="A97" s="399">
        <v>86</v>
      </c>
      <c r="F97" s="407"/>
      <c r="K97" s="408"/>
      <c r="P97" s="409"/>
      <c r="U97" s="573"/>
      <c r="Z97" s="410"/>
      <c r="AA97" s="572"/>
      <c r="AB97" s="572"/>
      <c r="AC97" s="572"/>
      <c r="AD97" s="572"/>
      <c r="AE97" s="406"/>
    </row>
    <row r="98" spans="1:31" x14ac:dyDescent="0.25">
      <c r="A98" s="399">
        <v>87</v>
      </c>
      <c r="F98" s="407"/>
      <c r="K98" s="408"/>
      <c r="P98" s="409"/>
      <c r="U98" s="573"/>
      <c r="Z98" s="410"/>
      <c r="AA98" s="572"/>
      <c r="AB98" s="572"/>
      <c r="AC98" s="572"/>
      <c r="AD98" s="572"/>
      <c r="AE98" s="406"/>
    </row>
    <row r="99" spans="1:31" x14ac:dyDescent="0.25">
      <c r="A99" s="399">
        <v>88</v>
      </c>
      <c r="F99" s="407"/>
      <c r="K99" s="408"/>
      <c r="P99" s="409"/>
      <c r="U99" s="573"/>
      <c r="Z99" s="410"/>
      <c r="AA99" s="572"/>
      <c r="AB99" s="572"/>
      <c r="AC99" s="572"/>
      <c r="AD99" s="572"/>
      <c r="AE99" s="406"/>
    </row>
    <row r="100" spans="1:31" x14ac:dyDescent="0.25">
      <c r="A100" s="399">
        <v>89</v>
      </c>
      <c r="F100" s="407"/>
      <c r="K100" s="408"/>
      <c r="P100" s="409"/>
      <c r="U100" s="573"/>
      <c r="Z100" s="410"/>
      <c r="AA100" s="572"/>
      <c r="AB100" s="572"/>
      <c r="AC100" s="572"/>
      <c r="AD100" s="572"/>
      <c r="AE100" s="406"/>
    </row>
    <row r="101" spans="1:31" x14ac:dyDescent="0.25">
      <c r="A101" s="399">
        <v>90</v>
      </c>
      <c r="F101" s="407"/>
      <c r="K101" s="408"/>
      <c r="P101" s="409"/>
      <c r="U101" s="573"/>
      <c r="Z101" s="410"/>
      <c r="AA101" s="572"/>
      <c r="AB101" s="572"/>
      <c r="AC101" s="572"/>
      <c r="AD101" s="572"/>
      <c r="AE101" s="406"/>
    </row>
    <row r="102" spans="1:31" x14ac:dyDescent="0.25">
      <c r="A102" s="399">
        <v>91</v>
      </c>
      <c r="F102" s="407"/>
      <c r="K102" s="408"/>
      <c r="P102" s="409"/>
      <c r="U102" s="573"/>
      <c r="Z102" s="410"/>
      <c r="AA102" s="572"/>
      <c r="AB102" s="572"/>
      <c r="AC102" s="572"/>
      <c r="AD102" s="572"/>
      <c r="AE102" s="406"/>
    </row>
    <row r="103" spans="1:31" x14ac:dyDescent="0.25">
      <c r="A103" s="399">
        <v>92</v>
      </c>
      <c r="F103" s="407"/>
      <c r="K103" s="408"/>
      <c r="P103" s="409"/>
      <c r="U103" s="573"/>
      <c r="Z103" s="410"/>
      <c r="AA103" s="572"/>
      <c r="AB103" s="572"/>
      <c r="AC103" s="572"/>
      <c r="AD103" s="572"/>
      <c r="AE103" s="406"/>
    </row>
    <row r="104" spans="1:31" x14ac:dyDescent="0.25">
      <c r="A104" s="399">
        <v>93</v>
      </c>
      <c r="F104" s="407"/>
      <c r="K104" s="408"/>
      <c r="P104" s="409"/>
      <c r="U104" s="573"/>
      <c r="Z104" s="410"/>
      <c r="AA104" s="572"/>
      <c r="AB104" s="572"/>
      <c r="AC104" s="572"/>
      <c r="AD104" s="572"/>
      <c r="AE104" s="406"/>
    </row>
    <row r="105" spans="1:31" x14ac:dyDescent="0.25">
      <c r="A105" s="399">
        <v>94</v>
      </c>
      <c r="F105" s="407"/>
      <c r="K105" s="408"/>
      <c r="P105" s="409"/>
      <c r="U105" s="573"/>
      <c r="Z105" s="410"/>
      <c r="AA105" s="572"/>
      <c r="AB105" s="572"/>
      <c r="AC105" s="572"/>
      <c r="AD105" s="572"/>
      <c r="AE105" s="406"/>
    </row>
    <row r="106" spans="1:31" x14ac:dyDescent="0.25">
      <c r="A106" s="399">
        <v>95</v>
      </c>
      <c r="F106" s="407"/>
      <c r="K106" s="408"/>
      <c r="P106" s="409"/>
      <c r="U106" s="573"/>
      <c r="Z106" s="410"/>
      <c r="AA106" s="572"/>
      <c r="AB106" s="572"/>
      <c r="AC106" s="572"/>
      <c r="AD106" s="572"/>
      <c r="AE106" s="406"/>
    </row>
    <row r="107" spans="1:31" x14ac:dyDescent="0.25">
      <c r="A107" s="399">
        <v>96</v>
      </c>
      <c r="F107" s="407"/>
      <c r="K107" s="408"/>
      <c r="P107" s="409"/>
      <c r="U107" s="573"/>
      <c r="Z107" s="410"/>
      <c r="AA107" s="572"/>
      <c r="AB107" s="572"/>
      <c r="AC107" s="572"/>
      <c r="AD107" s="572"/>
      <c r="AE107" s="406"/>
    </row>
    <row r="108" spans="1:31" x14ac:dyDescent="0.25">
      <c r="A108" s="399">
        <v>97</v>
      </c>
      <c r="F108" s="407"/>
      <c r="K108" s="408"/>
      <c r="P108" s="409"/>
      <c r="U108" s="573"/>
      <c r="Z108" s="410"/>
      <c r="AA108" s="572"/>
      <c r="AB108" s="572"/>
      <c r="AC108" s="572"/>
      <c r="AD108" s="572"/>
      <c r="AE108" s="406"/>
    </row>
    <row r="109" spans="1:31" x14ac:dyDescent="0.25">
      <c r="A109" s="399">
        <v>98</v>
      </c>
      <c r="F109" s="407"/>
      <c r="K109" s="408"/>
      <c r="P109" s="409"/>
      <c r="U109" s="573"/>
      <c r="Z109" s="410"/>
      <c r="AA109" s="572"/>
      <c r="AB109" s="572"/>
      <c r="AC109" s="572"/>
      <c r="AD109" s="572"/>
      <c r="AE109" s="406"/>
    </row>
    <row r="110" spans="1:31" x14ac:dyDescent="0.25">
      <c r="A110" s="399">
        <v>99</v>
      </c>
      <c r="F110" s="407"/>
      <c r="K110" s="408"/>
      <c r="P110" s="409"/>
      <c r="U110" s="573"/>
      <c r="Z110" s="410"/>
      <c r="AA110" s="572"/>
      <c r="AB110" s="572"/>
      <c r="AC110" s="572"/>
      <c r="AD110" s="572"/>
      <c r="AE110" s="406"/>
    </row>
    <row r="111" spans="1:31" x14ac:dyDescent="0.25">
      <c r="A111" s="399">
        <v>100</v>
      </c>
      <c r="F111" s="407"/>
      <c r="K111" s="408"/>
      <c r="P111" s="409"/>
      <c r="U111" s="573"/>
      <c r="Z111" s="410"/>
      <c r="AA111" s="572"/>
      <c r="AB111" s="572"/>
      <c r="AC111" s="572"/>
      <c r="AD111" s="572"/>
      <c r="AE111" s="406"/>
    </row>
    <row r="112" spans="1:31" x14ac:dyDescent="0.25">
      <c r="A112" s="399">
        <v>101</v>
      </c>
      <c r="F112" s="407"/>
      <c r="K112" s="408"/>
      <c r="P112" s="409"/>
      <c r="U112" s="573"/>
      <c r="Z112" s="410"/>
      <c r="AA112" s="572"/>
      <c r="AB112" s="572"/>
      <c r="AC112" s="572"/>
      <c r="AD112" s="572"/>
      <c r="AE112" s="406"/>
    </row>
    <row r="113" spans="1:31" x14ac:dyDescent="0.25">
      <c r="A113" s="399">
        <v>102</v>
      </c>
      <c r="F113" s="407"/>
      <c r="K113" s="408"/>
      <c r="P113" s="409"/>
      <c r="U113" s="573"/>
      <c r="Z113" s="410"/>
      <c r="AA113" s="572"/>
      <c r="AB113" s="572"/>
      <c r="AC113" s="572"/>
      <c r="AD113" s="572"/>
      <c r="AE113" s="406"/>
    </row>
    <row r="114" spans="1:31" x14ac:dyDescent="0.25">
      <c r="A114" s="399">
        <v>103</v>
      </c>
      <c r="F114" s="407"/>
      <c r="K114" s="408"/>
      <c r="P114" s="409"/>
      <c r="U114" s="573"/>
      <c r="Z114" s="410"/>
      <c r="AA114" s="572"/>
      <c r="AB114" s="572"/>
      <c r="AC114" s="572"/>
      <c r="AD114" s="572"/>
      <c r="AE114" s="406"/>
    </row>
    <row r="115" spans="1:31" x14ac:dyDescent="0.25">
      <c r="A115" s="399">
        <v>104</v>
      </c>
      <c r="F115" s="407"/>
      <c r="K115" s="408"/>
      <c r="P115" s="409"/>
      <c r="U115" s="573"/>
      <c r="Z115" s="410"/>
      <c r="AA115" s="572"/>
      <c r="AB115" s="572"/>
      <c r="AC115" s="572"/>
      <c r="AD115" s="572"/>
      <c r="AE115" s="406"/>
    </row>
    <row r="116" spans="1:31" x14ac:dyDescent="0.25">
      <c r="A116" s="399">
        <v>105</v>
      </c>
      <c r="F116" s="407"/>
      <c r="K116" s="408"/>
      <c r="P116" s="409"/>
      <c r="U116" s="573"/>
      <c r="Z116" s="410"/>
      <c r="AA116" s="572"/>
      <c r="AB116" s="572"/>
      <c r="AC116" s="572"/>
      <c r="AD116" s="572"/>
      <c r="AE116" s="406"/>
    </row>
    <row r="117" spans="1:31" x14ac:dyDescent="0.25">
      <c r="A117" s="399">
        <v>106</v>
      </c>
      <c r="F117" s="407"/>
      <c r="K117" s="408"/>
      <c r="P117" s="409"/>
      <c r="U117" s="573"/>
      <c r="Z117" s="410"/>
      <c r="AA117" s="572"/>
      <c r="AB117" s="572"/>
      <c r="AC117" s="572"/>
      <c r="AD117" s="572"/>
      <c r="AE117" s="406"/>
    </row>
    <row r="118" spans="1:31" x14ac:dyDescent="0.25">
      <c r="A118" s="399">
        <v>107</v>
      </c>
      <c r="F118" s="407"/>
      <c r="K118" s="408"/>
      <c r="P118" s="409"/>
      <c r="U118" s="573"/>
      <c r="Z118" s="410"/>
      <c r="AA118" s="572"/>
      <c r="AB118" s="572"/>
      <c r="AC118" s="572"/>
      <c r="AD118" s="572"/>
      <c r="AE118" s="406"/>
    </row>
    <row r="119" spans="1:31" x14ac:dyDescent="0.25">
      <c r="A119" s="399">
        <v>108</v>
      </c>
      <c r="F119" s="407"/>
      <c r="K119" s="408"/>
      <c r="P119" s="409"/>
      <c r="U119" s="573"/>
      <c r="Z119" s="410"/>
      <c r="AA119" s="572"/>
      <c r="AB119" s="572"/>
      <c r="AC119" s="572"/>
      <c r="AD119" s="572"/>
      <c r="AE119" s="406"/>
    </row>
    <row r="120" spans="1:31" x14ac:dyDescent="0.25">
      <c r="A120" s="399">
        <v>109</v>
      </c>
      <c r="F120" s="407"/>
      <c r="K120" s="408"/>
      <c r="P120" s="409"/>
      <c r="U120" s="573"/>
      <c r="Z120" s="410"/>
      <c r="AA120" s="572"/>
      <c r="AB120" s="572"/>
      <c r="AC120" s="572"/>
      <c r="AD120" s="572"/>
      <c r="AE120" s="406"/>
    </row>
    <row r="121" spans="1:31" x14ac:dyDescent="0.25">
      <c r="A121" s="399">
        <v>110</v>
      </c>
      <c r="F121" s="407"/>
      <c r="K121" s="408"/>
      <c r="P121" s="409"/>
      <c r="U121" s="573"/>
      <c r="Z121" s="410"/>
      <c r="AA121" s="572"/>
      <c r="AB121" s="572"/>
      <c r="AC121" s="572"/>
      <c r="AD121" s="572"/>
      <c r="AE121" s="406"/>
    </row>
    <row r="122" spans="1:31" x14ac:dyDescent="0.25">
      <c r="A122" s="399">
        <v>111</v>
      </c>
      <c r="F122" s="407"/>
      <c r="K122" s="408"/>
      <c r="P122" s="409"/>
      <c r="U122" s="573"/>
      <c r="Z122" s="410"/>
      <c r="AA122" s="572"/>
      <c r="AB122" s="572"/>
      <c r="AC122" s="572"/>
      <c r="AD122" s="572"/>
      <c r="AE122" s="406"/>
    </row>
    <row r="123" spans="1:31" x14ac:dyDescent="0.25">
      <c r="A123" s="399">
        <v>112</v>
      </c>
      <c r="F123" s="407"/>
      <c r="K123" s="408"/>
      <c r="P123" s="409"/>
      <c r="U123" s="573"/>
      <c r="Z123" s="410"/>
      <c r="AA123" s="572"/>
      <c r="AB123" s="572"/>
      <c r="AC123" s="572"/>
      <c r="AD123" s="572"/>
      <c r="AE123" s="406"/>
    </row>
    <row r="124" spans="1:31" x14ac:dyDescent="0.25">
      <c r="A124" s="399">
        <v>113</v>
      </c>
      <c r="F124" s="407"/>
      <c r="K124" s="408"/>
      <c r="P124" s="409"/>
      <c r="U124" s="573"/>
      <c r="Z124" s="410"/>
      <c r="AA124" s="572"/>
      <c r="AB124" s="572"/>
      <c r="AC124" s="572"/>
      <c r="AD124" s="572"/>
      <c r="AE124" s="406"/>
    </row>
    <row r="125" spans="1:31" x14ac:dyDescent="0.25">
      <c r="A125" s="399">
        <v>114</v>
      </c>
      <c r="F125" s="407"/>
      <c r="K125" s="408"/>
      <c r="P125" s="409"/>
      <c r="U125" s="573"/>
      <c r="Z125" s="410"/>
      <c r="AA125" s="572"/>
      <c r="AB125" s="572"/>
      <c r="AC125" s="572"/>
      <c r="AD125" s="572"/>
      <c r="AE125" s="406"/>
    </row>
    <row r="126" spans="1:31" x14ac:dyDescent="0.25">
      <c r="A126" s="399">
        <v>115</v>
      </c>
      <c r="F126" s="407"/>
      <c r="K126" s="408"/>
      <c r="P126" s="409"/>
      <c r="U126" s="573"/>
      <c r="Z126" s="410"/>
      <c r="AA126" s="572"/>
      <c r="AB126" s="572"/>
      <c r="AC126" s="572"/>
      <c r="AD126" s="572"/>
      <c r="AE126" s="406"/>
    </row>
    <row r="127" spans="1:31" x14ac:dyDescent="0.25">
      <c r="A127" s="399">
        <v>116</v>
      </c>
      <c r="F127" s="407"/>
      <c r="K127" s="408"/>
      <c r="P127" s="409"/>
      <c r="U127" s="573"/>
      <c r="Z127" s="410"/>
      <c r="AA127" s="572"/>
      <c r="AB127" s="572"/>
      <c r="AC127" s="572"/>
      <c r="AD127" s="572"/>
      <c r="AE127" s="406"/>
    </row>
    <row r="128" spans="1:31" x14ac:dyDescent="0.25">
      <c r="A128" s="399">
        <v>117</v>
      </c>
      <c r="F128" s="407"/>
      <c r="K128" s="408"/>
      <c r="P128" s="409"/>
      <c r="U128" s="573"/>
      <c r="Z128" s="410"/>
      <c r="AA128" s="572"/>
      <c r="AB128" s="572"/>
      <c r="AC128" s="572"/>
      <c r="AD128" s="572"/>
      <c r="AE128" s="406"/>
    </row>
    <row r="129" spans="1:31" x14ac:dyDescent="0.25">
      <c r="A129" s="399">
        <v>118</v>
      </c>
      <c r="F129" s="407"/>
      <c r="K129" s="408"/>
      <c r="P129" s="409"/>
      <c r="U129" s="573"/>
      <c r="Z129" s="410"/>
      <c r="AA129" s="572"/>
      <c r="AB129" s="572"/>
      <c r="AC129" s="572"/>
      <c r="AD129" s="572"/>
      <c r="AE129" s="406"/>
    </row>
    <row r="130" spans="1:31" x14ac:dyDescent="0.25">
      <c r="A130" s="399">
        <v>119</v>
      </c>
      <c r="F130" s="407"/>
      <c r="K130" s="408"/>
      <c r="P130" s="409"/>
      <c r="U130" s="573"/>
      <c r="Z130" s="410"/>
      <c r="AA130" s="572"/>
      <c r="AB130" s="572"/>
      <c r="AC130" s="572"/>
      <c r="AD130" s="572"/>
      <c r="AE130" s="406"/>
    </row>
    <row r="131" spans="1:31" x14ac:dyDescent="0.25">
      <c r="A131" s="399">
        <v>120</v>
      </c>
      <c r="F131" s="407"/>
      <c r="K131" s="408"/>
      <c r="P131" s="409"/>
      <c r="U131" s="573"/>
      <c r="Z131" s="410"/>
      <c r="AA131" s="572"/>
      <c r="AB131" s="572"/>
      <c r="AC131" s="572"/>
      <c r="AD131" s="572"/>
      <c r="AE131" s="406"/>
    </row>
    <row r="132" spans="1:31" x14ac:dyDescent="0.25">
      <c r="A132" s="399">
        <v>121</v>
      </c>
      <c r="F132" s="407"/>
      <c r="K132" s="408"/>
      <c r="P132" s="409"/>
      <c r="U132" s="573"/>
      <c r="Z132" s="410"/>
      <c r="AA132" s="572"/>
      <c r="AB132" s="572"/>
      <c r="AC132" s="572"/>
      <c r="AD132" s="572"/>
      <c r="AE132" s="406"/>
    </row>
    <row r="133" spans="1:31" x14ac:dyDescent="0.25">
      <c r="A133" s="399">
        <v>122</v>
      </c>
      <c r="F133" s="407"/>
      <c r="K133" s="408"/>
      <c r="P133" s="409"/>
      <c r="U133" s="573"/>
      <c r="Z133" s="410"/>
      <c r="AA133" s="572"/>
      <c r="AB133" s="572"/>
      <c r="AC133" s="572"/>
      <c r="AD133" s="572"/>
      <c r="AE133" s="406"/>
    </row>
    <row r="134" spans="1:31" x14ac:dyDescent="0.25">
      <c r="A134" s="399">
        <v>123</v>
      </c>
      <c r="F134" s="407"/>
      <c r="K134" s="408"/>
      <c r="P134" s="409"/>
      <c r="U134" s="573"/>
      <c r="Z134" s="410"/>
      <c r="AA134" s="572"/>
      <c r="AB134" s="572"/>
      <c r="AC134" s="572"/>
      <c r="AD134" s="572"/>
      <c r="AE134" s="406"/>
    </row>
    <row r="135" spans="1:31" x14ac:dyDescent="0.25">
      <c r="A135" s="399">
        <v>124</v>
      </c>
      <c r="F135" s="407"/>
      <c r="K135" s="408"/>
      <c r="P135" s="409"/>
      <c r="U135" s="573"/>
      <c r="Z135" s="410"/>
      <c r="AA135" s="572"/>
      <c r="AB135" s="572"/>
      <c r="AC135" s="572"/>
      <c r="AD135" s="572"/>
      <c r="AE135" s="406"/>
    </row>
    <row r="136" spans="1:31" x14ac:dyDescent="0.25">
      <c r="A136" s="399">
        <v>125</v>
      </c>
      <c r="F136" s="407"/>
      <c r="K136" s="408"/>
      <c r="P136" s="409"/>
      <c r="U136" s="573"/>
      <c r="Z136" s="410"/>
      <c r="AA136" s="572"/>
      <c r="AB136" s="572"/>
      <c r="AC136" s="572"/>
      <c r="AD136" s="572"/>
      <c r="AE136" s="406"/>
    </row>
    <row r="137" spans="1:31" x14ac:dyDescent="0.25">
      <c r="A137" s="399">
        <v>126</v>
      </c>
      <c r="F137" s="407"/>
      <c r="K137" s="408"/>
      <c r="P137" s="409"/>
      <c r="U137" s="573"/>
      <c r="Z137" s="410"/>
      <c r="AA137" s="572"/>
      <c r="AB137" s="572"/>
      <c r="AC137" s="572"/>
      <c r="AD137" s="572"/>
      <c r="AE137" s="406"/>
    </row>
    <row r="138" spans="1:31" x14ac:dyDescent="0.25">
      <c r="A138" s="399">
        <v>127</v>
      </c>
      <c r="F138" s="407"/>
      <c r="K138" s="408"/>
      <c r="P138" s="409"/>
      <c r="U138" s="573"/>
      <c r="Z138" s="410"/>
      <c r="AA138" s="572"/>
      <c r="AB138" s="572"/>
      <c r="AC138" s="572"/>
      <c r="AD138" s="572"/>
      <c r="AE138" s="406"/>
    </row>
    <row r="139" spans="1:31" x14ac:dyDescent="0.25">
      <c r="A139" s="399">
        <v>128</v>
      </c>
      <c r="F139" s="407"/>
      <c r="K139" s="408"/>
      <c r="P139" s="409"/>
      <c r="U139" s="573"/>
      <c r="Z139" s="410"/>
      <c r="AA139" s="572"/>
      <c r="AB139" s="572"/>
      <c r="AC139" s="572"/>
      <c r="AD139" s="572"/>
      <c r="AE139" s="406"/>
    </row>
    <row r="140" spans="1:31" x14ac:dyDescent="0.25">
      <c r="A140" s="399">
        <v>129</v>
      </c>
      <c r="F140" s="407"/>
      <c r="K140" s="408"/>
      <c r="P140" s="409"/>
      <c r="U140" s="573"/>
      <c r="Z140" s="410"/>
      <c r="AA140" s="572"/>
      <c r="AB140" s="572"/>
      <c r="AC140" s="572"/>
      <c r="AD140" s="572"/>
      <c r="AE140" s="406"/>
    </row>
    <row r="141" spans="1:31" x14ac:dyDescent="0.25">
      <c r="A141" s="399">
        <v>130</v>
      </c>
      <c r="F141" s="407"/>
      <c r="K141" s="408"/>
      <c r="P141" s="409"/>
      <c r="U141" s="573"/>
      <c r="Z141" s="410"/>
      <c r="AA141" s="572"/>
      <c r="AB141" s="572"/>
      <c r="AC141" s="572"/>
      <c r="AD141" s="572"/>
      <c r="AE141" s="406"/>
    </row>
    <row r="142" spans="1:31" x14ac:dyDescent="0.25">
      <c r="A142" s="399">
        <v>131</v>
      </c>
      <c r="F142" s="407"/>
      <c r="K142" s="408"/>
      <c r="P142" s="409"/>
      <c r="U142" s="573"/>
      <c r="Z142" s="410"/>
      <c r="AA142" s="572"/>
      <c r="AB142" s="572"/>
      <c r="AC142" s="572"/>
      <c r="AD142" s="572"/>
      <c r="AE142" s="406"/>
    </row>
    <row r="143" spans="1:31" x14ac:dyDescent="0.25">
      <c r="A143" s="399">
        <v>132</v>
      </c>
      <c r="F143" s="407"/>
      <c r="K143" s="408"/>
      <c r="P143" s="409"/>
      <c r="U143" s="573"/>
      <c r="Z143" s="410"/>
      <c r="AA143" s="572"/>
      <c r="AB143" s="572"/>
      <c r="AC143" s="572"/>
      <c r="AD143" s="572"/>
      <c r="AE143" s="406"/>
    </row>
    <row r="144" spans="1:31" x14ac:dyDescent="0.25">
      <c r="A144" s="399">
        <v>133</v>
      </c>
      <c r="F144" s="407"/>
      <c r="K144" s="408"/>
      <c r="P144" s="409"/>
      <c r="U144" s="573"/>
      <c r="Z144" s="410"/>
      <c r="AA144" s="572"/>
      <c r="AB144" s="572"/>
      <c r="AC144" s="572"/>
      <c r="AD144" s="572"/>
      <c r="AE144" s="406"/>
    </row>
    <row r="145" spans="1:31" x14ac:dyDescent="0.25">
      <c r="A145" s="399">
        <v>134</v>
      </c>
      <c r="F145" s="407"/>
      <c r="K145" s="408"/>
      <c r="P145" s="409"/>
      <c r="U145" s="573"/>
      <c r="Z145" s="410"/>
      <c r="AA145" s="572"/>
      <c r="AB145" s="572"/>
      <c r="AC145" s="572"/>
      <c r="AD145" s="572"/>
      <c r="AE145" s="406"/>
    </row>
    <row r="146" spans="1:31" x14ac:dyDescent="0.25">
      <c r="A146" s="399">
        <v>135</v>
      </c>
      <c r="F146" s="407"/>
      <c r="K146" s="408"/>
      <c r="P146" s="409"/>
      <c r="U146" s="573"/>
      <c r="Z146" s="410"/>
      <c r="AA146" s="572"/>
      <c r="AB146" s="572"/>
      <c r="AC146" s="572"/>
      <c r="AD146" s="572"/>
      <c r="AE146" s="406"/>
    </row>
    <row r="147" spans="1:31" x14ac:dyDescent="0.25">
      <c r="A147" s="399">
        <v>136</v>
      </c>
      <c r="F147" s="407"/>
      <c r="K147" s="408"/>
      <c r="P147" s="409"/>
      <c r="U147" s="573"/>
      <c r="Z147" s="410"/>
      <c r="AA147" s="572"/>
      <c r="AB147" s="572"/>
      <c r="AC147" s="572"/>
      <c r="AD147" s="572"/>
      <c r="AE147" s="406"/>
    </row>
    <row r="148" spans="1:31" x14ac:dyDescent="0.25">
      <c r="A148" s="399">
        <v>137</v>
      </c>
      <c r="F148" s="407"/>
      <c r="K148" s="408"/>
      <c r="P148" s="409"/>
      <c r="U148" s="573"/>
      <c r="Z148" s="410"/>
      <c r="AA148" s="572"/>
      <c r="AB148" s="572"/>
      <c r="AC148" s="572"/>
      <c r="AD148" s="572"/>
      <c r="AE148" s="406"/>
    </row>
    <row r="149" spans="1:31" x14ac:dyDescent="0.25">
      <c r="A149" s="399">
        <v>138</v>
      </c>
      <c r="F149" s="407"/>
      <c r="K149" s="408"/>
      <c r="P149" s="409"/>
      <c r="U149" s="573"/>
      <c r="Z149" s="410"/>
      <c r="AA149" s="572"/>
      <c r="AB149" s="572"/>
      <c r="AC149" s="572"/>
      <c r="AD149" s="572"/>
      <c r="AE149" s="406"/>
    </row>
    <row r="150" spans="1:31" x14ac:dyDescent="0.25">
      <c r="A150" s="399">
        <v>139</v>
      </c>
      <c r="F150" s="407"/>
      <c r="K150" s="408"/>
      <c r="P150" s="409"/>
      <c r="U150" s="573"/>
      <c r="Z150" s="410"/>
      <c r="AA150" s="572"/>
      <c r="AB150" s="572"/>
      <c r="AC150" s="572"/>
      <c r="AD150" s="572"/>
      <c r="AE150" s="406"/>
    </row>
    <row r="151" spans="1:31" x14ac:dyDescent="0.25">
      <c r="A151" s="399">
        <v>140</v>
      </c>
      <c r="F151" s="407"/>
      <c r="K151" s="408"/>
      <c r="P151" s="409"/>
      <c r="U151" s="573"/>
      <c r="Z151" s="410"/>
      <c r="AA151" s="572"/>
      <c r="AB151" s="572"/>
      <c r="AC151" s="572"/>
      <c r="AD151" s="572"/>
      <c r="AE151" s="406"/>
    </row>
    <row r="152" spans="1:31" x14ac:dyDescent="0.25">
      <c r="A152" s="399">
        <v>141</v>
      </c>
      <c r="F152" s="407"/>
      <c r="K152" s="408"/>
      <c r="P152" s="409"/>
      <c r="U152" s="573"/>
      <c r="Z152" s="410"/>
      <c r="AA152" s="572"/>
      <c r="AB152" s="572"/>
      <c r="AC152" s="572"/>
      <c r="AD152" s="572"/>
      <c r="AE152" s="406"/>
    </row>
    <row r="153" spans="1:31" x14ac:dyDescent="0.25">
      <c r="A153" s="399">
        <v>142</v>
      </c>
      <c r="F153" s="407"/>
      <c r="K153" s="408"/>
      <c r="P153" s="409"/>
      <c r="U153" s="573"/>
      <c r="Z153" s="410"/>
      <c r="AA153" s="572"/>
      <c r="AB153" s="572"/>
      <c r="AC153" s="572"/>
      <c r="AD153" s="572"/>
      <c r="AE153" s="406"/>
    </row>
    <row r="154" spans="1:31" x14ac:dyDescent="0.25">
      <c r="A154" s="399">
        <v>143</v>
      </c>
      <c r="F154" s="407"/>
      <c r="K154" s="408"/>
      <c r="P154" s="409"/>
      <c r="U154" s="573"/>
      <c r="Z154" s="410"/>
      <c r="AA154" s="572"/>
      <c r="AB154" s="572"/>
      <c r="AC154" s="572"/>
      <c r="AD154" s="572"/>
      <c r="AE154" s="406"/>
    </row>
    <row r="155" spans="1:31" x14ac:dyDescent="0.25">
      <c r="A155" s="399">
        <v>144</v>
      </c>
      <c r="F155" s="407"/>
      <c r="K155" s="408"/>
      <c r="P155" s="409"/>
      <c r="U155" s="573"/>
      <c r="Z155" s="410"/>
      <c r="AA155" s="572"/>
      <c r="AB155" s="572"/>
      <c r="AC155" s="572"/>
      <c r="AD155" s="572"/>
      <c r="AE155" s="406"/>
    </row>
    <row r="156" spans="1:31" x14ac:dyDescent="0.25">
      <c r="A156" s="399">
        <v>145</v>
      </c>
      <c r="F156" s="407"/>
      <c r="K156" s="408"/>
      <c r="P156" s="409"/>
      <c r="U156" s="573"/>
      <c r="Z156" s="410"/>
      <c r="AA156" s="572"/>
      <c r="AB156" s="572"/>
      <c r="AC156" s="572"/>
      <c r="AD156" s="572"/>
      <c r="AE156" s="406"/>
    </row>
    <row r="157" spans="1:31" x14ac:dyDescent="0.25">
      <c r="A157" s="399">
        <v>146</v>
      </c>
      <c r="F157" s="407"/>
      <c r="K157" s="408"/>
      <c r="P157" s="409"/>
      <c r="U157" s="573"/>
      <c r="Z157" s="410"/>
      <c r="AA157" s="572"/>
      <c r="AB157" s="572"/>
      <c r="AC157" s="572"/>
      <c r="AD157" s="572"/>
      <c r="AE157" s="406"/>
    </row>
    <row r="158" spans="1:31" x14ac:dyDescent="0.25">
      <c r="A158" s="399">
        <v>147</v>
      </c>
      <c r="F158" s="407"/>
      <c r="K158" s="408"/>
      <c r="P158" s="409"/>
      <c r="U158" s="573"/>
      <c r="Z158" s="410"/>
      <c r="AA158" s="572"/>
      <c r="AB158" s="572"/>
      <c r="AC158" s="572"/>
      <c r="AD158" s="572"/>
      <c r="AE158" s="406"/>
    </row>
    <row r="159" spans="1:31" x14ac:dyDescent="0.25">
      <c r="A159" s="399">
        <v>148</v>
      </c>
      <c r="F159" s="407"/>
      <c r="K159" s="408"/>
      <c r="P159" s="409"/>
      <c r="U159" s="573"/>
      <c r="Z159" s="410"/>
      <c r="AA159" s="572"/>
      <c r="AB159" s="572"/>
      <c r="AC159" s="572"/>
      <c r="AD159" s="572"/>
      <c r="AE159" s="406"/>
    </row>
    <row r="160" spans="1:31" x14ac:dyDescent="0.25">
      <c r="A160" s="399">
        <v>149</v>
      </c>
      <c r="F160" s="407"/>
      <c r="K160" s="408"/>
      <c r="P160" s="409"/>
      <c r="U160" s="573"/>
      <c r="Z160" s="410"/>
      <c r="AA160" s="572"/>
      <c r="AB160" s="572"/>
      <c r="AC160" s="572"/>
      <c r="AD160" s="572"/>
      <c r="AE160" s="406"/>
    </row>
    <row r="161" spans="1:31" x14ac:dyDescent="0.25">
      <c r="A161" s="399">
        <v>150</v>
      </c>
      <c r="F161" s="407"/>
      <c r="K161" s="408"/>
      <c r="P161" s="409"/>
      <c r="U161" s="573"/>
      <c r="Z161" s="410"/>
      <c r="AA161" s="572"/>
      <c r="AB161" s="572"/>
      <c r="AC161" s="572"/>
      <c r="AD161" s="572"/>
      <c r="AE161" s="406"/>
    </row>
    <row r="162" spans="1:31" x14ac:dyDescent="0.25">
      <c r="A162" s="399">
        <v>151</v>
      </c>
      <c r="F162" s="407"/>
      <c r="K162" s="408"/>
      <c r="P162" s="409"/>
      <c r="U162" s="573"/>
      <c r="Z162" s="410"/>
      <c r="AA162" s="572"/>
      <c r="AB162" s="572"/>
      <c r="AC162" s="572"/>
      <c r="AD162" s="572"/>
      <c r="AE162" s="406"/>
    </row>
    <row r="163" spans="1:31" x14ac:dyDescent="0.25">
      <c r="A163" s="399">
        <v>152</v>
      </c>
      <c r="F163" s="407"/>
      <c r="K163" s="408"/>
      <c r="P163" s="409"/>
      <c r="U163" s="573"/>
      <c r="Z163" s="410"/>
      <c r="AA163" s="572"/>
      <c r="AB163" s="572"/>
      <c r="AC163" s="572"/>
      <c r="AD163" s="572"/>
      <c r="AE163" s="406"/>
    </row>
    <row r="164" spans="1:31" x14ac:dyDescent="0.25">
      <c r="A164" s="399">
        <v>153</v>
      </c>
      <c r="F164" s="407"/>
      <c r="K164" s="408"/>
      <c r="P164" s="409"/>
      <c r="U164" s="573"/>
      <c r="Z164" s="410"/>
      <c r="AA164" s="572"/>
      <c r="AB164" s="572"/>
      <c r="AC164" s="572"/>
      <c r="AD164" s="572"/>
      <c r="AE164" s="406"/>
    </row>
    <row r="165" spans="1:31" x14ac:dyDescent="0.25">
      <c r="A165" s="399">
        <v>154</v>
      </c>
      <c r="F165" s="407"/>
      <c r="K165" s="408"/>
      <c r="P165" s="409"/>
      <c r="U165" s="573"/>
      <c r="Z165" s="410"/>
      <c r="AA165" s="572"/>
      <c r="AB165" s="572"/>
      <c r="AC165" s="572"/>
      <c r="AD165" s="572"/>
      <c r="AE165" s="406"/>
    </row>
    <row r="166" spans="1:31" x14ac:dyDescent="0.25">
      <c r="A166" s="399">
        <v>155</v>
      </c>
      <c r="F166" s="407"/>
      <c r="K166" s="408"/>
      <c r="P166" s="409"/>
      <c r="U166" s="573"/>
      <c r="Z166" s="410"/>
      <c r="AA166" s="572"/>
      <c r="AB166" s="572"/>
      <c r="AC166" s="572"/>
      <c r="AD166" s="572"/>
      <c r="AE166" s="406"/>
    </row>
    <row r="167" spans="1:31" x14ac:dyDescent="0.25">
      <c r="A167" s="399">
        <v>156</v>
      </c>
      <c r="F167" s="407"/>
      <c r="K167" s="408"/>
      <c r="P167" s="409"/>
      <c r="U167" s="573"/>
      <c r="Z167" s="410"/>
      <c r="AA167" s="572"/>
      <c r="AB167" s="572"/>
      <c r="AC167" s="572"/>
      <c r="AD167" s="572"/>
      <c r="AE167" s="406"/>
    </row>
    <row r="168" spans="1:31" x14ac:dyDescent="0.25">
      <c r="A168" s="399">
        <v>157</v>
      </c>
      <c r="F168" s="407"/>
      <c r="K168" s="408"/>
      <c r="P168" s="409"/>
      <c r="U168" s="573"/>
      <c r="Z168" s="410"/>
      <c r="AA168" s="572"/>
      <c r="AB168" s="572"/>
      <c r="AC168" s="572"/>
      <c r="AD168" s="572"/>
      <c r="AE168" s="406"/>
    </row>
    <row r="169" spans="1:31" x14ac:dyDescent="0.25">
      <c r="A169" s="399">
        <v>158</v>
      </c>
      <c r="F169" s="407"/>
      <c r="K169" s="408"/>
      <c r="P169" s="409"/>
      <c r="U169" s="573"/>
      <c r="Z169" s="410"/>
      <c r="AA169" s="572"/>
      <c r="AB169" s="572"/>
      <c r="AC169" s="572"/>
      <c r="AD169" s="572"/>
      <c r="AE169" s="406"/>
    </row>
    <row r="170" spans="1:31" x14ac:dyDescent="0.25">
      <c r="A170" s="399">
        <v>159</v>
      </c>
      <c r="F170" s="407"/>
      <c r="K170" s="408"/>
      <c r="P170" s="409"/>
      <c r="U170" s="573"/>
      <c r="Z170" s="410"/>
      <c r="AA170" s="572"/>
      <c r="AB170" s="572"/>
      <c r="AC170" s="572"/>
      <c r="AD170" s="572"/>
      <c r="AE170" s="406"/>
    </row>
    <row r="171" spans="1:31" x14ac:dyDescent="0.25">
      <c r="A171" s="399">
        <v>160</v>
      </c>
      <c r="F171" s="407"/>
      <c r="K171" s="408"/>
      <c r="P171" s="409"/>
      <c r="U171" s="573"/>
      <c r="Z171" s="410"/>
      <c r="AA171" s="572"/>
      <c r="AB171" s="572"/>
      <c r="AC171" s="572"/>
      <c r="AD171" s="572"/>
      <c r="AE171" s="406"/>
    </row>
    <row r="172" spans="1:31" x14ac:dyDescent="0.25">
      <c r="A172" s="399">
        <v>161</v>
      </c>
      <c r="F172" s="407"/>
      <c r="K172" s="408"/>
      <c r="P172" s="409"/>
      <c r="U172" s="573"/>
      <c r="Z172" s="410"/>
      <c r="AA172" s="572"/>
      <c r="AB172" s="572"/>
      <c r="AC172" s="572"/>
      <c r="AD172" s="572"/>
      <c r="AE172" s="406"/>
    </row>
    <row r="173" spans="1:31" x14ac:dyDescent="0.25">
      <c r="A173" s="399">
        <v>162</v>
      </c>
      <c r="F173" s="407"/>
      <c r="K173" s="408"/>
      <c r="P173" s="409"/>
      <c r="U173" s="573"/>
      <c r="Z173" s="410"/>
      <c r="AA173" s="572"/>
      <c r="AB173" s="572"/>
      <c r="AC173" s="572"/>
      <c r="AD173" s="572"/>
      <c r="AE173" s="406"/>
    </row>
    <row r="174" spans="1:31" x14ac:dyDescent="0.25">
      <c r="A174" s="399">
        <v>163</v>
      </c>
      <c r="F174" s="407"/>
      <c r="K174" s="408"/>
      <c r="P174" s="409"/>
      <c r="U174" s="573"/>
      <c r="Z174" s="410"/>
      <c r="AA174" s="572"/>
      <c r="AB174" s="572"/>
      <c r="AC174" s="572"/>
      <c r="AD174" s="572"/>
      <c r="AE174" s="406"/>
    </row>
    <row r="175" spans="1:31" x14ac:dyDescent="0.25">
      <c r="A175" s="399">
        <v>164</v>
      </c>
      <c r="F175" s="407"/>
      <c r="K175" s="408"/>
      <c r="P175" s="409"/>
      <c r="U175" s="573"/>
      <c r="Z175" s="410"/>
      <c r="AA175" s="572"/>
      <c r="AB175" s="572"/>
      <c r="AC175" s="572"/>
      <c r="AD175" s="572"/>
      <c r="AE175" s="406"/>
    </row>
    <row r="176" spans="1:31" x14ac:dyDescent="0.25">
      <c r="A176" s="399">
        <v>165</v>
      </c>
      <c r="F176" s="407"/>
      <c r="K176" s="408"/>
      <c r="P176" s="409"/>
      <c r="U176" s="573"/>
      <c r="Z176" s="410"/>
      <c r="AA176" s="572"/>
      <c r="AB176" s="572"/>
      <c r="AC176" s="572"/>
      <c r="AD176" s="572"/>
      <c r="AE176" s="406"/>
    </row>
    <row r="177" spans="1:31" x14ac:dyDescent="0.25">
      <c r="A177" s="399">
        <v>166</v>
      </c>
      <c r="F177" s="407"/>
      <c r="K177" s="408"/>
      <c r="P177" s="409"/>
      <c r="U177" s="573"/>
      <c r="Z177" s="410"/>
      <c r="AA177" s="572"/>
      <c r="AB177" s="572"/>
      <c r="AC177" s="572"/>
      <c r="AD177" s="572"/>
      <c r="AE177" s="406"/>
    </row>
    <row r="178" spans="1:31" x14ac:dyDescent="0.25">
      <c r="A178" s="399">
        <v>167</v>
      </c>
      <c r="F178" s="407"/>
      <c r="K178" s="408"/>
      <c r="P178" s="409"/>
      <c r="U178" s="573"/>
      <c r="Z178" s="410"/>
      <c r="AA178" s="572"/>
      <c r="AB178" s="572"/>
      <c r="AC178" s="572"/>
      <c r="AD178" s="572"/>
      <c r="AE178" s="406"/>
    </row>
    <row r="179" spans="1:31" x14ac:dyDescent="0.25">
      <c r="A179" s="399">
        <v>168</v>
      </c>
      <c r="F179" s="407"/>
      <c r="K179" s="408"/>
      <c r="P179" s="409"/>
      <c r="U179" s="573"/>
      <c r="Z179" s="410"/>
      <c r="AA179" s="572"/>
      <c r="AB179" s="572"/>
      <c r="AC179" s="572"/>
      <c r="AD179" s="572"/>
      <c r="AE179" s="406"/>
    </row>
    <row r="180" spans="1:31" x14ac:dyDescent="0.25">
      <c r="A180" s="399">
        <v>169</v>
      </c>
      <c r="F180" s="407"/>
      <c r="K180" s="408"/>
      <c r="P180" s="409"/>
      <c r="U180" s="573"/>
      <c r="Z180" s="410"/>
      <c r="AA180" s="572"/>
      <c r="AB180" s="572"/>
      <c r="AC180" s="572"/>
      <c r="AD180" s="572"/>
      <c r="AE180" s="406"/>
    </row>
    <row r="181" spans="1:31" x14ac:dyDescent="0.25">
      <c r="A181" s="399">
        <v>170</v>
      </c>
      <c r="F181" s="407"/>
      <c r="K181" s="408"/>
      <c r="P181" s="409"/>
      <c r="U181" s="573"/>
      <c r="Z181" s="410"/>
      <c r="AA181" s="572"/>
      <c r="AB181" s="572"/>
      <c r="AC181" s="572"/>
      <c r="AD181" s="572"/>
      <c r="AE181" s="406"/>
    </row>
    <row r="182" spans="1:31" x14ac:dyDescent="0.25">
      <c r="A182" s="399">
        <v>171</v>
      </c>
      <c r="F182" s="407"/>
      <c r="K182" s="408"/>
      <c r="P182" s="409"/>
      <c r="U182" s="573"/>
      <c r="Z182" s="410"/>
      <c r="AA182" s="572"/>
      <c r="AB182" s="572"/>
      <c r="AC182" s="572"/>
      <c r="AD182" s="572"/>
      <c r="AE182" s="406"/>
    </row>
    <row r="183" spans="1:31" x14ac:dyDescent="0.25">
      <c r="A183" s="399">
        <v>172</v>
      </c>
      <c r="F183" s="407"/>
      <c r="K183" s="408"/>
      <c r="P183" s="409"/>
      <c r="U183" s="573"/>
      <c r="Z183" s="410"/>
      <c r="AA183" s="572"/>
      <c r="AB183" s="572"/>
      <c r="AC183" s="572"/>
      <c r="AD183" s="572"/>
      <c r="AE183" s="406"/>
    </row>
    <row r="184" spans="1:31" x14ac:dyDescent="0.25">
      <c r="A184" s="399">
        <v>173</v>
      </c>
      <c r="F184" s="407"/>
      <c r="K184" s="408"/>
      <c r="P184" s="409"/>
      <c r="U184" s="573"/>
      <c r="Z184" s="410"/>
      <c r="AA184" s="572"/>
      <c r="AB184" s="572"/>
      <c r="AC184" s="572"/>
      <c r="AD184" s="572"/>
      <c r="AE184" s="406"/>
    </row>
    <row r="185" spans="1:31" x14ac:dyDescent="0.25">
      <c r="A185" s="399">
        <v>174</v>
      </c>
      <c r="F185" s="407"/>
      <c r="K185" s="408"/>
      <c r="P185" s="409"/>
      <c r="U185" s="573"/>
      <c r="Z185" s="410"/>
      <c r="AA185" s="572"/>
      <c r="AB185" s="572"/>
      <c r="AC185" s="572"/>
      <c r="AD185" s="572"/>
      <c r="AE185" s="406"/>
    </row>
    <row r="186" spans="1:31" x14ac:dyDescent="0.25">
      <c r="A186" s="399">
        <v>175</v>
      </c>
      <c r="F186" s="407"/>
      <c r="K186" s="408"/>
      <c r="P186" s="409"/>
      <c r="U186" s="573"/>
      <c r="Z186" s="410"/>
      <c r="AA186" s="572"/>
      <c r="AB186" s="572"/>
      <c r="AC186" s="572"/>
      <c r="AD186" s="572"/>
      <c r="AE186" s="406"/>
    </row>
    <row r="187" spans="1:31" x14ac:dyDescent="0.25">
      <c r="A187" s="399">
        <v>176</v>
      </c>
      <c r="F187" s="407"/>
      <c r="K187" s="408"/>
      <c r="P187" s="409"/>
      <c r="U187" s="573"/>
      <c r="Z187" s="410"/>
      <c r="AA187" s="572"/>
      <c r="AB187" s="572"/>
      <c r="AC187" s="572"/>
      <c r="AD187" s="572"/>
      <c r="AE187" s="406"/>
    </row>
    <row r="188" spans="1:31" x14ac:dyDescent="0.25">
      <c r="A188" s="399">
        <v>177</v>
      </c>
      <c r="F188" s="407"/>
      <c r="K188" s="408"/>
      <c r="P188" s="409"/>
      <c r="U188" s="573"/>
      <c r="Z188" s="410"/>
      <c r="AA188" s="572"/>
      <c r="AB188" s="572"/>
      <c r="AC188" s="572"/>
      <c r="AD188" s="572"/>
      <c r="AE188" s="406"/>
    </row>
    <row r="189" spans="1:31" x14ac:dyDescent="0.25">
      <c r="A189" s="399">
        <v>178</v>
      </c>
      <c r="F189" s="407"/>
      <c r="K189" s="408"/>
      <c r="P189" s="409"/>
      <c r="U189" s="573"/>
      <c r="Z189" s="410"/>
      <c r="AA189" s="572"/>
      <c r="AB189" s="572"/>
      <c r="AC189" s="572"/>
      <c r="AD189" s="572"/>
      <c r="AE189" s="406"/>
    </row>
    <row r="190" spans="1:31" x14ac:dyDescent="0.25">
      <c r="A190" s="399">
        <v>179</v>
      </c>
      <c r="F190" s="407"/>
      <c r="K190" s="408"/>
      <c r="P190" s="409"/>
      <c r="U190" s="573"/>
      <c r="Z190" s="410"/>
      <c r="AA190" s="572"/>
      <c r="AB190" s="572"/>
      <c r="AC190" s="572"/>
      <c r="AD190" s="572"/>
      <c r="AE190" s="406"/>
    </row>
    <row r="191" spans="1:31" x14ac:dyDescent="0.25">
      <c r="A191" s="399">
        <v>180</v>
      </c>
      <c r="F191" s="407"/>
      <c r="K191" s="408"/>
      <c r="P191" s="409"/>
      <c r="U191" s="573"/>
      <c r="Z191" s="410"/>
      <c r="AA191" s="572"/>
      <c r="AB191" s="572"/>
      <c r="AC191" s="572"/>
      <c r="AD191" s="572"/>
      <c r="AE191" s="406"/>
    </row>
    <row r="192" spans="1:31" x14ac:dyDescent="0.25">
      <c r="A192" s="399">
        <v>181</v>
      </c>
      <c r="F192" s="407"/>
      <c r="K192" s="408"/>
      <c r="P192" s="409"/>
      <c r="U192" s="573"/>
      <c r="Z192" s="410"/>
      <c r="AA192" s="572"/>
      <c r="AB192" s="572"/>
      <c r="AC192" s="572"/>
      <c r="AD192" s="572"/>
      <c r="AE192" s="406"/>
    </row>
    <row r="193" spans="1:31" x14ac:dyDescent="0.25">
      <c r="A193" s="399">
        <v>182</v>
      </c>
      <c r="F193" s="407"/>
      <c r="K193" s="408"/>
      <c r="P193" s="409"/>
      <c r="U193" s="573"/>
      <c r="Z193" s="410"/>
      <c r="AA193" s="572"/>
      <c r="AB193" s="572"/>
      <c r="AC193" s="572"/>
      <c r="AD193" s="572"/>
      <c r="AE193" s="406"/>
    </row>
    <row r="194" spans="1:31" x14ac:dyDescent="0.25">
      <c r="A194" s="399">
        <v>183</v>
      </c>
      <c r="F194" s="407"/>
      <c r="K194" s="408"/>
      <c r="P194" s="409"/>
      <c r="U194" s="573"/>
      <c r="Z194" s="410"/>
      <c r="AA194" s="572"/>
      <c r="AB194" s="572"/>
      <c r="AC194" s="572"/>
      <c r="AD194" s="572"/>
      <c r="AE194" s="406"/>
    </row>
    <row r="195" spans="1:31" x14ac:dyDescent="0.25">
      <c r="A195" s="399">
        <v>184</v>
      </c>
      <c r="F195" s="407"/>
      <c r="K195" s="408"/>
      <c r="P195" s="409"/>
      <c r="U195" s="573"/>
      <c r="Z195" s="410"/>
      <c r="AA195" s="572"/>
      <c r="AB195" s="572"/>
      <c r="AC195" s="572"/>
      <c r="AD195" s="572"/>
      <c r="AE195" s="406"/>
    </row>
    <row r="196" spans="1:31" x14ac:dyDescent="0.25">
      <c r="A196" s="399">
        <v>185</v>
      </c>
      <c r="F196" s="407"/>
      <c r="K196" s="408"/>
      <c r="P196" s="409"/>
      <c r="U196" s="573"/>
      <c r="Z196" s="410"/>
      <c r="AA196" s="572"/>
      <c r="AB196" s="572"/>
      <c r="AC196" s="572"/>
      <c r="AD196" s="572"/>
      <c r="AE196" s="406"/>
    </row>
    <row r="197" spans="1:31" x14ac:dyDescent="0.25">
      <c r="A197" s="399">
        <v>186</v>
      </c>
      <c r="F197" s="407"/>
      <c r="K197" s="408"/>
      <c r="P197" s="409"/>
      <c r="U197" s="573"/>
      <c r="Z197" s="410"/>
      <c r="AA197" s="572"/>
      <c r="AB197" s="572"/>
      <c r="AC197" s="572"/>
      <c r="AD197" s="572"/>
      <c r="AE197" s="406"/>
    </row>
    <row r="198" spans="1:31" x14ac:dyDescent="0.25">
      <c r="A198" s="399">
        <v>187</v>
      </c>
      <c r="F198" s="407"/>
      <c r="K198" s="408"/>
      <c r="P198" s="409"/>
      <c r="U198" s="573"/>
      <c r="Z198" s="410"/>
      <c r="AA198" s="572"/>
      <c r="AB198" s="572"/>
      <c r="AC198" s="572"/>
      <c r="AD198" s="572"/>
      <c r="AE198" s="406"/>
    </row>
    <row r="199" spans="1:31" x14ac:dyDescent="0.25">
      <c r="A199" s="399">
        <v>188</v>
      </c>
      <c r="F199" s="407"/>
      <c r="K199" s="408"/>
      <c r="P199" s="409"/>
      <c r="U199" s="573"/>
      <c r="Z199" s="410"/>
      <c r="AA199" s="572"/>
      <c r="AB199" s="572"/>
      <c r="AC199" s="572"/>
      <c r="AD199" s="572"/>
      <c r="AE199" s="406"/>
    </row>
    <row r="200" spans="1:31" x14ac:dyDescent="0.25">
      <c r="A200" s="399">
        <v>189</v>
      </c>
      <c r="F200" s="407"/>
      <c r="K200" s="408"/>
      <c r="P200" s="409"/>
      <c r="U200" s="573"/>
      <c r="Z200" s="410"/>
      <c r="AA200" s="572"/>
      <c r="AB200" s="572"/>
      <c r="AC200" s="572"/>
      <c r="AD200" s="572"/>
      <c r="AE200" s="406"/>
    </row>
    <row r="201" spans="1:31" x14ac:dyDescent="0.25">
      <c r="A201" s="399">
        <v>190</v>
      </c>
      <c r="F201" s="407"/>
      <c r="K201" s="408"/>
      <c r="P201" s="409"/>
      <c r="U201" s="573"/>
      <c r="Z201" s="410"/>
      <c r="AA201" s="572"/>
      <c r="AB201" s="572"/>
      <c r="AC201" s="572"/>
      <c r="AD201" s="572"/>
      <c r="AE201" s="406"/>
    </row>
    <row r="202" spans="1:31" x14ac:dyDescent="0.25">
      <c r="A202" s="399">
        <v>191</v>
      </c>
      <c r="F202" s="407"/>
      <c r="K202" s="408"/>
      <c r="P202" s="409"/>
      <c r="U202" s="573"/>
      <c r="Z202" s="410"/>
      <c r="AA202" s="572"/>
      <c r="AB202" s="572"/>
      <c r="AC202" s="572"/>
      <c r="AD202" s="572"/>
      <c r="AE202" s="406"/>
    </row>
    <row r="203" spans="1:31" x14ac:dyDescent="0.25">
      <c r="A203" s="399">
        <v>192</v>
      </c>
      <c r="F203" s="407"/>
      <c r="K203" s="408"/>
      <c r="P203" s="409"/>
      <c r="U203" s="573"/>
      <c r="Z203" s="410"/>
      <c r="AA203" s="572"/>
      <c r="AB203" s="572"/>
      <c r="AC203" s="572"/>
      <c r="AD203" s="572"/>
      <c r="AE203" s="406"/>
    </row>
    <row r="204" spans="1:31" x14ac:dyDescent="0.25">
      <c r="A204" s="399">
        <v>193</v>
      </c>
      <c r="F204" s="407"/>
      <c r="K204" s="408"/>
      <c r="P204" s="409"/>
      <c r="U204" s="573"/>
      <c r="Z204" s="410"/>
      <c r="AA204" s="572"/>
      <c r="AB204" s="572"/>
      <c r="AC204" s="572"/>
      <c r="AD204" s="572"/>
      <c r="AE204" s="406"/>
    </row>
    <row r="205" spans="1:31" x14ac:dyDescent="0.25">
      <c r="A205" s="399">
        <v>194</v>
      </c>
      <c r="F205" s="407"/>
      <c r="K205" s="408"/>
      <c r="P205" s="409"/>
      <c r="U205" s="573"/>
      <c r="Z205" s="410"/>
      <c r="AA205" s="572"/>
      <c r="AB205" s="572"/>
      <c r="AC205" s="572"/>
      <c r="AD205" s="572"/>
      <c r="AE205" s="406"/>
    </row>
    <row r="206" spans="1:31" x14ac:dyDescent="0.25">
      <c r="A206" s="399">
        <v>195</v>
      </c>
      <c r="F206" s="407"/>
      <c r="K206" s="408"/>
      <c r="P206" s="409"/>
      <c r="U206" s="573"/>
      <c r="Z206" s="410"/>
      <c r="AA206" s="572"/>
      <c r="AB206" s="572"/>
      <c r="AC206" s="572"/>
      <c r="AD206" s="572"/>
      <c r="AE206" s="406"/>
    </row>
    <row r="207" spans="1:31" x14ac:dyDescent="0.25">
      <c r="A207" s="399">
        <v>196</v>
      </c>
      <c r="F207" s="407"/>
      <c r="K207" s="408"/>
      <c r="P207" s="409"/>
      <c r="U207" s="573"/>
      <c r="Z207" s="410"/>
      <c r="AA207" s="572"/>
      <c r="AB207" s="572"/>
      <c r="AC207" s="572"/>
      <c r="AD207" s="572"/>
      <c r="AE207" s="406"/>
    </row>
    <row r="208" spans="1:31" x14ac:dyDescent="0.25">
      <c r="A208" s="399">
        <v>197</v>
      </c>
      <c r="F208" s="407"/>
      <c r="K208" s="408"/>
      <c r="P208" s="409"/>
      <c r="U208" s="573"/>
      <c r="Z208" s="410"/>
      <c r="AA208" s="572"/>
      <c r="AB208" s="572"/>
      <c r="AC208" s="572"/>
      <c r="AD208" s="572"/>
      <c r="AE208" s="406"/>
    </row>
    <row r="209" spans="1:31" x14ac:dyDescent="0.25">
      <c r="A209" s="399">
        <v>198</v>
      </c>
      <c r="F209" s="407"/>
      <c r="K209" s="408"/>
      <c r="P209" s="409"/>
      <c r="U209" s="573"/>
      <c r="Z209" s="410"/>
      <c r="AA209" s="572"/>
      <c r="AB209" s="572"/>
      <c r="AC209" s="572"/>
      <c r="AD209" s="572"/>
      <c r="AE209" s="406"/>
    </row>
    <row r="210" spans="1:31" x14ac:dyDescent="0.25">
      <c r="A210" s="399">
        <v>199</v>
      </c>
      <c r="F210" s="407"/>
      <c r="K210" s="408"/>
      <c r="P210" s="409"/>
      <c r="U210" s="573"/>
      <c r="Z210" s="410"/>
      <c r="AA210" s="572"/>
      <c r="AB210" s="572"/>
      <c r="AC210" s="572"/>
      <c r="AD210" s="572"/>
      <c r="AE210" s="406"/>
    </row>
    <row r="211" spans="1:31" x14ac:dyDescent="0.25">
      <c r="A211" s="399">
        <v>200</v>
      </c>
      <c r="F211" s="407"/>
      <c r="K211" s="408"/>
      <c r="P211" s="409"/>
      <c r="U211" s="573"/>
      <c r="Z211" s="410"/>
      <c r="AA211" s="572"/>
      <c r="AB211" s="572"/>
      <c r="AC211" s="572"/>
      <c r="AD211" s="572"/>
      <c r="AE211" s="406"/>
    </row>
    <row r="212" spans="1:31" x14ac:dyDescent="0.25">
      <c r="A212" s="399">
        <v>201</v>
      </c>
      <c r="F212" s="407"/>
      <c r="K212" s="408"/>
      <c r="P212" s="409"/>
      <c r="U212" s="573"/>
      <c r="Z212" s="410"/>
      <c r="AA212" s="572"/>
      <c r="AB212" s="572"/>
      <c r="AC212" s="572"/>
      <c r="AD212" s="572"/>
      <c r="AE212" s="406"/>
    </row>
    <row r="213" spans="1:31" x14ac:dyDescent="0.25">
      <c r="A213" s="399">
        <v>202</v>
      </c>
      <c r="F213" s="407"/>
      <c r="K213" s="408"/>
      <c r="P213" s="409"/>
      <c r="U213" s="573"/>
      <c r="Z213" s="410"/>
      <c r="AA213" s="572"/>
      <c r="AB213" s="572"/>
      <c r="AC213" s="572"/>
      <c r="AD213" s="572"/>
      <c r="AE213" s="406"/>
    </row>
    <row r="214" spans="1:31" x14ac:dyDescent="0.25">
      <c r="A214" s="399">
        <v>203</v>
      </c>
      <c r="F214" s="407"/>
      <c r="K214" s="408"/>
      <c r="P214" s="409"/>
      <c r="U214" s="573"/>
      <c r="Z214" s="410"/>
      <c r="AA214" s="572"/>
      <c r="AB214" s="572"/>
      <c r="AC214" s="572"/>
      <c r="AD214" s="572"/>
      <c r="AE214" s="406"/>
    </row>
    <row r="215" spans="1:31" x14ac:dyDescent="0.25">
      <c r="A215" s="399">
        <v>204</v>
      </c>
      <c r="F215" s="407"/>
      <c r="K215" s="408"/>
      <c r="P215" s="409"/>
      <c r="U215" s="573"/>
      <c r="Z215" s="410"/>
      <c r="AA215" s="572"/>
      <c r="AB215" s="572"/>
      <c r="AC215" s="572"/>
      <c r="AD215" s="572"/>
      <c r="AE215" s="406"/>
    </row>
    <row r="216" spans="1:31" x14ac:dyDescent="0.25">
      <c r="A216" s="399">
        <v>205</v>
      </c>
      <c r="F216" s="407"/>
      <c r="K216" s="408"/>
      <c r="P216" s="409"/>
      <c r="U216" s="573"/>
      <c r="Z216" s="410"/>
      <c r="AA216" s="572"/>
      <c r="AB216" s="572"/>
      <c r="AC216" s="572"/>
      <c r="AD216" s="572"/>
      <c r="AE216" s="406"/>
    </row>
    <row r="217" spans="1:31" x14ac:dyDescent="0.25">
      <c r="A217" s="399">
        <v>206</v>
      </c>
      <c r="F217" s="407"/>
      <c r="K217" s="408"/>
      <c r="P217" s="409"/>
      <c r="U217" s="573"/>
      <c r="Z217" s="410"/>
      <c r="AA217" s="572"/>
      <c r="AB217" s="572"/>
      <c r="AC217" s="572"/>
      <c r="AD217" s="572"/>
      <c r="AE217" s="406"/>
    </row>
    <row r="218" spans="1:31" x14ac:dyDescent="0.25">
      <c r="A218" s="399">
        <v>207</v>
      </c>
      <c r="F218" s="407"/>
      <c r="K218" s="408"/>
      <c r="P218" s="409"/>
      <c r="U218" s="573"/>
      <c r="Z218" s="410"/>
      <c r="AA218" s="572"/>
      <c r="AB218" s="572"/>
      <c r="AC218" s="572"/>
      <c r="AD218" s="572"/>
      <c r="AE218" s="406"/>
    </row>
    <row r="219" spans="1:31" x14ac:dyDescent="0.25">
      <c r="A219" s="399">
        <v>208</v>
      </c>
      <c r="F219" s="407"/>
      <c r="K219" s="408"/>
      <c r="P219" s="409"/>
      <c r="U219" s="573"/>
      <c r="Z219" s="410"/>
      <c r="AA219" s="572"/>
      <c r="AB219" s="572"/>
      <c r="AC219" s="572"/>
      <c r="AD219" s="572"/>
      <c r="AE219" s="406"/>
    </row>
    <row r="220" spans="1:31" x14ac:dyDescent="0.25">
      <c r="A220" s="399">
        <v>209</v>
      </c>
      <c r="F220" s="407"/>
      <c r="K220" s="408"/>
      <c r="P220" s="409"/>
      <c r="U220" s="573"/>
      <c r="Z220" s="410"/>
      <c r="AA220" s="572"/>
      <c r="AB220" s="572"/>
      <c r="AC220" s="572"/>
      <c r="AD220" s="572"/>
      <c r="AE220" s="406"/>
    </row>
    <row r="221" spans="1:31" x14ac:dyDescent="0.25">
      <c r="A221" s="399">
        <v>210</v>
      </c>
      <c r="F221" s="407"/>
      <c r="K221" s="408"/>
      <c r="P221" s="409"/>
      <c r="U221" s="573"/>
      <c r="Z221" s="410"/>
      <c r="AA221" s="572"/>
      <c r="AB221" s="572"/>
      <c r="AC221" s="572"/>
      <c r="AD221" s="572"/>
      <c r="AE221" s="406"/>
    </row>
    <row r="222" spans="1:31" x14ac:dyDescent="0.25">
      <c r="A222" s="399">
        <v>211</v>
      </c>
      <c r="F222" s="407"/>
      <c r="K222" s="408"/>
      <c r="P222" s="409"/>
      <c r="U222" s="573"/>
      <c r="Z222" s="410"/>
      <c r="AA222" s="572"/>
      <c r="AB222" s="572"/>
      <c r="AC222" s="572"/>
      <c r="AD222" s="572"/>
      <c r="AE222" s="406"/>
    </row>
    <row r="223" spans="1:31" x14ac:dyDescent="0.25">
      <c r="A223" s="399">
        <v>212</v>
      </c>
      <c r="F223" s="407"/>
      <c r="K223" s="408"/>
      <c r="P223" s="409"/>
      <c r="U223" s="573"/>
      <c r="Z223" s="410"/>
      <c r="AA223" s="572"/>
      <c r="AB223" s="572"/>
      <c r="AC223" s="572"/>
      <c r="AD223" s="572"/>
      <c r="AE223" s="406"/>
    </row>
    <row r="224" spans="1:31" x14ac:dyDescent="0.25">
      <c r="A224" s="399">
        <v>213</v>
      </c>
      <c r="F224" s="407"/>
      <c r="K224" s="408"/>
      <c r="P224" s="409"/>
      <c r="U224" s="573"/>
      <c r="Z224" s="410"/>
      <c r="AA224" s="572"/>
      <c r="AB224" s="572"/>
      <c r="AC224" s="572"/>
      <c r="AD224" s="572"/>
      <c r="AE224" s="406"/>
    </row>
    <row r="225" spans="1:31" x14ac:dyDescent="0.25">
      <c r="A225" s="399">
        <v>214</v>
      </c>
      <c r="F225" s="407"/>
      <c r="K225" s="408"/>
      <c r="P225" s="409"/>
      <c r="U225" s="573"/>
      <c r="Z225" s="410"/>
      <c r="AA225" s="572"/>
      <c r="AB225" s="572"/>
      <c r="AC225" s="572"/>
      <c r="AD225" s="572"/>
      <c r="AE225" s="406"/>
    </row>
    <row r="226" spans="1:31" x14ac:dyDescent="0.25">
      <c r="A226" s="399">
        <v>215</v>
      </c>
      <c r="F226" s="407"/>
      <c r="K226" s="408"/>
      <c r="P226" s="409"/>
      <c r="U226" s="573"/>
      <c r="Z226" s="410"/>
      <c r="AA226" s="572"/>
      <c r="AB226" s="572"/>
      <c r="AC226" s="572"/>
      <c r="AD226" s="572"/>
      <c r="AE226" s="406"/>
    </row>
    <row r="227" spans="1:31" x14ac:dyDescent="0.25">
      <c r="A227" s="399">
        <v>216</v>
      </c>
      <c r="F227" s="407"/>
      <c r="K227" s="408"/>
      <c r="P227" s="409"/>
      <c r="U227" s="573"/>
      <c r="Z227" s="410"/>
      <c r="AA227" s="572"/>
      <c r="AB227" s="572"/>
      <c r="AC227" s="572"/>
      <c r="AD227" s="572"/>
      <c r="AE227" s="406"/>
    </row>
    <row r="228" spans="1:31" x14ac:dyDescent="0.25">
      <c r="A228" s="399">
        <v>217</v>
      </c>
      <c r="F228" s="407"/>
      <c r="K228" s="408"/>
      <c r="P228" s="409"/>
      <c r="U228" s="573"/>
      <c r="Z228" s="410"/>
      <c r="AA228" s="572"/>
      <c r="AB228" s="572"/>
      <c r="AC228" s="572"/>
      <c r="AD228" s="572"/>
      <c r="AE228" s="406"/>
    </row>
    <row r="229" spans="1:31" x14ac:dyDescent="0.25">
      <c r="A229" s="399">
        <v>218</v>
      </c>
      <c r="F229" s="407"/>
      <c r="K229" s="408"/>
      <c r="P229" s="409"/>
      <c r="U229" s="573"/>
      <c r="Z229" s="410"/>
      <c r="AA229" s="572"/>
      <c r="AB229" s="572"/>
      <c r="AC229" s="572"/>
      <c r="AD229" s="572"/>
      <c r="AE229" s="406"/>
    </row>
    <row r="230" spans="1:31" x14ac:dyDescent="0.25">
      <c r="A230" s="399">
        <v>219</v>
      </c>
      <c r="F230" s="407"/>
      <c r="K230" s="408"/>
      <c r="P230" s="409"/>
      <c r="U230" s="573"/>
      <c r="Z230" s="410"/>
      <c r="AA230" s="572"/>
      <c r="AB230" s="572"/>
      <c r="AC230" s="572"/>
      <c r="AD230" s="572"/>
      <c r="AE230" s="406"/>
    </row>
    <row r="231" spans="1:31" x14ac:dyDescent="0.25">
      <c r="A231" s="399">
        <v>220</v>
      </c>
      <c r="F231" s="407"/>
      <c r="K231" s="408"/>
      <c r="P231" s="409"/>
      <c r="U231" s="573"/>
      <c r="Z231" s="410"/>
      <c r="AA231" s="572"/>
      <c r="AB231" s="572"/>
      <c r="AC231" s="572"/>
      <c r="AD231" s="572"/>
      <c r="AE231" s="406"/>
    </row>
    <row r="232" spans="1:31" x14ac:dyDescent="0.25">
      <c r="A232" s="399">
        <v>221</v>
      </c>
      <c r="F232" s="407"/>
      <c r="K232" s="408"/>
      <c r="P232" s="409"/>
      <c r="U232" s="573"/>
      <c r="Z232" s="410"/>
      <c r="AA232" s="572"/>
      <c r="AB232" s="572"/>
      <c r="AC232" s="572"/>
      <c r="AD232" s="572"/>
      <c r="AE232" s="406"/>
    </row>
    <row r="233" spans="1:31" x14ac:dyDescent="0.25">
      <c r="A233" s="399">
        <v>222</v>
      </c>
      <c r="F233" s="407"/>
      <c r="K233" s="408"/>
      <c r="P233" s="409"/>
      <c r="U233" s="573"/>
      <c r="Z233" s="410"/>
      <c r="AA233" s="572"/>
      <c r="AB233" s="572"/>
      <c r="AC233" s="572"/>
      <c r="AD233" s="572"/>
      <c r="AE233" s="406"/>
    </row>
    <row r="234" spans="1:31" x14ac:dyDescent="0.25">
      <c r="A234" s="399">
        <v>223</v>
      </c>
      <c r="F234" s="407"/>
      <c r="K234" s="408"/>
      <c r="P234" s="409"/>
      <c r="U234" s="573"/>
      <c r="Z234" s="410"/>
      <c r="AA234" s="572"/>
      <c r="AB234" s="572"/>
      <c r="AC234" s="572"/>
      <c r="AD234" s="572"/>
      <c r="AE234" s="406"/>
    </row>
    <row r="235" spans="1:31" x14ac:dyDescent="0.25">
      <c r="A235" s="399">
        <v>224</v>
      </c>
      <c r="F235" s="407"/>
      <c r="K235" s="408"/>
      <c r="P235" s="409"/>
      <c r="U235" s="573"/>
      <c r="Z235" s="410"/>
      <c r="AA235" s="572"/>
      <c r="AB235" s="572"/>
      <c r="AC235" s="572"/>
      <c r="AD235" s="572"/>
      <c r="AE235" s="406"/>
    </row>
    <row r="236" spans="1:31" x14ac:dyDescent="0.25">
      <c r="A236" s="399">
        <v>225</v>
      </c>
      <c r="F236" s="407"/>
      <c r="K236" s="408"/>
      <c r="P236" s="409"/>
      <c r="U236" s="573"/>
      <c r="Z236" s="410"/>
      <c r="AA236" s="572"/>
      <c r="AB236" s="572"/>
      <c r="AC236" s="572"/>
      <c r="AD236" s="572"/>
      <c r="AE236" s="406"/>
    </row>
    <row r="237" spans="1:31" x14ac:dyDescent="0.25">
      <c r="A237" s="399">
        <v>226</v>
      </c>
      <c r="F237" s="407"/>
      <c r="K237" s="408"/>
      <c r="P237" s="409"/>
      <c r="U237" s="573"/>
      <c r="Z237" s="410"/>
      <c r="AA237" s="572"/>
      <c r="AB237" s="572"/>
      <c r="AC237" s="572"/>
      <c r="AD237" s="572"/>
      <c r="AE237" s="406"/>
    </row>
    <row r="238" spans="1:31" x14ac:dyDescent="0.25">
      <c r="A238" s="399">
        <v>227</v>
      </c>
      <c r="F238" s="407"/>
      <c r="K238" s="408"/>
      <c r="P238" s="409"/>
      <c r="U238" s="573"/>
      <c r="Z238" s="410"/>
      <c r="AA238" s="572"/>
      <c r="AB238" s="572"/>
      <c r="AC238" s="572"/>
      <c r="AD238" s="572"/>
      <c r="AE238" s="406"/>
    </row>
    <row r="239" spans="1:31" x14ac:dyDescent="0.25">
      <c r="A239" s="399">
        <v>228</v>
      </c>
      <c r="F239" s="407"/>
      <c r="K239" s="408"/>
      <c r="P239" s="409"/>
      <c r="U239" s="573"/>
      <c r="Z239" s="410"/>
      <c r="AA239" s="572"/>
      <c r="AB239" s="572"/>
      <c r="AC239" s="572"/>
      <c r="AD239" s="572"/>
      <c r="AE239" s="406"/>
    </row>
    <row r="240" spans="1:31" x14ac:dyDescent="0.25">
      <c r="A240" s="399">
        <v>229</v>
      </c>
      <c r="F240" s="407"/>
      <c r="K240" s="408"/>
      <c r="P240" s="409"/>
      <c r="U240" s="573"/>
      <c r="Z240" s="410"/>
      <c r="AA240" s="572"/>
      <c r="AB240" s="572"/>
      <c r="AC240" s="572"/>
      <c r="AD240" s="572"/>
      <c r="AE240" s="406"/>
    </row>
    <row r="241" spans="1:31" x14ac:dyDescent="0.25">
      <c r="A241" s="399">
        <v>230</v>
      </c>
      <c r="F241" s="407"/>
      <c r="K241" s="408"/>
      <c r="P241" s="409"/>
      <c r="U241" s="573"/>
      <c r="Z241" s="410"/>
      <c r="AA241" s="572"/>
      <c r="AB241" s="572"/>
      <c r="AC241" s="572"/>
      <c r="AD241" s="572"/>
      <c r="AE241" s="406"/>
    </row>
    <row r="242" spans="1:31" x14ac:dyDescent="0.25">
      <c r="A242" s="399">
        <v>231</v>
      </c>
      <c r="F242" s="407"/>
      <c r="K242" s="408"/>
      <c r="P242" s="409"/>
      <c r="U242" s="573"/>
      <c r="Z242" s="410"/>
      <c r="AA242" s="572"/>
      <c r="AB242" s="572"/>
      <c r="AC242" s="572"/>
      <c r="AD242" s="572"/>
      <c r="AE242" s="406"/>
    </row>
    <row r="243" spans="1:31" x14ac:dyDescent="0.25">
      <c r="A243" s="399">
        <v>232</v>
      </c>
      <c r="F243" s="407"/>
      <c r="K243" s="408"/>
      <c r="P243" s="409"/>
      <c r="U243" s="573"/>
      <c r="Z243" s="410"/>
      <c r="AA243" s="572"/>
      <c r="AB243" s="572"/>
      <c r="AC243" s="572"/>
      <c r="AD243" s="572"/>
      <c r="AE243" s="406"/>
    </row>
    <row r="244" spans="1:31" x14ac:dyDescent="0.25">
      <c r="A244" s="399">
        <v>233</v>
      </c>
      <c r="F244" s="407"/>
      <c r="K244" s="408"/>
      <c r="P244" s="409"/>
      <c r="U244" s="573"/>
      <c r="Z244" s="410"/>
      <c r="AA244" s="572"/>
      <c r="AB244" s="572"/>
      <c r="AC244" s="572"/>
      <c r="AD244" s="572"/>
      <c r="AE244" s="406"/>
    </row>
    <row r="245" spans="1:31" x14ac:dyDescent="0.25">
      <c r="A245" s="399">
        <v>234</v>
      </c>
      <c r="F245" s="407"/>
      <c r="K245" s="408"/>
      <c r="P245" s="409"/>
      <c r="U245" s="573"/>
      <c r="Z245" s="410"/>
      <c r="AA245" s="572"/>
      <c r="AB245" s="572"/>
      <c r="AC245" s="572"/>
      <c r="AD245" s="572"/>
      <c r="AE245" s="406"/>
    </row>
    <row r="246" spans="1:31" x14ac:dyDescent="0.25">
      <c r="A246" s="399">
        <v>235</v>
      </c>
      <c r="F246" s="407"/>
      <c r="K246" s="408"/>
      <c r="P246" s="409"/>
      <c r="U246" s="573"/>
      <c r="Z246" s="410"/>
      <c r="AA246" s="572"/>
      <c r="AB246" s="572"/>
      <c r="AC246" s="572"/>
      <c r="AD246" s="572"/>
      <c r="AE246" s="406"/>
    </row>
    <row r="247" spans="1:31" x14ac:dyDescent="0.25">
      <c r="A247" s="399">
        <v>236</v>
      </c>
      <c r="F247" s="407"/>
      <c r="K247" s="408"/>
      <c r="P247" s="409"/>
      <c r="U247" s="573"/>
      <c r="Z247" s="410"/>
      <c r="AA247" s="572"/>
      <c r="AB247" s="572"/>
      <c r="AC247" s="572"/>
      <c r="AD247" s="572"/>
      <c r="AE247" s="406"/>
    </row>
    <row r="248" spans="1:31" x14ac:dyDescent="0.25">
      <c r="A248" s="399">
        <v>237</v>
      </c>
      <c r="F248" s="407"/>
      <c r="K248" s="408"/>
      <c r="P248" s="409"/>
      <c r="U248" s="573"/>
      <c r="Z248" s="410"/>
      <c r="AA248" s="572"/>
      <c r="AB248" s="572"/>
      <c r="AC248" s="572"/>
      <c r="AD248" s="572"/>
      <c r="AE248" s="406"/>
    </row>
    <row r="249" spans="1:31" x14ac:dyDescent="0.25">
      <c r="A249" s="399">
        <v>238</v>
      </c>
      <c r="F249" s="407"/>
      <c r="K249" s="408"/>
      <c r="P249" s="409"/>
      <c r="U249" s="573"/>
      <c r="Z249" s="410"/>
      <c r="AA249" s="572"/>
      <c r="AB249" s="572"/>
      <c r="AC249" s="572"/>
      <c r="AD249" s="572"/>
      <c r="AE249" s="406"/>
    </row>
    <row r="250" spans="1:31" x14ac:dyDescent="0.25">
      <c r="A250" s="399">
        <v>239</v>
      </c>
      <c r="F250" s="407"/>
      <c r="K250" s="408"/>
      <c r="P250" s="409"/>
      <c r="U250" s="573"/>
      <c r="Z250" s="410"/>
      <c r="AA250" s="572"/>
      <c r="AB250" s="572"/>
      <c r="AC250" s="572"/>
      <c r="AD250" s="572"/>
      <c r="AE250" s="406"/>
    </row>
    <row r="251" spans="1:31" x14ac:dyDescent="0.25">
      <c r="A251" s="399">
        <v>240</v>
      </c>
      <c r="F251" s="407"/>
      <c r="K251" s="408"/>
      <c r="P251" s="409"/>
      <c r="U251" s="573"/>
      <c r="Z251" s="410"/>
      <c r="AA251" s="572"/>
      <c r="AB251" s="572"/>
      <c r="AC251" s="572"/>
      <c r="AD251" s="572"/>
      <c r="AE251" s="406"/>
    </row>
    <row r="252" spans="1:31" x14ac:dyDescent="0.25">
      <c r="A252" s="399">
        <v>241</v>
      </c>
      <c r="F252" s="407"/>
      <c r="K252" s="408"/>
      <c r="P252" s="409"/>
      <c r="U252" s="573"/>
      <c r="Z252" s="410"/>
      <c r="AA252" s="572"/>
      <c r="AB252" s="572"/>
      <c r="AC252" s="572"/>
      <c r="AD252" s="572"/>
      <c r="AE252" s="406"/>
    </row>
    <row r="253" spans="1:31" x14ac:dyDescent="0.25">
      <c r="A253" s="399">
        <v>242</v>
      </c>
      <c r="F253" s="407"/>
      <c r="K253" s="408"/>
      <c r="P253" s="409"/>
      <c r="U253" s="573"/>
      <c r="Z253" s="410"/>
      <c r="AA253" s="572"/>
      <c r="AB253" s="572"/>
      <c r="AC253" s="572"/>
      <c r="AD253" s="572"/>
      <c r="AE253" s="406"/>
    </row>
    <row r="254" spans="1:31" x14ac:dyDescent="0.25">
      <c r="A254" s="399">
        <v>243</v>
      </c>
      <c r="F254" s="407"/>
      <c r="K254" s="408"/>
      <c r="P254" s="409"/>
      <c r="U254" s="573"/>
      <c r="Z254" s="410"/>
      <c r="AA254" s="572"/>
      <c r="AB254" s="572"/>
      <c r="AC254" s="572"/>
      <c r="AD254" s="572"/>
      <c r="AE254" s="406"/>
    </row>
    <row r="255" spans="1:31" x14ac:dyDescent="0.25">
      <c r="A255" s="399">
        <v>244</v>
      </c>
      <c r="F255" s="407"/>
      <c r="K255" s="408"/>
      <c r="P255" s="409"/>
      <c r="U255" s="573"/>
      <c r="Z255" s="410"/>
      <c r="AA255" s="572"/>
      <c r="AB255" s="572"/>
      <c r="AC255" s="572"/>
      <c r="AD255" s="572"/>
      <c r="AE255" s="406"/>
    </row>
    <row r="256" spans="1:31" x14ac:dyDescent="0.25">
      <c r="A256" s="399">
        <v>245</v>
      </c>
      <c r="F256" s="407"/>
      <c r="K256" s="408"/>
      <c r="P256" s="409"/>
      <c r="U256" s="573"/>
      <c r="Z256" s="410"/>
      <c r="AA256" s="572"/>
      <c r="AB256" s="572"/>
      <c r="AC256" s="572"/>
      <c r="AD256" s="572"/>
      <c r="AE256" s="406"/>
    </row>
    <row r="257" spans="1:31" x14ac:dyDescent="0.25">
      <c r="A257" s="399">
        <v>246</v>
      </c>
      <c r="F257" s="407"/>
      <c r="K257" s="408"/>
      <c r="P257" s="409"/>
      <c r="U257" s="573"/>
      <c r="Z257" s="410"/>
      <c r="AA257" s="572"/>
      <c r="AB257" s="572"/>
      <c r="AC257" s="572"/>
      <c r="AD257" s="572"/>
      <c r="AE257" s="406"/>
    </row>
    <row r="258" spans="1:31" x14ac:dyDescent="0.25">
      <c r="A258" s="399">
        <v>247</v>
      </c>
      <c r="F258" s="407"/>
      <c r="K258" s="408"/>
      <c r="P258" s="409"/>
      <c r="U258" s="573"/>
      <c r="Z258" s="410"/>
      <c r="AA258" s="572"/>
      <c r="AB258" s="572"/>
      <c r="AC258" s="572"/>
      <c r="AD258" s="572"/>
      <c r="AE258" s="406"/>
    </row>
    <row r="259" spans="1:31" x14ac:dyDescent="0.25">
      <c r="A259" s="399">
        <v>248</v>
      </c>
      <c r="F259" s="407"/>
      <c r="K259" s="408"/>
      <c r="P259" s="409"/>
      <c r="U259" s="573"/>
      <c r="Z259" s="410"/>
      <c r="AA259" s="572"/>
      <c r="AB259" s="572"/>
      <c r="AC259" s="572"/>
      <c r="AD259" s="572"/>
      <c r="AE259" s="406"/>
    </row>
    <row r="260" spans="1:31" x14ac:dyDescent="0.25">
      <c r="A260" s="399">
        <v>249</v>
      </c>
      <c r="F260" s="407"/>
      <c r="K260" s="408"/>
      <c r="P260" s="409"/>
      <c r="U260" s="573"/>
      <c r="Z260" s="410"/>
      <c r="AA260" s="572"/>
      <c r="AB260" s="572"/>
      <c r="AC260" s="572"/>
      <c r="AD260" s="572"/>
      <c r="AE260" s="406"/>
    </row>
    <row r="261" spans="1:31" x14ac:dyDescent="0.25">
      <c r="A261" s="399">
        <v>250</v>
      </c>
      <c r="F261" s="407"/>
      <c r="K261" s="408"/>
      <c r="P261" s="409"/>
      <c r="U261" s="573"/>
      <c r="Z261" s="410"/>
      <c r="AA261" s="572"/>
      <c r="AB261" s="572"/>
      <c r="AC261" s="572"/>
      <c r="AD261" s="572"/>
      <c r="AE261" s="406"/>
    </row>
    <row r="262" spans="1:31" ht="15.75" thickBot="1" x14ac:dyDescent="0.3">
      <c r="A262" s="411"/>
      <c r="B262" s="510"/>
      <c r="C262" s="510"/>
      <c r="D262" s="510"/>
      <c r="E262" s="510"/>
      <c r="F262" s="510"/>
      <c r="G262" s="510"/>
      <c r="H262" s="510"/>
      <c r="I262" s="510"/>
      <c r="J262" s="510"/>
      <c r="K262" s="510"/>
      <c r="L262" s="510"/>
      <c r="M262" s="510"/>
      <c r="N262" s="510"/>
      <c r="O262" s="510"/>
      <c r="P262" s="510"/>
      <c r="Q262" s="510"/>
      <c r="R262" s="510"/>
      <c r="S262" s="510"/>
      <c r="T262" s="510"/>
      <c r="U262" s="510"/>
      <c r="V262" s="510"/>
      <c r="W262" s="510"/>
      <c r="X262" s="510"/>
      <c r="Y262" s="510"/>
      <c r="Z262" s="510"/>
      <c r="AA262" s="574"/>
      <c r="AB262" s="574"/>
      <c r="AC262" s="574"/>
      <c r="AD262" s="510"/>
      <c r="AE262" s="510"/>
    </row>
  </sheetData>
  <sheetProtection sheet="1" objects="1" scenarios="1"/>
  <mergeCells count="6">
    <mergeCell ref="AA1:AD1"/>
    <mergeCell ref="B1:E1"/>
    <mergeCell ref="G1:J1"/>
    <mergeCell ref="L1:O1"/>
    <mergeCell ref="Q1:T1"/>
    <mergeCell ref="V1:Y1"/>
  </mergeCells>
  <conditionalFormatting sqref="F6 F8">
    <cfRule type="expression" dxfId="34" priority="6">
      <formula>ISERR(F6)</formula>
    </cfRule>
  </conditionalFormatting>
  <conditionalFormatting sqref="K6 K8">
    <cfRule type="expression" dxfId="33" priority="5">
      <formula>ISERR(K6)</formula>
    </cfRule>
  </conditionalFormatting>
  <conditionalFormatting sqref="P6 P8">
    <cfRule type="expression" dxfId="32" priority="4">
      <formula>ISERR(P6)</formula>
    </cfRule>
  </conditionalFormatting>
  <conditionalFormatting sqref="U6 U8">
    <cfRule type="expression" dxfId="31" priority="3">
      <formula>ISERR(U6)</formula>
    </cfRule>
  </conditionalFormatting>
  <conditionalFormatting sqref="Z6 Z8">
    <cfRule type="expression" dxfId="30" priority="2">
      <formula>ISERR(Z6)</formula>
    </cfRule>
  </conditionalFormatting>
  <conditionalFormatting sqref="AE6 AE8">
    <cfRule type="expression" dxfId="29" priority="1">
      <formula>ISERR(AE6)</formula>
    </cfRule>
  </conditionalFormatting>
  <pageMargins left="0.7" right="0.7" top="0.75" bottom="0.75" header="0.3" footer="0.3"/>
  <pageSetup scale="40" fitToHeight="3" orientation="landscape"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E262"/>
  <sheetViews>
    <sheetView workbookViewId="0">
      <pane xSplit="1" ySplit="10" topLeftCell="B11" activePane="bottomRight" state="frozen"/>
      <selection activeCell="AA2" sqref="AA2:AD2"/>
      <selection pane="topRight" activeCell="AA2" sqref="AA2:AD2"/>
      <selection pane="bottomLeft" activeCell="AA2" sqref="AA2:AD2"/>
      <selection pane="bottomRight" activeCell="B11" sqref="B11"/>
    </sheetView>
  </sheetViews>
  <sheetFormatPr defaultColWidth="8.85546875" defaultRowHeight="15" x14ac:dyDescent="0.25"/>
  <cols>
    <col min="1" max="1" width="14.85546875" customWidth="1"/>
    <col min="2" max="2" width="8.42578125" customWidth="1"/>
    <col min="3" max="3" width="8.85546875" customWidth="1"/>
    <col min="6" max="6" width="10" customWidth="1"/>
    <col min="11" max="11" width="10" customWidth="1"/>
    <col min="16" max="16" width="10" customWidth="1"/>
    <col min="21" max="21" width="10" customWidth="1"/>
    <col min="26" max="26" width="10" customWidth="1"/>
    <col min="31" max="31" width="10" customWidth="1"/>
  </cols>
  <sheetData>
    <row r="1" spans="1:31" s="198" customFormat="1" ht="19.5" thickBot="1" x14ac:dyDescent="0.35">
      <c r="A1" s="197"/>
      <c r="B1" s="1465"/>
      <c r="C1" s="1466"/>
      <c r="D1" s="1466"/>
      <c r="E1" s="1467"/>
      <c r="F1" s="107"/>
      <c r="G1" s="1468"/>
      <c r="H1" s="1469"/>
      <c r="I1" s="1469"/>
      <c r="J1" s="1470"/>
      <c r="K1" s="107"/>
      <c r="L1" s="1471"/>
      <c r="M1" s="1472"/>
      <c r="N1" s="1472"/>
      <c r="O1" s="1473"/>
      <c r="P1" s="107"/>
      <c r="Q1" s="1474"/>
      <c r="R1" s="1475"/>
      <c r="S1" s="1475"/>
      <c r="T1" s="1476"/>
      <c r="U1" s="107"/>
      <c r="V1" s="1477"/>
      <c r="W1" s="1478"/>
      <c r="X1" s="1478"/>
      <c r="Y1" s="1479"/>
      <c r="Z1" s="107"/>
      <c r="AA1" s="1462"/>
      <c r="AB1" s="1463"/>
      <c r="AC1" s="1463"/>
      <c r="AD1" s="1464"/>
      <c r="AE1" s="205"/>
    </row>
    <row r="2" spans="1:31" ht="108" customHeight="1" thickBot="1" x14ac:dyDescent="0.3">
      <c r="A2" s="38" t="s">
        <v>3</v>
      </c>
      <c r="B2" s="12"/>
      <c r="C2" s="13"/>
      <c r="D2" s="13"/>
      <c r="E2" s="14"/>
      <c r="F2" s="220"/>
      <c r="G2" s="22"/>
      <c r="H2" s="23"/>
      <c r="I2" s="23"/>
      <c r="J2" s="80"/>
      <c r="K2" s="103"/>
      <c r="L2" s="83"/>
      <c r="M2" s="15"/>
      <c r="N2" s="15"/>
      <c r="O2" s="81"/>
      <c r="P2" s="104"/>
      <c r="Q2" s="84"/>
      <c r="R2" s="17"/>
      <c r="S2" s="17"/>
      <c r="T2" s="82"/>
      <c r="U2" s="105"/>
      <c r="V2" s="85"/>
      <c r="W2" s="16"/>
      <c r="X2" s="16"/>
      <c r="Y2" s="24"/>
      <c r="Z2" s="106"/>
      <c r="AA2" s="226"/>
      <c r="AB2" s="227"/>
      <c r="AC2" s="227"/>
      <c r="AD2" s="228"/>
      <c r="AE2" s="209"/>
    </row>
    <row r="3" spans="1:31" x14ac:dyDescent="0.25">
      <c r="A3" s="36" t="s">
        <v>11</v>
      </c>
      <c r="B3" s="164"/>
      <c r="C3" s="165"/>
      <c r="D3" s="165"/>
      <c r="E3" s="166"/>
      <c r="F3" s="1124"/>
      <c r="G3" s="167"/>
      <c r="H3" s="168"/>
      <c r="I3" s="168"/>
      <c r="J3" s="173"/>
      <c r="K3" s="1126"/>
      <c r="L3" s="174"/>
      <c r="M3" s="169"/>
      <c r="N3" s="169"/>
      <c r="O3" s="175"/>
      <c r="P3" s="1128" t="s">
        <v>122</v>
      </c>
      <c r="Q3" s="176"/>
      <c r="R3" s="170"/>
      <c r="S3" s="170"/>
      <c r="T3" s="177"/>
      <c r="U3" s="1130" t="s">
        <v>122</v>
      </c>
      <c r="V3" s="178"/>
      <c r="W3" s="171"/>
      <c r="X3" s="171"/>
      <c r="Y3" s="172"/>
      <c r="Z3" s="1132" t="s">
        <v>122</v>
      </c>
      <c r="AA3" s="211"/>
      <c r="AB3" s="212"/>
      <c r="AC3" s="212"/>
      <c r="AD3" s="213"/>
      <c r="AE3" s="1133" t="s">
        <v>122</v>
      </c>
    </row>
    <row r="4" spans="1:31" ht="15.75" thickBot="1" x14ac:dyDescent="0.3">
      <c r="A4" s="36" t="s">
        <v>1</v>
      </c>
      <c r="B4" s="161"/>
      <c r="C4" s="162"/>
      <c r="D4" s="162"/>
      <c r="E4" s="149"/>
      <c r="F4" s="98"/>
      <c r="G4" s="150"/>
      <c r="H4" s="151"/>
      <c r="I4" s="151"/>
      <c r="J4" s="152"/>
      <c r="K4" s="101"/>
      <c r="L4" s="153"/>
      <c r="M4" s="154"/>
      <c r="N4" s="154"/>
      <c r="O4" s="155"/>
      <c r="P4" s="100"/>
      <c r="Q4" s="156"/>
      <c r="R4" s="157"/>
      <c r="S4" s="157"/>
      <c r="T4" s="158"/>
      <c r="U4" s="99"/>
      <c r="V4" s="159"/>
      <c r="W4" s="160"/>
      <c r="X4" s="160"/>
      <c r="Y4" s="163"/>
      <c r="Z4" s="102"/>
      <c r="AA4" s="222"/>
      <c r="AB4" s="223"/>
      <c r="AC4" s="223"/>
      <c r="AD4" s="224"/>
      <c r="AE4" s="210"/>
    </row>
    <row r="5" spans="1:31" x14ac:dyDescent="0.25">
      <c r="A5" s="36"/>
      <c r="B5" s="1327"/>
      <c r="C5" s="1328"/>
      <c r="D5" s="1328"/>
      <c r="E5" s="1329"/>
      <c r="F5" s="1125"/>
      <c r="G5" s="1339"/>
      <c r="H5" s="1340"/>
      <c r="I5" s="1340"/>
      <c r="J5" s="1341"/>
      <c r="K5" s="1127"/>
      <c r="L5" s="1351"/>
      <c r="M5" s="1352"/>
      <c r="N5" s="1352"/>
      <c r="O5" s="1353"/>
      <c r="P5" s="1129"/>
      <c r="Q5" s="1363"/>
      <c r="R5" s="1364"/>
      <c r="S5" s="1364"/>
      <c r="T5" s="1365"/>
      <c r="U5" s="1131"/>
      <c r="V5" s="1375"/>
      <c r="W5" s="1376"/>
      <c r="X5" s="1376"/>
      <c r="Y5" s="1377"/>
      <c r="Z5" s="71"/>
      <c r="AA5" s="1387"/>
      <c r="AB5" s="1388"/>
      <c r="AC5" s="1388"/>
      <c r="AD5" s="1389"/>
      <c r="AE5" s="225"/>
    </row>
    <row r="6" spans="1:31" x14ac:dyDescent="0.25">
      <c r="A6" s="36"/>
      <c r="B6" s="1330"/>
      <c r="C6" s="1331"/>
      <c r="D6" s="1331"/>
      <c r="E6" s="1332"/>
      <c r="F6" s="1125"/>
      <c r="G6" s="1342"/>
      <c r="H6" s="1343"/>
      <c r="I6" s="1343"/>
      <c r="J6" s="1344"/>
      <c r="K6" s="1127"/>
      <c r="L6" s="1354"/>
      <c r="M6" s="1355"/>
      <c r="N6" s="1355"/>
      <c r="O6" s="1356"/>
      <c r="P6" s="1129"/>
      <c r="Q6" s="1366"/>
      <c r="R6" s="1367"/>
      <c r="S6" s="1367"/>
      <c r="T6" s="1368"/>
      <c r="U6" s="1131"/>
      <c r="V6" s="1378"/>
      <c r="W6" s="1379"/>
      <c r="X6" s="1379"/>
      <c r="Y6" s="1380"/>
      <c r="Z6" s="71"/>
      <c r="AA6" s="1390"/>
      <c r="AB6" s="1391"/>
      <c r="AC6" s="1391"/>
      <c r="AD6" s="1392"/>
      <c r="AE6" s="225"/>
    </row>
    <row r="7" spans="1:31" x14ac:dyDescent="0.25">
      <c r="A7" s="36"/>
      <c r="B7" s="1333"/>
      <c r="C7" s="1334"/>
      <c r="D7" s="1334"/>
      <c r="E7" s="1335"/>
      <c r="F7" s="1134"/>
      <c r="G7" s="1345"/>
      <c r="H7" s="1346"/>
      <c r="I7" s="1346"/>
      <c r="J7" s="1347"/>
      <c r="K7" s="1135"/>
      <c r="L7" s="1357"/>
      <c r="M7" s="1358"/>
      <c r="N7" s="1358"/>
      <c r="O7" s="1359"/>
      <c r="P7" s="1136"/>
      <c r="Q7" s="1369"/>
      <c r="R7" s="1370"/>
      <c r="S7" s="1370"/>
      <c r="T7" s="1371"/>
      <c r="U7" s="1137"/>
      <c r="V7" s="1381"/>
      <c r="W7" s="1382"/>
      <c r="X7" s="1382"/>
      <c r="Y7" s="1383"/>
      <c r="Z7" s="1138"/>
      <c r="AA7" s="1393"/>
      <c r="AB7" s="1394"/>
      <c r="AC7" s="1394"/>
      <c r="AD7" s="1395"/>
      <c r="AE7" s="1139"/>
    </row>
    <row r="8" spans="1:31" ht="15.75" thickBot="1" x14ac:dyDescent="0.3">
      <c r="A8" s="36"/>
      <c r="B8" s="1336"/>
      <c r="C8" s="1337"/>
      <c r="D8" s="1337"/>
      <c r="E8" s="1338"/>
      <c r="F8" s="1118"/>
      <c r="G8" s="1348"/>
      <c r="H8" s="1349"/>
      <c r="I8" s="1349"/>
      <c r="J8" s="1350"/>
      <c r="K8" s="1119"/>
      <c r="L8" s="1360"/>
      <c r="M8" s="1361"/>
      <c r="N8" s="1361"/>
      <c r="O8" s="1362"/>
      <c r="P8" s="1120"/>
      <c r="Q8" s="1372"/>
      <c r="R8" s="1373"/>
      <c r="S8" s="1373"/>
      <c r="T8" s="1374"/>
      <c r="U8" s="1121"/>
      <c r="V8" s="1384"/>
      <c r="W8" s="1385"/>
      <c r="X8" s="1385"/>
      <c r="Y8" s="1386"/>
      <c r="Z8" s="1122"/>
      <c r="AA8" s="1396"/>
      <c r="AB8" s="1397"/>
      <c r="AC8" s="1397"/>
      <c r="AD8" s="1398"/>
      <c r="AE8" s="1123"/>
    </row>
    <row r="9" spans="1:31" ht="15.75" thickBot="1" x14ac:dyDescent="0.3">
      <c r="A9" s="36" t="s">
        <v>7</v>
      </c>
      <c r="B9" s="18"/>
      <c r="C9" s="19"/>
      <c r="D9" s="19"/>
      <c r="E9" s="25"/>
      <c r="F9" s="1112"/>
      <c r="G9" s="28"/>
      <c r="H9" s="29"/>
      <c r="I9" s="29"/>
      <c r="J9" s="26"/>
      <c r="K9" s="1113"/>
      <c r="L9" s="30"/>
      <c r="M9" s="31"/>
      <c r="N9" s="31"/>
      <c r="O9" s="27"/>
      <c r="P9" s="1114"/>
      <c r="Q9" s="20"/>
      <c r="R9" s="21"/>
      <c r="S9" s="21"/>
      <c r="T9" s="32"/>
      <c r="U9" s="1115"/>
      <c r="V9" s="33"/>
      <c r="W9" s="34"/>
      <c r="X9" s="34"/>
      <c r="Y9" s="35"/>
      <c r="Z9" s="1116"/>
      <c r="AA9" s="229"/>
      <c r="AB9" s="230"/>
      <c r="AC9" s="230"/>
      <c r="AD9" s="231"/>
      <c r="AE9" s="1117"/>
    </row>
    <row r="10" spans="1:31" ht="73.5" customHeight="1" thickBot="1" x14ac:dyDescent="0.3">
      <c r="A10" s="37" t="s">
        <v>0</v>
      </c>
      <c r="B10" s="54"/>
      <c r="C10" s="55"/>
      <c r="D10" s="55"/>
      <c r="E10" s="56"/>
      <c r="F10" s="93"/>
      <c r="G10" s="57"/>
      <c r="H10" s="58"/>
      <c r="I10" s="58"/>
      <c r="J10" s="59"/>
      <c r="K10" s="94"/>
      <c r="L10" s="60"/>
      <c r="M10" s="61"/>
      <c r="N10" s="61"/>
      <c r="O10" s="62"/>
      <c r="P10" s="95"/>
      <c r="Q10" s="63"/>
      <c r="R10" s="64"/>
      <c r="S10" s="64"/>
      <c r="T10" s="65"/>
      <c r="U10" s="96"/>
      <c r="V10" s="66"/>
      <c r="W10" s="67"/>
      <c r="X10" s="67"/>
      <c r="Y10" s="68"/>
      <c r="Z10" s="97"/>
      <c r="AA10" s="217"/>
      <c r="AB10" s="218"/>
      <c r="AC10" s="218"/>
      <c r="AD10" s="219"/>
      <c r="AE10" s="232"/>
    </row>
    <row r="11" spans="1:31" x14ac:dyDescent="0.25">
      <c r="A11" s="108">
        <v>0</v>
      </c>
      <c r="B11" s="1"/>
      <c r="C11" s="1"/>
      <c r="D11" s="1"/>
      <c r="E11" s="1"/>
      <c r="F11" s="41"/>
      <c r="G11" s="1"/>
      <c r="H11" s="1"/>
      <c r="I11" s="1"/>
      <c r="J11" s="1"/>
      <c r="K11" s="44"/>
      <c r="L11" s="1"/>
      <c r="M11" s="1"/>
      <c r="N11" s="1"/>
      <c r="O11" s="1"/>
      <c r="P11" s="47"/>
      <c r="Q11" s="1"/>
      <c r="R11" s="1"/>
      <c r="S11" s="1"/>
      <c r="T11" s="1"/>
      <c r="U11" s="50"/>
      <c r="V11" s="1"/>
      <c r="W11" s="1"/>
      <c r="X11" s="1"/>
      <c r="Y11" s="1"/>
      <c r="Z11" s="53"/>
      <c r="AA11" s="1"/>
      <c r="AB11" s="1"/>
      <c r="AC11" s="1"/>
      <c r="AD11" s="1"/>
      <c r="AE11" s="221"/>
    </row>
    <row r="12" spans="1:31" x14ac:dyDescent="0.25">
      <c r="A12" s="108">
        <v>1</v>
      </c>
      <c r="B12" s="1"/>
      <c r="C12" s="1"/>
      <c r="D12" s="1"/>
      <c r="E12" s="1"/>
      <c r="F12" s="39"/>
      <c r="G12" s="1"/>
      <c r="H12" s="1"/>
      <c r="I12" s="1"/>
      <c r="J12" s="1"/>
      <c r="K12" s="43"/>
      <c r="L12" s="1"/>
      <c r="M12" s="1"/>
      <c r="N12" s="1"/>
      <c r="O12" s="1"/>
      <c r="P12" s="46"/>
      <c r="Q12" s="1"/>
      <c r="R12" s="1"/>
      <c r="S12" s="1"/>
      <c r="T12" s="1"/>
      <c r="U12" s="49"/>
      <c r="V12" s="1"/>
      <c r="W12" s="1"/>
      <c r="X12" s="1"/>
      <c r="Y12" s="1"/>
      <c r="Z12" s="52"/>
      <c r="AA12" s="1"/>
      <c r="AB12" s="1"/>
      <c r="AC12" s="1"/>
      <c r="AD12" s="1"/>
      <c r="AE12" s="221"/>
    </row>
    <row r="13" spans="1:31" x14ac:dyDescent="0.25">
      <c r="A13" s="108">
        <v>2</v>
      </c>
      <c r="B13" s="1"/>
      <c r="C13" s="1"/>
      <c r="D13" s="1"/>
      <c r="E13" s="1"/>
      <c r="F13" s="39"/>
      <c r="G13" s="1"/>
      <c r="H13" s="1"/>
      <c r="I13" s="1"/>
      <c r="J13" s="1"/>
      <c r="K13" s="43"/>
      <c r="L13" s="1"/>
      <c r="M13" s="1"/>
      <c r="N13" s="1"/>
      <c r="O13" s="1"/>
      <c r="P13" s="46"/>
      <c r="Q13" s="1"/>
      <c r="R13" s="1"/>
      <c r="S13" s="1"/>
      <c r="T13" s="1"/>
      <c r="U13" s="49"/>
      <c r="V13" s="1"/>
      <c r="W13" s="1"/>
      <c r="X13" s="1"/>
      <c r="Y13" s="1"/>
      <c r="Z13" s="52"/>
      <c r="AA13" s="1"/>
      <c r="AB13" s="1"/>
      <c r="AC13" s="1"/>
      <c r="AD13" s="1"/>
      <c r="AE13" s="221"/>
    </row>
    <row r="14" spans="1:31" x14ac:dyDescent="0.25">
      <c r="A14" s="108">
        <v>3</v>
      </c>
      <c r="B14" s="1"/>
      <c r="C14" s="1"/>
      <c r="D14" s="1"/>
      <c r="E14" s="1"/>
      <c r="F14" s="39"/>
      <c r="G14" s="1"/>
      <c r="H14" s="1"/>
      <c r="I14" s="1"/>
      <c r="J14" s="1"/>
      <c r="K14" s="43"/>
      <c r="L14" s="1"/>
      <c r="M14" s="1"/>
      <c r="N14" s="1"/>
      <c r="O14" s="1"/>
      <c r="P14" s="46"/>
      <c r="Q14" s="1"/>
      <c r="R14" s="1"/>
      <c r="S14" s="1"/>
      <c r="T14" s="1"/>
      <c r="U14" s="49"/>
      <c r="V14" s="1"/>
      <c r="W14" s="1"/>
      <c r="X14" s="1"/>
      <c r="Y14" s="1"/>
      <c r="Z14" s="52"/>
      <c r="AA14" s="1"/>
      <c r="AB14" s="1"/>
      <c r="AC14" s="1"/>
      <c r="AD14" s="1"/>
      <c r="AE14" s="221"/>
    </row>
    <row r="15" spans="1:31" x14ac:dyDescent="0.25">
      <c r="A15" s="108">
        <v>4</v>
      </c>
      <c r="B15" s="1"/>
      <c r="C15" s="1"/>
      <c r="D15" s="1"/>
      <c r="E15" s="1"/>
      <c r="F15" s="39"/>
      <c r="G15" s="1"/>
      <c r="H15" s="1"/>
      <c r="I15" s="1"/>
      <c r="J15" s="1"/>
      <c r="K15" s="43"/>
      <c r="L15" s="1"/>
      <c r="M15" s="1"/>
      <c r="N15" s="1"/>
      <c r="O15" s="1"/>
      <c r="P15" s="46"/>
      <c r="Q15" s="1"/>
      <c r="R15" s="1"/>
      <c r="S15" s="1"/>
      <c r="T15" s="1"/>
      <c r="U15" s="49"/>
      <c r="V15" s="1"/>
      <c r="W15" s="1"/>
      <c r="X15" s="1"/>
      <c r="Y15" s="1"/>
      <c r="Z15" s="52"/>
      <c r="AA15" s="1"/>
      <c r="AB15" s="1"/>
      <c r="AC15" s="1"/>
      <c r="AD15" s="1"/>
      <c r="AE15" s="221"/>
    </row>
    <row r="16" spans="1:31" x14ac:dyDescent="0.25">
      <c r="A16" s="108">
        <v>5</v>
      </c>
      <c r="B16" s="1"/>
      <c r="C16" s="1"/>
      <c r="D16" s="1"/>
      <c r="E16" s="1"/>
      <c r="F16" s="39"/>
      <c r="G16" s="1"/>
      <c r="H16" s="1"/>
      <c r="I16" s="1"/>
      <c r="J16" s="1"/>
      <c r="K16" s="43"/>
      <c r="L16" s="1"/>
      <c r="M16" s="1"/>
      <c r="N16" s="1"/>
      <c r="O16" s="1"/>
      <c r="P16" s="46"/>
      <c r="Q16" s="1"/>
      <c r="R16" s="1"/>
      <c r="S16" s="1"/>
      <c r="T16" s="1"/>
      <c r="U16" s="49"/>
      <c r="V16" s="1"/>
      <c r="W16" s="1"/>
      <c r="X16" s="1"/>
      <c r="Y16" s="1"/>
      <c r="Z16" s="52"/>
      <c r="AA16" s="1"/>
      <c r="AB16" s="1"/>
      <c r="AC16" s="1"/>
      <c r="AD16" s="1"/>
      <c r="AE16" s="221"/>
    </row>
    <row r="17" spans="1:31" x14ac:dyDescent="0.25">
      <c r="A17" s="108">
        <v>6</v>
      </c>
      <c r="B17" s="1"/>
      <c r="C17" s="1"/>
      <c r="D17" s="1"/>
      <c r="E17" s="1"/>
      <c r="F17" s="39"/>
      <c r="G17" s="1"/>
      <c r="H17" s="1"/>
      <c r="I17" s="1"/>
      <c r="J17" s="1"/>
      <c r="K17" s="43"/>
      <c r="L17" s="1"/>
      <c r="M17" s="1"/>
      <c r="N17" s="1"/>
      <c r="O17" s="1"/>
      <c r="P17" s="46"/>
      <c r="Q17" s="1"/>
      <c r="R17" s="1"/>
      <c r="S17" s="1"/>
      <c r="T17" s="1"/>
      <c r="U17" s="49"/>
      <c r="V17" s="1"/>
      <c r="W17" s="1"/>
      <c r="X17" s="1"/>
      <c r="Y17" s="1"/>
      <c r="Z17" s="52"/>
      <c r="AA17" s="1"/>
      <c r="AB17" s="1"/>
      <c r="AC17" s="1"/>
      <c r="AD17" s="1"/>
      <c r="AE17" s="221"/>
    </row>
    <row r="18" spans="1:31" x14ac:dyDescent="0.25">
      <c r="A18" s="108">
        <v>7</v>
      </c>
      <c r="B18" s="1"/>
      <c r="C18" s="1"/>
      <c r="D18" s="1"/>
      <c r="E18" s="1"/>
      <c r="F18" s="39"/>
      <c r="G18" s="1"/>
      <c r="H18" s="1"/>
      <c r="I18" s="1"/>
      <c r="J18" s="1"/>
      <c r="K18" s="43"/>
      <c r="L18" s="1"/>
      <c r="M18" s="1"/>
      <c r="N18" s="1"/>
      <c r="O18" s="1"/>
      <c r="P18" s="46"/>
      <c r="Q18" s="1"/>
      <c r="R18" s="1"/>
      <c r="S18" s="1"/>
      <c r="T18" s="1"/>
      <c r="U18" s="49"/>
      <c r="V18" s="1"/>
      <c r="W18" s="1"/>
      <c r="X18" s="1"/>
      <c r="Y18" s="1"/>
      <c r="Z18" s="52"/>
      <c r="AA18" s="1"/>
      <c r="AB18" s="1"/>
      <c r="AC18" s="1"/>
      <c r="AD18" s="1"/>
      <c r="AE18" s="221"/>
    </row>
    <row r="19" spans="1:31" x14ac:dyDescent="0.25">
      <c r="A19" s="108">
        <v>8</v>
      </c>
      <c r="B19" s="1"/>
      <c r="C19" s="1"/>
      <c r="D19" s="1"/>
      <c r="E19" s="1"/>
      <c r="F19" s="39"/>
      <c r="G19" s="1"/>
      <c r="H19" s="1"/>
      <c r="I19" s="1"/>
      <c r="J19" s="1"/>
      <c r="K19" s="43"/>
      <c r="L19" s="1"/>
      <c r="M19" s="1"/>
      <c r="N19" s="1"/>
      <c r="O19" s="1"/>
      <c r="P19" s="46"/>
      <c r="Q19" s="1"/>
      <c r="R19" s="1"/>
      <c r="S19" s="1"/>
      <c r="T19" s="1"/>
      <c r="U19" s="49"/>
      <c r="V19" s="1"/>
      <c r="W19" s="1"/>
      <c r="X19" s="1"/>
      <c r="Y19" s="1"/>
      <c r="Z19" s="52"/>
      <c r="AA19" s="1"/>
      <c r="AB19" s="1"/>
      <c r="AC19" s="1"/>
      <c r="AD19" s="1"/>
      <c r="AE19" s="221"/>
    </row>
    <row r="20" spans="1:31" x14ac:dyDescent="0.25">
      <c r="A20" s="108">
        <v>9</v>
      </c>
      <c r="B20" s="1"/>
      <c r="C20" s="1"/>
      <c r="D20" s="1"/>
      <c r="E20" s="1"/>
      <c r="F20" s="39"/>
      <c r="G20" s="1"/>
      <c r="H20" s="1"/>
      <c r="I20" s="1"/>
      <c r="J20" s="1"/>
      <c r="K20" s="43"/>
      <c r="L20" s="1"/>
      <c r="M20" s="1"/>
      <c r="N20" s="1"/>
      <c r="O20" s="1"/>
      <c r="P20" s="46"/>
      <c r="Q20" s="1"/>
      <c r="R20" s="1"/>
      <c r="S20" s="1"/>
      <c r="T20" s="1"/>
      <c r="U20" s="49"/>
      <c r="V20" s="1"/>
      <c r="W20" s="1"/>
      <c r="X20" s="1"/>
      <c r="Y20" s="1"/>
      <c r="Z20" s="52"/>
      <c r="AA20" s="1"/>
      <c r="AB20" s="1"/>
      <c r="AC20" s="1"/>
      <c r="AD20" s="1"/>
      <c r="AE20" s="221"/>
    </row>
    <row r="21" spans="1:31" x14ac:dyDescent="0.25">
      <c r="A21" s="108">
        <v>10</v>
      </c>
      <c r="B21" s="1"/>
      <c r="C21" s="1"/>
      <c r="D21" s="1"/>
      <c r="E21" s="1"/>
      <c r="F21" s="39"/>
      <c r="G21" s="1"/>
      <c r="H21" s="1"/>
      <c r="I21" s="1"/>
      <c r="J21" s="1"/>
      <c r="K21" s="43"/>
      <c r="L21" s="1"/>
      <c r="M21" s="1"/>
      <c r="N21" s="1"/>
      <c r="O21" s="1"/>
      <c r="P21" s="46"/>
      <c r="Q21" s="1"/>
      <c r="R21" s="1"/>
      <c r="S21" s="1"/>
      <c r="T21" s="1"/>
      <c r="U21" s="49"/>
      <c r="V21" s="1"/>
      <c r="W21" s="1"/>
      <c r="X21" s="1"/>
      <c r="Y21" s="1"/>
      <c r="Z21" s="52"/>
      <c r="AA21" s="1"/>
      <c r="AB21" s="1"/>
      <c r="AC21" s="1"/>
      <c r="AD21" s="1"/>
      <c r="AE21" s="221"/>
    </row>
    <row r="22" spans="1:31" x14ac:dyDescent="0.25">
      <c r="A22" s="108">
        <v>11</v>
      </c>
      <c r="B22" s="1"/>
      <c r="C22" s="1"/>
      <c r="D22" s="1"/>
      <c r="E22" s="1"/>
      <c r="F22" s="39"/>
      <c r="G22" s="1"/>
      <c r="H22" s="1"/>
      <c r="I22" s="1"/>
      <c r="J22" s="1"/>
      <c r="K22" s="43"/>
      <c r="L22" s="1"/>
      <c r="M22" s="1"/>
      <c r="N22" s="1"/>
      <c r="O22" s="1"/>
      <c r="P22" s="46"/>
      <c r="Q22" s="1"/>
      <c r="R22" s="1"/>
      <c r="S22" s="1"/>
      <c r="T22" s="1"/>
      <c r="U22" s="49"/>
      <c r="V22" s="1"/>
      <c r="W22" s="1"/>
      <c r="X22" s="1"/>
      <c r="Y22" s="1"/>
      <c r="Z22" s="52"/>
      <c r="AA22" s="1"/>
      <c r="AB22" s="1"/>
      <c r="AC22" s="1"/>
      <c r="AD22" s="1"/>
      <c r="AE22" s="221"/>
    </row>
    <row r="23" spans="1:31" x14ac:dyDescent="0.25">
      <c r="A23" s="108">
        <v>12</v>
      </c>
      <c r="B23" s="1"/>
      <c r="C23" s="1"/>
      <c r="D23" s="1"/>
      <c r="E23" s="1"/>
      <c r="F23" s="39"/>
      <c r="G23" s="1"/>
      <c r="H23" s="1"/>
      <c r="I23" s="1"/>
      <c r="J23" s="1"/>
      <c r="K23" s="43"/>
      <c r="L23" s="1"/>
      <c r="M23" s="1"/>
      <c r="N23" s="1"/>
      <c r="O23" s="1"/>
      <c r="P23" s="46"/>
      <c r="Q23" s="1"/>
      <c r="R23" s="1"/>
      <c r="S23" s="1"/>
      <c r="T23" s="1"/>
      <c r="U23" s="49"/>
      <c r="V23" s="1"/>
      <c r="W23" s="1"/>
      <c r="X23" s="1"/>
      <c r="Y23" s="1"/>
      <c r="Z23" s="52"/>
      <c r="AA23" s="1"/>
      <c r="AB23" s="1"/>
      <c r="AC23" s="1"/>
      <c r="AD23" s="1"/>
      <c r="AE23" s="221"/>
    </row>
    <row r="24" spans="1:31" x14ac:dyDescent="0.25">
      <c r="A24" s="108">
        <v>13</v>
      </c>
      <c r="B24" s="1"/>
      <c r="C24" s="1"/>
      <c r="D24" s="1"/>
      <c r="E24" s="1"/>
      <c r="F24" s="39"/>
      <c r="G24" s="1"/>
      <c r="H24" s="1"/>
      <c r="I24" s="1"/>
      <c r="J24" s="1"/>
      <c r="K24" s="43"/>
      <c r="L24" s="1"/>
      <c r="M24" s="1"/>
      <c r="N24" s="1"/>
      <c r="O24" s="1"/>
      <c r="P24" s="46"/>
      <c r="Q24" s="1"/>
      <c r="R24" s="1"/>
      <c r="S24" s="1"/>
      <c r="T24" s="1"/>
      <c r="U24" s="49"/>
      <c r="V24" s="1"/>
      <c r="W24" s="1"/>
      <c r="X24" s="1"/>
      <c r="Y24" s="1"/>
      <c r="Z24" s="52"/>
      <c r="AA24" s="1"/>
      <c r="AB24" s="1"/>
      <c r="AC24" s="1"/>
      <c r="AD24" s="1"/>
      <c r="AE24" s="221"/>
    </row>
    <row r="25" spans="1:31" x14ac:dyDescent="0.25">
      <c r="A25" s="108">
        <v>14</v>
      </c>
      <c r="B25" s="1"/>
      <c r="C25" s="1"/>
      <c r="D25" s="1"/>
      <c r="E25" s="1"/>
      <c r="F25" s="39"/>
      <c r="G25" s="1"/>
      <c r="H25" s="1"/>
      <c r="I25" s="1"/>
      <c r="J25" s="1"/>
      <c r="K25" s="43"/>
      <c r="L25" s="1"/>
      <c r="M25" s="1"/>
      <c r="N25" s="1"/>
      <c r="O25" s="1"/>
      <c r="P25" s="46"/>
      <c r="Q25" s="1"/>
      <c r="R25" s="1"/>
      <c r="S25" s="1"/>
      <c r="T25" s="1"/>
      <c r="U25" s="49"/>
      <c r="V25" s="1"/>
      <c r="W25" s="1"/>
      <c r="X25" s="1"/>
      <c r="Y25" s="1"/>
      <c r="Z25" s="52"/>
      <c r="AA25" s="1"/>
      <c r="AB25" s="1"/>
      <c r="AC25" s="1"/>
      <c r="AD25" s="1"/>
      <c r="AE25" s="221"/>
    </row>
    <row r="26" spans="1:31" x14ac:dyDescent="0.25">
      <c r="A26" s="108">
        <v>15</v>
      </c>
      <c r="B26" s="1"/>
      <c r="C26" s="1"/>
      <c r="D26" s="1"/>
      <c r="E26" s="1"/>
      <c r="F26" s="39"/>
      <c r="G26" s="1"/>
      <c r="H26" s="1"/>
      <c r="I26" s="1"/>
      <c r="J26" s="1"/>
      <c r="K26" s="43"/>
      <c r="L26" s="1"/>
      <c r="M26" s="1"/>
      <c r="N26" s="1"/>
      <c r="O26" s="1"/>
      <c r="P26" s="46"/>
      <c r="Q26" s="1"/>
      <c r="R26" s="1"/>
      <c r="S26" s="1"/>
      <c r="T26" s="1"/>
      <c r="U26" s="49"/>
      <c r="V26" s="1"/>
      <c r="W26" s="1"/>
      <c r="X26" s="1"/>
      <c r="Y26" s="1"/>
      <c r="Z26" s="52"/>
      <c r="AA26" s="1"/>
      <c r="AB26" s="1"/>
      <c r="AC26" s="1"/>
      <c r="AD26" s="1"/>
      <c r="AE26" s="221"/>
    </row>
    <row r="27" spans="1:31" x14ac:dyDescent="0.25">
      <c r="A27" s="108">
        <v>16</v>
      </c>
      <c r="B27" s="1"/>
      <c r="C27" s="1"/>
      <c r="D27" s="1"/>
      <c r="E27" s="1"/>
      <c r="F27" s="39"/>
      <c r="G27" s="1"/>
      <c r="H27" s="1"/>
      <c r="I27" s="1"/>
      <c r="J27" s="1"/>
      <c r="K27" s="43"/>
      <c r="L27" s="1"/>
      <c r="M27" s="1"/>
      <c r="N27" s="1"/>
      <c r="O27" s="1"/>
      <c r="P27" s="46"/>
      <c r="Q27" s="1"/>
      <c r="R27" s="1"/>
      <c r="S27" s="1"/>
      <c r="T27" s="1"/>
      <c r="U27" s="49"/>
      <c r="V27" s="1"/>
      <c r="W27" s="1"/>
      <c r="X27" s="1"/>
      <c r="Y27" s="1"/>
      <c r="Z27" s="52"/>
      <c r="AA27" s="1"/>
      <c r="AB27" s="1"/>
      <c r="AC27" s="1"/>
      <c r="AD27" s="1"/>
      <c r="AE27" s="221"/>
    </row>
    <row r="28" spans="1:31" x14ac:dyDescent="0.25">
      <c r="A28" s="108">
        <v>17</v>
      </c>
      <c r="B28" s="1"/>
      <c r="C28" s="1"/>
      <c r="D28" s="1"/>
      <c r="E28" s="1"/>
      <c r="F28" s="39"/>
      <c r="G28" s="1"/>
      <c r="H28" s="1"/>
      <c r="I28" s="1"/>
      <c r="J28" s="1"/>
      <c r="K28" s="43"/>
      <c r="L28" s="1"/>
      <c r="M28" s="1"/>
      <c r="N28" s="1"/>
      <c r="O28" s="1"/>
      <c r="P28" s="46"/>
      <c r="Q28" s="1"/>
      <c r="R28" s="1"/>
      <c r="S28" s="1"/>
      <c r="T28" s="1"/>
      <c r="U28" s="49"/>
      <c r="V28" s="1"/>
      <c r="W28" s="1"/>
      <c r="X28" s="1"/>
      <c r="Y28" s="1"/>
      <c r="Z28" s="52"/>
      <c r="AA28" s="1"/>
      <c r="AB28" s="1"/>
      <c r="AC28" s="1"/>
      <c r="AD28" s="1"/>
      <c r="AE28" s="221"/>
    </row>
    <row r="29" spans="1:31" x14ac:dyDescent="0.25">
      <c r="A29" s="108">
        <v>18</v>
      </c>
      <c r="B29" s="1"/>
      <c r="C29" s="1"/>
      <c r="D29" s="1"/>
      <c r="E29" s="1"/>
      <c r="F29" s="39"/>
      <c r="G29" s="1"/>
      <c r="H29" s="1"/>
      <c r="I29" s="1"/>
      <c r="J29" s="1"/>
      <c r="K29" s="43"/>
      <c r="L29" s="1"/>
      <c r="M29" s="1"/>
      <c r="N29" s="1"/>
      <c r="O29" s="1"/>
      <c r="P29" s="46"/>
      <c r="Q29" s="1"/>
      <c r="R29" s="1"/>
      <c r="S29" s="1"/>
      <c r="T29" s="1"/>
      <c r="U29" s="49"/>
      <c r="V29" s="1"/>
      <c r="W29" s="1"/>
      <c r="X29" s="1"/>
      <c r="Y29" s="1"/>
      <c r="Z29" s="52"/>
      <c r="AA29" s="1"/>
      <c r="AB29" s="1"/>
      <c r="AC29" s="1"/>
      <c r="AD29" s="1"/>
      <c r="AE29" s="221"/>
    </row>
    <row r="30" spans="1:31" x14ac:dyDescent="0.25">
      <c r="A30" s="108">
        <v>19</v>
      </c>
      <c r="B30" s="1"/>
      <c r="C30" s="1"/>
      <c r="D30" s="1"/>
      <c r="E30" s="1"/>
      <c r="F30" s="39"/>
      <c r="G30" s="1"/>
      <c r="H30" s="1"/>
      <c r="I30" s="1"/>
      <c r="J30" s="1"/>
      <c r="K30" s="43"/>
      <c r="L30" s="1"/>
      <c r="M30" s="1"/>
      <c r="N30" s="1"/>
      <c r="O30" s="1"/>
      <c r="P30" s="46"/>
      <c r="Q30" s="1"/>
      <c r="R30" s="1"/>
      <c r="S30" s="1"/>
      <c r="T30" s="1"/>
      <c r="U30" s="49"/>
      <c r="V30" s="1"/>
      <c r="W30" s="1"/>
      <c r="X30" s="1"/>
      <c r="Y30" s="1"/>
      <c r="Z30" s="52"/>
      <c r="AA30" s="1"/>
      <c r="AB30" s="1"/>
      <c r="AC30" s="1"/>
      <c r="AD30" s="1"/>
      <c r="AE30" s="221"/>
    </row>
    <row r="31" spans="1:31" x14ac:dyDescent="0.25">
      <c r="A31" s="108">
        <v>20</v>
      </c>
      <c r="B31" s="1"/>
      <c r="C31" s="1"/>
      <c r="D31" s="1"/>
      <c r="E31" s="1"/>
      <c r="F31" s="39"/>
      <c r="G31" s="1"/>
      <c r="H31" s="1"/>
      <c r="I31" s="1"/>
      <c r="J31" s="1"/>
      <c r="K31" s="43"/>
      <c r="L31" s="1"/>
      <c r="M31" s="1"/>
      <c r="N31" s="1"/>
      <c r="O31" s="1"/>
      <c r="P31" s="46"/>
      <c r="Q31" s="1"/>
      <c r="R31" s="1"/>
      <c r="S31" s="1"/>
      <c r="T31" s="1"/>
      <c r="U31" s="49"/>
      <c r="V31" s="1"/>
      <c r="W31" s="1"/>
      <c r="X31" s="1"/>
      <c r="Y31" s="1"/>
      <c r="Z31" s="52"/>
      <c r="AA31" s="1"/>
      <c r="AB31" s="1"/>
      <c r="AC31" s="1"/>
      <c r="AD31" s="1"/>
      <c r="AE31" s="221"/>
    </row>
    <row r="32" spans="1:31" x14ac:dyDescent="0.25">
      <c r="A32" s="108">
        <v>21</v>
      </c>
      <c r="B32" s="1"/>
      <c r="C32" s="1"/>
      <c r="D32" s="1"/>
      <c r="E32" s="1"/>
      <c r="F32" s="39"/>
      <c r="G32" s="1"/>
      <c r="H32" s="1"/>
      <c r="I32" s="1"/>
      <c r="J32" s="1"/>
      <c r="K32" s="43"/>
      <c r="L32" s="1"/>
      <c r="M32" s="1"/>
      <c r="N32" s="1"/>
      <c r="O32" s="1"/>
      <c r="P32" s="46"/>
      <c r="Q32" s="1"/>
      <c r="R32" s="1"/>
      <c r="S32" s="1"/>
      <c r="T32" s="1"/>
      <c r="U32" s="49"/>
      <c r="V32" s="1"/>
      <c r="W32" s="1"/>
      <c r="X32" s="1"/>
      <c r="Y32" s="1"/>
      <c r="Z32" s="52"/>
      <c r="AA32" s="1"/>
      <c r="AB32" s="1"/>
      <c r="AC32" s="1"/>
      <c r="AD32" s="1"/>
      <c r="AE32" s="221"/>
    </row>
    <row r="33" spans="1:31" x14ac:dyDescent="0.25">
      <c r="A33" s="108">
        <v>22</v>
      </c>
      <c r="B33" s="1"/>
      <c r="C33" s="1"/>
      <c r="D33" s="1"/>
      <c r="E33" s="1"/>
      <c r="F33" s="39"/>
      <c r="G33" s="1"/>
      <c r="H33" s="1"/>
      <c r="I33" s="1"/>
      <c r="J33" s="1"/>
      <c r="K33" s="43"/>
      <c r="L33" s="1"/>
      <c r="M33" s="1"/>
      <c r="N33" s="1"/>
      <c r="O33" s="1"/>
      <c r="P33" s="46"/>
      <c r="Q33" s="1"/>
      <c r="R33" s="1"/>
      <c r="S33" s="1"/>
      <c r="T33" s="1"/>
      <c r="U33" s="49"/>
      <c r="V33" s="1"/>
      <c r="W33" s="1"/>
      <c r="X33" s="1"/>
      <c r="Y33" s="1"/>
      <c r="Z33" s="52"/>
      <c r="AA33" s="1"/>
      <c r="AB33" s="1"/>
      <c r="AC33" s="1"/>
      <c r="AD33" s="1"/>
      <c r="AE33" s="221"/>
    </row>
    <row r="34" spans="1:31" x14ac:dyDescent="0.25">
      <c r="A34" s="108">
        <v>23</v>
      </c>
      <c r="B34" s="1"/>
      <c r="C34" s="1"/>
      <c r="D34" s="1"/>
      <c r="E34" s="1"/>
      <c r="F34" s="39"/>
      <c r="G34" s="1"/>
      <c r="H34" s="1"/>
      <c r="I34" s="1"/>
      <c r="J34" s="1"/>
      <c r="K34" s="43"/>
      <c r="L34" s="1"/>
      <c r="M34" s="1"/>
      <c r="N34" s="1"/>
      <c r="O34" s="1"/>
      <c r="P34" s="46"/>
      <c r="Q34" s="1"/>
      <c r="R34" s="1"/>
      <c r="S34" s="1"/>
      <c r="T34" s="1"/>
      <c r="U34" s="49"/>
      <c r="V34" s="1"/>
      <c r="W34" s="1"/>
      <c r="X34" s="1"/>
      <c r="Y34" s="1"/>
      <c r="Z34" s="52"/>
      <c r="AA34" s="1"/>
      <c r="AB34" s="1"/>
      <c r="AC34" s="1"/>
      <c r="AD34" s="1"/>
      <c r="AE34" s="221"/>
    </row>
    <row r="35" spans="1:31" x14ac:dyDescent="0.25">
      <c r="A35" s="108">
        <v>24</v>
      </c>
      <c r="B35" s="1"/>
      <c r="C35" s="1"/>
      <c r="D35" s="1"/>
      <c r="E35" s="1"/>
      <c r="F35" s="39"/>
      <c r="G35" s="1"/>
      <c r="H35" s="1"/>
      <c r="I35" s="1"/>
      <c r="J35" s="1"/>
      <c r="K35" s="43"/>
      <c r="L35" s="1"/>
      <c r="M35" s="1"/>
      <c r="N35" s="1"/>
      <c r="O35" s="1"/>
      <c r="P35" s="46"/>
      <c r="Q35" s="1"/>
      <c r="R35" s="1"/>
      <c r="S35" s="1"/>
      <c r="T35" s="1"/>
      <c r="U35" s="49"/>
      <c r="V35" s="1"/>
      <c r="W35" s="1"/>
      <c r="X35" s="1"/>
      <c r="Y35" s="1"/>
      <c r="Z35" s="52"/>
      <c r="AA35" s="1"/>
      <c r="AB35" s="1"/>
      <c r="AC35" s="1"/>
      <c r="AD35" s="1"/>
      <c r="AE35" s="221"/>
    </row>
    <row r="36" spans="1:31" x14ac:dyDescent="0.25">
      <c r="A36" s="108">
        <v>25</v>
      </c>
      <c r="B36" s="1"/>
      <c r="C36" s="1"/>
      <c r="D36" s="1"/>
      <c r="E36" s="1"/>
      <c r="F36" s="39"/>
      <c r="G36" s="1"/>
      <c r="H36" s="1"/>
      <c r="I36" s="1"/>
      <c r="J36" s="1"/>
      <c r="K36" s="43"/>
      <c r="L36" s="1"/>
      <c r="M36" s="1"/>
      <c r="N36" s="1"/>
      <c r="O36" s="1"/>
      <c r="P36" s="46"/>
      <c r="Q36" s="1"/>
      <c r="R36" s="1"/>
      <c r="S36" s="1"/>
      <c r="T36" s="1"/>
      <c r="U36" s="49"/>
      <c r="V36" s="1"/>
      <c r="W36" s="1"/>
      <c r="X36" s="1"/>
      <c r="Y36" s="1"/>
      <c r="Z36" s="52"/>
      <c r="AA36" s="1"/>
      <c r="AB36" s="1"/>
      <c r="AC36" s="1"/>
      <c r="AD36" s="1"/>
      <c r="AE36" s="221"/>
    </row>
    <row r="37" spans="1:31" x14ac:dyDescent="0.25">
      <c r="A37" s="108">
        <v>26</v>
      </c>
      <c r="B37" s="1"/>
      <c r="C37" s="1"/>
      <c r="D37" s="1"/>
      <c r="E37" s="1"/>
      <c r="F37" s="39"/>
      <c r="G37" s="1"/>
      <c r="H37" s="1"/>
      <c r="I37" s="1"/>
      <c r="J37" s="1"/>
      <c r="K37" s="43"/>
      <c r="L37" s="1"/>
      <c r="M37" s="1"/>
      <c r="N37" s="1"/>
      <c r="O37" s="1"/>
      <c r="P37" s="46"/>
      <c r="Q37" s="1"/>
      <c r="R37" s="1"/>
      <c r="S37" s="1"/>
      <c r="T37" s="1"/>
      <c r="U37" s="49"/>
      <c r="V37" s="1"/>
      <c r="W37" s="1"/>
      <c r="X37" s="1"/>
      <c r="Y37" s="1"/>
      <c r="Z37" s="52"/>
      <c r="AA37" s="1"/>
      <c r="AB37" s="1"/>
      <c r="AC37" s="1"/>
      <c r="AD37" s="1"/>
      <c r="AE37" s="221"/>
    </row>
    <row r="38" spans="1:31" x14ac:dyDescent="0.25">
      <c r="A38" s="108">
        <v>27</v>
      </c>
      <c r="B38" s="1"/>
      <c r="C38" s="1"/>
      <c r="D38" s="1"/>
      <c r="E38" s="1"/>
      <c r="F38" s="39"/>
      <c r="G38" s="1"/>
      <c r="H38" s="1"/>
      <c r="I38" s="1"/>
      <c r="J38" s="1"/>
      <c r="K38" s="43"/>
      <c r="L38" s="1"/>
      <c r="M38" s="1"/>
      <c r="N38" s="1"/>
      <c r="O38" s="1"/>
      <c r="P38" s="46"/>
      <c r="Q38" s="1"/>
      <c r="R38" s="1"/>
      <c r="S38" s="1"/>
      <c r="T38" s="1"/>
      <c r="U38" s="49"/>
      <c r="V38" s="1"/>
      <c r="W38" s="1"/>
      <c r="X38" s="1"/>
      <c r="Y38" s="1"/>
      <c r="Z38" s="52"/>
      <c r="AA38" s="1"/>
      <c r="AB38" s="1"/>
      <c r="AC38" s="1"/>
      <c r="AD38" s="1"/>
      <c r="AE38" s="221"/>
    </row>
    <row r="39" spans="1:31" x14ac:dyDescent="0.25">
      <c r="A39" s="108">
        <v>28</v>
      </c>
      <c r="B39" s="1"/>
      <c r="C39" s="1"/>
      <c r="D39" s="1"/>
      <c r="E39" s="1"/>
      <c r="F39" s="39"/>
      <c r="G39" s="1"/>
      <c r="H39" s="1"/>
      <c r="I39" s="1"/>
      <c r="J39" s="1"/>
      <c r="K39" s="43"/>
      <c r="L39" s="1"/>
      <c r="M39" s="1"/>
      <c r="N39" s="1"/>
      <c r="O39" s="1"/>
      <c r="P39" s="46"/>
      <c r="Q39" s="1"/>
      <c r="R39" s="1"/>
      <c r="S39" s="1"/>
      <c r="T39" s="1"/>
      <c r="U39" s="49"/>
      <c r="V39" s="1"/>
      <c r="W39" s="1"/>
      <c r="X39" s="1"/>
      <c r="Y39" s="1"/>
      <c r="Z39" s="52"/>
      <c r="AA39" s="1"/>
      <c r="AB39" s="1"/>
      <c r="AC39" s="1"/>
      <c r="AD39" s="1"/>
      <c r="AE39" s="221"/>
    </row>
    <row r="40" spans="1:31" x14ac:dyDescent="0.25">
      <c r="A40" s="108">
        <v>29</v>
      </c>
      <c r="B40" s="1"/>
      <c r="C40" s="1"/>
      <c r="D40" s="1"/>
      <c r="E40" s="1"/>
      <c r="F40" s="39"/>
      <c r="G40" s="1"/>
      <c r="H40" s="1"/>
      <c r="I40" s="1"/>
      <c r="J40" s="1"/>
      <c r="K40" s="43"/>
      <c r="L40" s="1"/>
      <c r="M40" s="1"/>
      <c r="N40" s="1"/>
      <c r="O40" s="1"/>
      <c r="P40" s="46"/>
      <c r="Q40" s="1"/>
      <c r="R40" s="1"/>
      <c r="S40" s="1"/>
      <c r="T40" s="1"/>
      <c r="U40" s="49"/>
      <c r="V40" s="1"/>
      <c r="W40" s="1"/>
      <c r="X40" s="1"/>
      <c r="Y40" s="1"/>
      <c r="Z40" s="52"/>
      <c r="AA40" s="1"/>
      <c r="AB40" s="1"/>
      <c r="AC40" s="1"/>
      <c r="AD40" s="1"/>
      <c r="AE40" s="221"/>
    </row>
    <row r="41" spans="1:31" x14ac:dyDescent="0.25">
      <c r="A41" s="108">
        <v>30</v>
      </c>
      <c r="B41" s="1"/>
      <c r="C41" s="1"/>
      <c r="D41" s="1"/>
      <c r="E41" s="1"/>
      <c r="F41" s="39"/>
      <c r="G41" s="1"/>
      <c r="H41" s="1"/>
      <c r="I41" s="1"/>
      <c r="J41" s="1"/>
      <c r="K41" s="43"/>
      <c r="L41" s="1"/>
      <c r="M41" s="1"/>
      <c r="N41" s="1"/>
      <c r="O41" s="1"/>
      <c r="P41" s="46"/>
      <c r="Q41" s="1"/>
      <c r="R41" s="1"/>
      <c r="S41" s="1"/>
      <c r="T41" s="1"/>
      <c r="U41" s="49"/>
      <c r="V41" s="1"/>
      <c r="W41" s="1"/>
      <c r="X41" s="1"/>
      <c r="Y41" s="1"/>
      <c r="Z41" s="52"/>
      <c r="AA41" s="1"/>
      <c r="AB41" s="1"/>
      <c r="AC41" s="1"/>
      <c r="AD41" s="1"/>
      <c r="AE41" s="221"/>
    </row>
    <row r="42" spans="1:31" x14ac:dyDescent="0.25">
      <c r="A42" s="108">
        <v>31</v>
      </c>
      <c r="B42" s="1"/>
      <c r="C42" s="1"/>
      <c r="D42" s="1"/>
      <c r="E42" s="1"/>
      <c r="F42" s="39"/>
      <c r="G42" s="1"/>
      <c r="H42" s="1"/>
      <c r="I42" s="1"/>
      <c r="J42" s="1"/>
      <c r="K42" s="43"/>
      <c r="L42" s="1"/>
      <c r="M42" s="1"/>
      <c r="N42" s="1"/>
      <c r="O42" s="1"/>
      <c r="P42" s="46"/>
      <c r="Q42" s="1"/>
      <c r="R42" s="1"/>
      <c r="S42" s="1"/>
      <c r="T42" s="1"/>
      <c r="U42" s="49"/>
      <c r="V42" s="1"/>
      <c r="W42" s="1"/>
      <c r="X42" s="1"/>
      <c r="Y42" s="1"/>
      <c r="Z42" s="52"/>
      <c r="AA42" s="1"/>
      <c r="AB42" s="1"/>
      <c r="AC42" s="1"/>
      <c r="AD42" s="1"/>
      <c r="AE42" s="221"/>
    </row>
    <row r="43" spans="1:31" x14ac:dyDescent="0.25">
      <c r="A43" s="108">
        <v>32</v>
      </c>
      <c r="B43" s="1"/>
      <c r="C43" s="1"/>
      <c r="D43" s="1"/>
      <c r="E43" s="1"/>
      <c r="F43" s="39"/>
      <c r="G43" s="1"/>
      <c r="H43" s="1"/>
      <c r="I43" s="1"/>
      <c r="J43" s="1"/>
      <c r="K43" s="43"/>
      <c r="L43" s="1"/>
      <c r="M43" s="1"/>
      <c r="N43" s="1"/>
      <c r="O43" s="1"/>
      <c r="P43" s="46"/>
      <c r="Q43" s="1"/>
      <c r="R43" s="1"/>
      <c r="S43" s="1"/>
      <c r="T43" s="1"/>
      <c r="U43" s="49"/>
      <c r="V43" s="1"/>
      <c r="W43" s="1"/>
      <c r="X43" s="1"/>
      <c r="Y43" s="1"/>
      <c r="Z43" s="52"/>
      <c r="AA43" s="1"/>
      <c r="AB43" s="1"/>
      <c r="AC43" s="1"/>
      <c r="AD43" s="1"/>
      <c r="AE43" s="221"/>
    </row>
    <row r="44" spans="1:31" x14ac:dyDescent="0.25">
      <c r="A44" s="108">
        <v>33</v>
      </c>
      <c r="B44" s="1"/>
      <c r="C44" s="1"/>
      <c r="D44" s="1"/>
      <c r="E44" s="1"/>
      <c r="F44" s="39"/>
      <c r="G44" s="1"/>
      <c r="H44" s="1"/>
      <c r="I44" s="1"/>
      <c r="J44" s="1"/>
      <c r="K44" s="43"/>
      <c r="L44" s="1"/>
      <c r="M44" s="1"/>
      <c r="N44" s="1"/>
      <c r="O44" s="1"/>
      <c r="P44" s="46"/>
      <c r="Q44" s="1"/>
      <c r="R44" s="1"/>
      <c r="S44" s="1"/>
      <c r="T44" s="1"/>
      <c r="U44" s="49"/>
      <c r="V44" s="1"/>
      <c r="W44" s="1"/>
      <c r="X44" s="1"/>
      <c r="Y44" s="1"/>
      <c r="Z44" s="52"/>
      <c r="AA44" s="1"/>
      <c r="AB44" s="1"/>
      <c r="AC44" s="1"/>
      <c r="AD44" s="1"/>
      <c r="AE44" s="221"/>
    </row>
    <row r="45" spans="1:31" x14ac:dyDescent="0.25">
      <c r="A45" s="108">
        <v>34</v>
      </c>
      <c r="B45" s="1"/>
      <c r="C45" s="1"/>
      <c r="D45" s="1"/>
      <c r="E45" s="1"/>
      <c r="F45" s="39"/>
      <c r="G45" s="1"/>
      <c r="H45" s="1"/>
      <c r="I45" s="1"/>
      <c r="J45" s="1"/>
      <c r="K45" s="43"/>
      <c r="L45" s="1"/>
      <c r="M45" s="1"/>
      <c r="N45" s="1"/>
      <c r="O45" s="1"/>
      <c r="P45" s="46"/>
      <c r="Q45" s="1"/>
      <c r="R45" s="1"/>
      <c r="S45" s="1"/>
      <c r="T45" s="1"/>
      <c r="U45" s="49"/>
      <c r="V45" s="1"/>
      <c r="W45" s="1"/>
      <c r="X45" s="1"/>
      <c r="Y45" s="1"/>
      <c r="Z45" s="52"/>
      <c r="AA45" s="1"/>
      <c r="AB45" s="1"/>
      <c r="AC45" s="1"/>
      <c r="AD45" s="1"/>
      <c r="AE45" s="221"/>
    </row>
    <row r="46" spans="1:31" x14ac:dyDescent="0.25">
      <c r="A46" s="108">
        <v>35</v>
      </c>
      <c r="B46" s="1"/>
      <c r="C46" s="1"/>
      <c r="D46" s="1"/>
      <c r="E46" s="1"/>
      <c r="F46" s="39"/>
      <c r="G46" s="1"/>
      <c r="H46" s="1"/>
      <c r="I46" s="1"/>
      <c r="J46" s="1"/>
      <c r="K46" s="43"/>
      <c r="L46" s="1"/>
      <c r="M46" s="1"/>
      <c r="N46" s="1"/>
      <c r="O46" s="1"/>
      <c r="P46" s="46"/>
      <c r="Q46" s="1"/>
      <c r="R46" s="1"/>
      <c r="S46" s="1"/>
      <c r="T46" s="1"/>
      <c r="U46" s="49"/>
      <c r="V46" s="1"/>
      <c r="W46" s="1"/>
      <c r="X46" s="1"/>
      <c r="Y46" s="1"/>
      <c r="Z46" s="52"/>
      <c r="AA46" s="1"/>
      <c r="AB46" s="1"/>
      <c r="AC46" s="1"/>
      <c r="AD46" s="1"/>
      <c r="AE46" s="221"/>
    </row>
    <row r="47" spans="1:31" x14ac:dyDescent="0.25">
      <c r="A47" s="108">
        <v>36</v>
      </c>
      <c r="B47" s="1"/>
      <c r="C47" s="1"/>
      <c r="D47" s="1"/>
      <c r="E47" s="1"/>
      <c r="F47" s="39"/>
      <c r="G47" s="1"/>
      <c r="H47" s="1"/>
      <c r="I47" s="1"/>
      <c r="J47" s="1"/>
      <c r="K47" s="43"/>
      <c r="L47" s="1"/>
      <c r="M47" s="1"/>
      <c r="N47" s="1"/>
      <c r="O47" s="1"/>
      <c r="P47" s="46"/>
      <c r="Q47" s="1"/>
      <c r="R47" s="1"/>
      <c r="S47" s="1"/>
      <c r="T47" s="1"/>
      <c r="U47" s="49"/>
      <c r="V47" s="1"/>
      <c r="W47" s="1"/>
      <c r="X47" s="1"/>
      <c r="Y47" s="1"/>
      <c r="Z47" s="52"/>
      <c r="AA47" s="1"/>
      <c r="AB47" s="1"/>
      <c r="AC47" s="1"/>
      <c r="AD47" s="1"/>
      <c r="AE47" s="221"/>
    </row>
    <row r="48" spans="1:31" x14ac:dyDescent="0.25">
      <c r="A48" s="108">
        <v>37</v>
      </c>
      <c r="B48" s="1"/>
      <c r="C48" s="1"/>
      <c r="D48" s="1"/>
      <c r="E48" s="1"/>
      <c r="F48" s="39"/>
      <c r="G48" s="1"/>
      <c r="H48" s="1"/>
      <c r="I48" s="1"/>
      <c r="J48" s="1"/>
      <c r="K48" s="43"/>
      <c r="L48" s="1"/>
      <c r="M48" s="1"/>
      <c r="N48" s="1"/>
      <c r="O48" s="1"/>
      <c r="P48" s="46"/>
      <c r="Q48" s="1"/>
      <c r="R48" s="1"/>
      <c r="S48" s="1"/>
      <c r="T48" s="1"/>
      <c r="U48" s="49"/>
      <c r="V48" s="1"/>
      <c r="W48" s="1"/>
      <c r="X48" s="1"/>
      <c r="Y48" s="1"/>
      <c r="Z48" s="52"/>
      <c r="AA48" s="1"/>
      <c r="AB48" s="1"/>
      <c r="AC48" s="1"/>
      <c r="AD48" s="1"/>
      <c r="AE48" s="221"/>
    </row>
    <row r="49" spans="1:31" x14ac:dyDescent="0.25">
      <c r="A49" s="108">
        <v>38</v>
      </c>
      <c r="B49" s="1"/>
      <c r="C49" s="1"/>
      <c r="D49" s="1"/>
      <c r="E49" s="1"/>
      <c r="F49" s="39"/>
      <c r="G49" s="1"/>
      <c r="H49" s="1"/>
      <c r="I49" s="1"/>
      <c r="J49" s="1"/>
      <c r="K49" s="43"/>
      <c r="L49" s="1"/>
      <c r="M49" s="1"/>
      <c r="N49" s="1"/>
      <c r="O49" s="1"/>
      <c r="P49" s="46"/>
      <c r="Q49" s="1"/>
      <c r="R49" s="1"/>
      <c r="S49" s="1"/>
      <c r="T49" s="1"/>
      <c r="U49" s="49"/>
      <c r="V49" s="1"/>
      <c r="W49" s="1"/>
      <c r="X49" s="1"/>
      <c r="Y49" s="1"/>
      <c r="Z49" s="52"/>
      <c r="AA49" s="1"/>
      <c r="AB49" s="1"/>
      <c r="AC49" s="1"/>
      <c r="AD49" s="1"/>
      <c r="AE49" s="221"/>
    </row>
    <row r="50" spans="1:31" x14ac:dyDescent="0.25">
      <c r="A50" s="108">
        <v>39</v>
      </c>
      <c r="B50" s="1"/>
      <c r="C50" s="1"/>
      <c r="D50" s="1"/>
      <c r="E50" s="1"/>
      <c r="F50" s="39"/>
      <c r="G50" s="1"/>
      <c r="H50" s="1"/>
      <c r="I50" s="1"/>
      <c r="J50" s="1"/>
      <c r="K50" s="43"/>
      <c r="L50" s="1"/>
      <c r="M50" s="1"/>
      <c r="N50" s="1"/>
      <c r="O50" s="1"/>
      <c r="P50" s="46"/>
      <c r="Q50" s="1"/>
      <c r="R50" s="1"/>
      <c r="S50" s="1"/>
      <c r="T50" s="1"/>
      <c r="U50" s="49"/>
      <c r="V50" s="1"/>
      <c r="W50" s="1"/>
      <c r="X50" s="1"/>
      <c r="Y50" s="1"/>
      <c r="Z50" s="52"/>
      <c r="AA50" s="1"/>
      <c r="AB50" s="1"/>
      <c r="AC50" s="1"/>
      <c r="AD50" s="1"/>
      <c r="AE50" s="221"/>
    </row>
    <row r="51" spans="1:31" x14ac:dyDescent="0.25">
      <c r="A51" s="108">
        <v>40</v>
      </c>
      <c r="B51" s="1"/>
      <c r="C51" s="1"/>
      <c r="D51" s="1"/>
      <c r="E51" s="1"/>
      <c r="F51" s="39"/>
      <c r="G51" s="1"/>
      <c r="H51" s="1"/>
      <c r="I51" s="1"/>
      <c r="J51" s="1"/>
      <c r="K51" s="43"/>
      <c r="L51" s="1"/>
      <c r="M51" s="1"/>
      <c r="N51" s="1"/>
      <c r="O51" s="1"/>
      <c r="P51" s="46"/>
      <c r="Q51" s="1"/>
      <c r="R51" s="1"/>
      <c r="S51" s="1"/>
      <c r="T51" s="1"/>
      <c r="U51" s="49"/>
      <c r="V51" s="1"/>
      <c r="W51" s="1"/>
      <c r="X51" s="1"/>
      <c r="Y51" s="1"/>
      <c r="Z51" s="52"/>
      <c r="AA51" s="1"/>
      <c r="AB51" s="1"/>
      <c r="AC51" s="1"/>
      <c r="AD51" s="1"/>
      <c r="AE51" s="221"/>
    </row>
    <row r="52" spans="1:31" x14ac:dyDescent="0.25">
      <c r="A52" s="108">
        <v>41</v>
      </c>
      <c r="B52" s="1"/>
      <c r="C52" s="1"/>
      <c r="D52" s="1"/>
      <c r="E52" s="1"/>
      <c r="F52" s="39"/>
      <c r="G52" s="1"/>
      <c r="H52" s="1"/>
      <c r="I52" s="1"/>
      <c r="J52" s="1"/>
      <c r="K52" s="43"/>
      <c r="L52" s="1"/>
      <c r="M52" s="1"/>
      <c r="N52" s="1"/>
      <c r="O52" s="1"/>
      <c r="P52" s="46"/>
      <c r="Q52" s="1"/>
      <c r="R52" s="1"/>
      <c r="S52" s="1"/>
      <c r="T52" s="1"/>
      <c r="U52" s="49"/>
      <c r="V52" s="1"/>
      <c r="W52" s="1"/>
      <c r="X52" s="1"/>
      <c r="Y52" s="1"/>
      <c r="Z52" s="52"/>
      <c r="AA52" s="1"/>
      <c r="AB52" s="1"/>
      <c r="AC52" s="1"/>
      <c r="AD52" s="1"/>
      <c r="AE52" s="221"/>
    </row>
    <row r="53" spans="1:31" x14ac:dyDescent="0.25">
      <c r="A53" s="108">
        <v>42</v>
      </c>
      <c r="B53" s="1"/>
      <c r="C53" s="1"/>
      <c r="D53" s="1"/>
      <c r="E53" s="1"/>
      <c r="F53" s="39"/>
      <c r="G53" s="1"/>
      <c r="H53" s="1"/>
      <c r="I53" s="1"/>
      <c r="J53" s="1"/>
      <c r="K53" s="43"/>
      <c r="L53" s="1"/>
      <c r="M53" s="1"/>
      <c r="N53" s="1"/>
      <c r="O53" s="1"/>
      <c r="P53" s="46"/>
      <c r="Q53" s="1"/>
      <c r="R53" s="1"/>
      <c r="S53" s="1"/>
      <c r="T53" s="1"/>
      <c r="U53" s="49"/>
      <c r="V53" s="1"/>
      <c r="W53" s="1"/>
      <c r="X53" s="1"/>
      <c r="Y53" s="1"/>
      <c r="Z53" s="52"/>
      <c r="AA53" s="1"/>
      <c r="AB53" s="1"/>
      <c r="AC53" s="1"/>
      <c r="AD53" s="1"/>
      <c r="AE53" s="221"/>
    </row>
    <row r="54" spans="1:31" x14ac:dyDescent="0.25">
      <c r="A54" s="108">
        <v>43</v>
      </c>
      <c r="B54" s="1"/>
      <c r="C54" s="1"/>
      <c r="D54" s="1"/>
      <c r="E54" s="1"/>
      <c r="F54" s="39"/>
      <c r="G54" s="1"/>
      <c r="H54" s="1"/>
      <c r="I54" s="1"/>
      <c r="J54" s="1"/>
      <c r="K54" s="43"/>
      <c r="L54" s="1"/>
      <c r="M54" s="1"/>
      <c r="N54" s="1"/>
      <c r="O54" s="1"/>
      <c r="P54" s="46"/>
      <c r="Q54" s="1"/>
      <c r="R54" s="1"/>
      <c r="S54" s="1"/>
      <c r="T54" s="1"/>
      <c r="U54" s="49"/>
      <c r="V54" s="1"/>
      <c r="W54" s="1"/>
      <c r="X54" s="1"/>
      <c r="Y54" s="1"/>
      <c r="Z54" s="52"/>
      <c r="AA54" s="1"/>
      <c r="AB54" s="1"/>
      <c r="AC54" s="1"/>
      <c r="AD54" s="1"/>
      <c r="AE54" s="221"/>
    </row>
    <row r="55" spans="1:31" x14ac:dyDescent="0.25">
      <c r="A55" s="108">
        <v>44</v>
      </c>
      <c r="B55" s="1"/>
      <c r="C55" s="1"/>
      <c r="D55" s="1"/>
      <c r="E55" s="1"/>
      <c r="F55" s="39"/>
      <c r="G55" s="1"/>
      <c r="H55" s="1"/>
      <c r="I55" s="1"/>
      <c r="J55" s="1"/>
      <c r="K55" s="43"/>
      <c r="L55" s="1"/>
      <c r="M55" s="1"/>
      <c r="N55" s="1"/>
      <c r="O55" s="1"/>
      <c r="P55" s="46"/>
      <c r="Q55" s="1"/>
      <c r="R55" s="1"/>
      <c r="S55" s="1"/>
      <c r="T55" s="1"/>
      <c r="U55" s="49"/>
      <c r="V55" s="1"/>
      <c r="W55" s="1"/>
      <c r="X55" s="1"/>
      <c r="Y55" s="1"/>
      <c r="Z55" s="52"/>
      <c r="AA55" s="1"/>
      <c r="AB55" s="1"/>
      <c r="AC55" s="1"/>
      <c r="AD55" s="1"/>
      <c r="AE55" s="221"/>
    </row>
    <row r="56" spans="1:31" x14ac:dyDescent="0.25">
      <c r="A56" s="108">
        <v>45</v>
      </c>
      <c r="B56" s="1"/>
      <c r="C56" s="1"/>
      <c r="D56" s="1"/>
      <c r="E56" s="1"/>
      <c r="F56" s="39"/>
      <c r="G56" s="1"/>
      <c r="H56" s="1"/>
      <c r="I56" s="1"/>
      <c r="J56" s="1"/>
      <c r="K56" s="43"/>
      <c r="L56" s="1"/>
      <c r="M56" s="1"/>
      <c r="N56" s="1"/>
      <c r="O56" s="1"/>
      <c r="P56" s="46"/>
      <c r="Q56" s="1"/>
      <c r="R56" s="1"/>
      <c r="S56" s="1"/>
      <c r="T56" s="1"/>
      <c r="U56" s="49"/>
      <c r="V56" s="1"/>
      <c r="W56" s="1"/>
      <c r="X56" s="1"/>
      <c r="Y56" s="1"/>
      <c r="Z56" s="52"/>
      <c r="AA56" s="1"/>
      <c r="AB56" s="1"/>
      <c r="AC56" s="1"/>
      <c r="AD56" s="1"/>
      <c r="AE56" s="221"/>
    </row>
    <row r="57" spans="1:31" x14ac:dyDescent="0.25">
      <c r="A57" s="108">
        <v>46</v>
      </c>
      <c r="B57" s="1"/>
      <c r="C57" s="1"/>
      <c r="D57" s="1"/>
      <c r="E57" s="1"/>
      <c r="F57" s="39"/>
      <c r="G57" s="1"/>
      <c r="H57" s="1"/>
      <c r="I57" s="1"/>
      <c r="J57" s="1"/>
      <c r="K57" s="43"/>
      <c r="L57" s="1"/>
      <c r="M57" s="1"/>
      <c r="N57" s="1"/>
      <c r="O57" s="1"/>
      <c r="P57" s="46"/>
      <c r="Q57" s="1"/>
      <c r="R57" s="1"/>
      <c r="S57" s="1"/>
      <c r="T57" s="1"/>
      <c r="U57" s="49"/>
      <c r="V57" s="1"/>
      <c r="W57" s="1"/>
      <c r="X57" s="1"/>
      <c r="Y57" s="1"/>
      <c r="Z57" s="52"/>
      <c r="AA57" s="1"/>
      <c r="AB57" s="1"/>
      <c r="AC57" s="1"/>
      <c r="AD57" s="1"/>
      <c r="AE57" s="221"/>
    </row>
    <row r="58" spans="1:31" x14ac:dyDescent="0.25">
      <c r="A58" s="108">
        <v>47</v>
      </c>
      <c r="B58" s="1"/>
      <c r="C58" s="1"/>
      <c r="D58" s="1"/>
      <c r="E58" s="1"/>
      <c r="F58" s="39"/>
      <c r="G58" s="1"/>
      <c r="H58" s="1"/>
      <c r="I58" s="1"/>
      <c r="J58" s="1"/>
      <c r="K58" s="43"/>
      <c r="L58" s="1"/>
      <c r="M58" s="1"/>
      <c r="N58" s="1"/>
      <c r="O58" s="1"/>
      <c r="P58" s="46"/>
      <c r="Q58" s="1"/>
      <c r="R58" s="1"/>
      <c r="S58" s="1"/>
      <c r="T58" s="1"/>
      <c r="U58" s="49"/>
      <c r="V58" s="1"/>
      <c r="W58" s="1"/>
      <c r="X58" s="1"/>
      <c r="Y58" s="1"/>
      <c r="Z58" s="52"/>
      <c r="AA58" s="1"/>
      <c r="AB58" s="1"/>
      <c r="AC58" s="1"/>
      <c r="AD58" s="1"/>
      <c r="AE58" s="221"/>
    </row>
    <row r="59" spans="1:31" x14ac:dyDescent="0.25">
      <c r="A59" s="108">
        <v>48</v>
      </c>
      <c r="B59" s="1"/>
      <c r="C59" s="1"/>
      <c r="D59" s="1"/>
      <c r="E59" s="1"/>
      <c r="F59" s="39"/>
      <c r="G59" s="1"/>
      <c r="H59" s="1"/>
      <c r="I59" s="1"/>
      <c r="J59" s="1"/>
      <c r="K59" s="43"/>
      <c r="L59" s="1"/>
      <c r="M59" s="1"/>
      <c r="N59" s="1"/>
      <c r="O59" s="1"/>
      <c r="P59" s="46"/>
      <c r="Q59" s="1"/>
      <c r="R59" s="1"/>
      <c r="S59" s="1"/>
      <c r="T59" s="1"/>
      <c r="U59" s="49"/>
      <c r="V59" s="1"/>
      <c r="W59" s="1"/>
      <c r="X59" s="1"/>
      <c r="Y59" s="1"/>
      <c r="Z59" s="52"/>
      <c r="AA59" s="1"/>
      <c r="AB59" s="1"/>
      <c r="AC59" s="1"/>
      <c r="AD59" s="1"/>
      <c r="AE59" s="221"/>
    </row>
    <row r="60" spans="1:31" x14ac:dyDescent="0.25">
      <c r="A60" s="108">
        <v>49</v>
      </c>
      <c r="B60" s="1"/>
      <c r="C60" s="1"/>
      <c r="D60" s="1"/>
      <c r="E60" s="1"/>
      <c r="F60" s="39"/>
      <c r="G60" s="1"/>
      <c r="H60" s="1"/>
      <c r="I60" s="1"/>
      <c r="J60" s="1"/>
      <c r="K60" s="43"/>
      <c r="L60" s="1"/>
      <c r="M60" s="1"/>
      <c r="N60" s="1"/>
      <c r="O60" s="1"/>
      <c r="P60" s="46"/>
      <c r="Q60" s="1"/>
      <c r="R60" s="1"/>
      <c r="S60" s="1"/>
      <c r="T60" s="1"/>
      <c r="U60" s="49"/>
      <c r="V60" s="1"/>
      <c r="W60" s="1"/>
      <c r="X60" s="1"/>
      <c r="Y60" s="1"/>
      <c r="Z60" s="52"/>
      <c r="AA60" s="1"/>
      <c r="AB60" s="1"/>
      <c r="AC60" s="1"/>
      <c r="AD60" s="1"/>
      <c r="AE60" s="221"/>
    </row>
    <row r="61" spans="1:31" x14ac:dyDescent="0.25">
      <c r="A61" s="108">
        <v>50</v>
      </c>
      <c r="B61" s="1"/>
      <c r="C61" s="1"/>
      <c r="D61" s="1"/>
      <c r="E61" s="1"/>
      <c r="F61" s="39"/>
      <c r="G61" s="1"/>
      <c r="H61" s="1"/>
      <c r="I61" s="1"/>
      <c r="J61" s="1"/>
      <c r="K61" s="43"/>
      <c r="L61" s="1"/>
      <c r="M61" s="1"/>
      <c r="N61" s="1"/>
      <c r="O61" s="1"/>
      <c r="P61" s="46"/>
      <c r="Q61" s="1"/>
      <c r="R61" s="1"/>
      <c r="S61" s="1"/>
      <c r="T61" s="1"/>
      <c r="U61" s="49"/>
      <c r="V61" s="1"/>
      <c r="W61" s="1"/>
      <c r="X61" s="1"/>
      <c r="Y61" s="1"/>
      <c r="Z61" s="52"/>
      <c r="AA61" s="1"/>
      <c r="AB61" s="1"/>
      <c r="AC61" s="1"/>
      <c r="AD61" s="1"/>
      <c r="AE61" s="221"/>
    </row>
    <row r="62" spans="1:31" x14ac:dyDescent="0.25">
      <c r="A62" s="108">
        <v>51</v>
      </c>
      <c r="B62" s="1"/>
      <c r="C62" s="1"/>
      <c r="D62" s="1"/>
      <c r="E62" s="1"/>
      <c r="F62" s="39"/>
      <c r="G62" s="1"/>
      <c r="H62" s="1"/>
      <c r="I62" s="1"/>
      <c r="J62" s="1"/>
      <c r="K62" s="43"/>
      <c r="L62" s="1"/>
      <c r="M62" s="1"/>
      <c r="N62" s="1"/>
      <c r="O62" s="1"/>
      <c r="P62" s="46"/>
      <c r="Q62" s="1"/>
      <c r="R62" s="1"/>
      <c r="S62" s="1"/>
      <c r="T62" s="1"/>
      <c r="U62" s="49"/>
      <c r="V62" s="1"/>
      <c r="W62" s="1"/>
      <c r="X62" s="1"/>
      <c r="Y62" s="1"/>
      <c r="Z62" s="52"/>
      <c r="AA62" s="1"/>
      <c r="AB62" s="1"/>
      <c r="AC62" s="1"/>
      <c r="AD62" s="1"/>
      <c r="AE62" s="221"/>
    </row>
    <row r="63" spans="1:31" x14ac:dyDescent="0.25">
      <c r="A63" s="108">
        <v>52</v>
      </c>
      <c r="B63" s="1"/>
      <c r="C63" s="1"/>
      <c r="D63" s="1"/>
      <c r="E63" s="1"/>
      <c r="F63" s="39"/>
      <c r="G63" s="1"/>
      <c r="H63" s="1"/>
      <c r="I63" s="1"/>
      <c r="J63" s="1"/>
      <c r="K63" s="43"/>
      <c r="L63" s="1"/>
      <c r="M63" s="1"/>
      <c r="N63" s="1"/>
      <c r="O63" s="1"/>
      <c r="P63" s="46"/>
      <c r="Q63" s="1"/>
      <c r="R63" s="1"/>
      <c r="S63" s="1"/>
      <c r="T63" s="1"/>
      <c r="U63" s="49"/>
      <c r="V63" s="1"/>
      <c r="W63" s="1"/>
      <c r="X63" s="1"/>
      <c r="Y63" s="1"/>
      <c r="Z63" s="52"/>
      <c r="AA63" s="1"/>
      <c r="AB63" s="1"/>
      <c r="AC63" s="1"/>
      <c r="AD63" s="1"/>
      <c r="AE63" s="221"/>
    </row>
    <row r="64" spans="1:31" x14ac:dyDescent="0.25">
      <c r="A64" s="108">
        <v>53</v>
      </c>
      <c r="B64" s="1"/>
      <c r="C64" s="1"/>
      <c r="D64" s="1"/>
      <c r="E64" s="1"/>
      <c r="F64" s="39"/>
      <c r="G64" s="1"/>
      <c r="H64" s="1"/>
      <c r="I64" s="1"/>
      <c r="J64" s="1"/>
      <c r="K64" s="43"/>
      <c r="L64" s="1"/>
      <c r="M64" s="1"/>
      <c r="N64" s="1"/>
      <c r="O64" s="1"/>
      <c r="P64" s="46"/>
      <c r="Q64" s="1"/>
      <c r="R64" s="1"/>
      <c r="S64" s="1"/>
      <c r="T64" s="1"/>
      <c r="U64" s="49"/>
      <c r="V64" s="1"/>
      <c r="W64" s="1"/>
      <c r="X64" s="1"/>
      <c r="Y64" s="1"/>
      <c r="Z64" s="52"/>
      <c r="AA64" s="1"/>
      <c r="AB64" s="1"/>
      <c r="AC64" s="1"/>
      <c r="AD64" s="1"/>
      <c r="AE64" s="221"/>
    </row>
    <row r="65" spans="1:31" x14ac:dyDescent="0.25">
      <c r="A65" s="108">
        <v>54</v>
      </c>
      <c r="B65" s="1"/>
      <c r="C65" s="1"/>
      <c r="D65" s="1"/>
      <c r="E65" s="1"/>
      <c r="F65" s="39"/>
      <c r="G65" s="1"/>
      <c r="H65" s="1"/>
      <c r="I65" s="1"/>
      <c r="J65" s="1"/>
      <c r="K65" s="43"/>
      <c r="L65" s="1"/>
      <c r="M65" s="1"/>
      <c r="N65" s="1"/>
      <c r="O65" s="1"/>
      <c r="P65" s="46"/>
      <c r="Q65" s="1"/>
      <c r="R65" s="1"/>
      <c r="S65" s="1"/>
      <c r="T65" s="1"/>
      <c r="U65" s="49"/>
      <c r="V65" s="1"/>
      <c r="W65" s="1"/>
      <c r="X65" s="1"/>
      <c r="Y65" s="1"/>
      <c r="Z65" s="52"/>
      <c r="AA65" s="1"/>
      <c r="AB65" s="1"/>
      <c r="AC65" s="1"/>
      <c r="AD65" s="1"/>
      <c r="AE65" s="221"/>
    </row>
    <row r="66" spans="1:31" x14ac:dyDescent="0.25">
      <c r="A66" s="108">
        <v>55</v>
      </c>
      <c r="B66" s="1"/>
      <c r="C66" s="1"/>
      <c r="D66" s="1"/>
      <c r="E66" s="1"/>
      <c r="F66" s="39"/>
      <c r="G66" s="1"/>
      <c r="H66" s="1"/>
      <c r="I66" s="1"/>
      <c r="J66" s="1"/>
      <c r="K66" s="43"/>
      <c r="L66" s="1"/>
      <c r="M66" s="1"/>
      <c r="N66" s="1"/>
      <c r="O66" s="1"/>
      <c r="P66" s="46"/>
      <c r="Q66" s="1"/>
      <c r="R66" s="1"/>
      <c r="S66" s="1"/>
      <c r="T66" s="1"/>
      <c r="U66" s="49"/>
      <c r="V66" s="1"/>
      <c r="W66" s="1"/>
      <c r="X66" s="1"/>
      <c r="Y66" s="1"/>
      <c r="Z66" s="52"/>
      <c r="AA66" s="1"/>
      <c r="AB66" s="1"/>
      <c r="AC66" s="1"/>
      <c r="AD66" s="1"/>
      <c r="AE66" s="221"/>
    </row>
    <row r="67" spans="1:31" x14ac:dyDescent="0.25">
      <c r="A67" s="108">
        <v>56</v>
      </c>
      <c r="B67" s="1"/>
      <c r="C67" s="1"/>
      <c r="D67" s="1"/>
      <c r="E67" s="1"/>
      <c r="F67" s="39"/>
      <c r="G67" s="1"/>
      <c r="H67" s="1"/>
      <c r="I67" s="1"/>
      <c r="J67" s="1"/>
      <c r="K67" s="43"/>
      <c r="L67" s="1"/>
      <c r="M67" s="1"/>
      <c r="N67" s="1"/>
      <c r="O67" s="1"/>
      <c r="P67" s="46"/>
      <c r="Q67" s="1"/>
      <c r="R67" s="1"/>
      <c r="S67" s="1"/>
      <c r="T67" s="1"/>
      <c r="U67" s="49"/>
      <c r="V67" s="1"/>
      <c r="W67" s="1"/>
      <c r="X67" s="1"/>
      <c r="Y67" s="1"/>
      <c r="Z67" s="52"/>
      <c r="AA67" s="1"/>
      <c r="AB67" s="1"/>
      <c r="AC67" s="1"/>
      <c r="AD67" s="1"/>
      <c r="AE67" s="221"/>
    </row>
    <row r="68" spans="1:31" x14ac:dyDescent="0.25">
      <c r="A68" s="108">
        <v>57</v>
      </c>
      <c r="B68" s="1"/>
      <c r="C68" s="1"/>
      <c r="D68" s="1"/>
      <c r="E68" s="1"/>
      <c r="F68" s="39"/>
      <c r="G68" s="1"/>
      <c r="H68" s="1"/>
      <c r="I68" s="1"/>
      <c r="J68" s="1"/>
      <c r="K68" s="43"/>
      <c r="L68" s="1"/>
      <c r="M68" s="1"/>
      <c r="N68" s="1"/>
      <c r="O68" s="1"/>
      <c r="P68" s="46"/>
      <c r="Q68" s="1"/>
      <c r="R68" s="1"/>
      <c r="S68" s="1"/>
      <c r="T68" s="1"/>
      <c r="U68" s="49"/>
      <c r="V68" s="1"/>
      <c r="W68" s="1"/>
      <c r="X68" s="1"/>
      <c r="Y68" s="1"/>
      <c r="Z68" s="52"/>
      <c r="AA68" s="1"/>
      <c r="AB68" s="1"/>
      <c r="AC68" s="1"/>
      <c r="AD68" s="1"/>
      <c r="AE68" s="221"/>
    </row>
    <row r="69" spans="1:31" x14ac:dyDescent="0.25">
      <c r="A69" s="108">
        <v>58</v>
      </c>
      <c r="B69" s="1"/>
      <c r="C69" s="1"/>
      <c r="D69" s="1"/>
      <c r="E69" s="1"/>
      <c r="F69" s="39"/>
      <c r="G69" s="1"/>
      <c r="H69" s="1"/>
      <c r="I69" s="1"/>
      <c r="J69" s="1"/>
      <c r="K69" s="43"/>
      <c r="L69" s="1"/>
      <c r="M69" s="1"/>
      <c r="N69" s="1"/>
      <c r="O69" s="1"/>
      <c r="P69" s="46"/>
      <c r="Q69" s="1"/>
      <c r="R69" s="1"/>
      <c r="S69" s="1"/>
      <c r="T69" s="1"/>
      <c r="U69" s="49"/>
      <c r="V69" s="1"/>
      <c r="W69" s="1"/>
      <c r="X69" s="1"/>
      <c r="Y69" s="1"/>
      <c r="Z69" s="52"/>
      <c r="AA69" s="1"/>
      <c r="AB69" s="1"/>
      <c r="AC69" s="1"/>
      <c r="AD69" s="1"/>
      <c r="AE69" s="221"/>
    </row>
    <row r="70" spans="1:31" x14ac:dyDescent="0.25">
      <c r="A70" s="108">
        <v>59</v>
      </c>
      <c r="B70" s="1"/>
      <c r="C70" s="1"/>
      <c r="D70" s="1"/>
      <c r="E70" s="1"/>
      <c r="F70" s="39"/>
      <c r="G70" s="1"/>
      <c r="H70" s="1"/>
      <c r="I70" s="1"/>
      <c r="J70" s="1"/>
      <c r="K70" s="43"/>
      <c r="L70" s="1"/>
      <c r="M70" s="1"/>
      <c r="N70" s="1"/>
      <c r="O70" s="1"/>
      <c r="P70" s="46"/>
      <c r="Q70" s="1"/>
      <c r="R70" s="1"/>
      <c r="S70" s="1"/>
      <c r="T70" s="1"/>
      <c r="U70" s="49"/>
      <c r="V70" s="1"/>
      <c r="W70" s="1"/>
      <c r="X70" s="1"/>
      <c r="Y70" s="1"/>
      <c r="Z70" s="52"/>
      <c r="AA70" s="1"/>
      <c r="AB70" s="1"/>
      <c r="AC70" s="1"/>
      <c r="AD70" s="1"/>
      <c r="AE70" s="221"/>
    </row>
    <row r="71" spans="1:31" x14ac:dyDescent="0.25">
      <c r="A71" s="108">
        <v>60</v>
      </c>
      <c r="B71" s="1"/>
      <c r="C71" s="1"/>
      <c r="D71" s="1"/>
      <c r="E71" s="1"/>
      <c r="F71" s="39"/>
      <c r="G71" s="1"/>
      <c r="H71" s="1"/>
      <c r="I71" s="1"/>
      <c r="J71" s="1"/>
      <c r="K71" s="43"/>
      <c r="L71" s="1"/>
      <c r="M71" s="1"/>
      <c r="N71" s="1"/>
      <c r="O71" s="1"/>
      <c r="P71" s="46"/>
      <c r="Q71" s="1"/>
      <c r="R71" s="1"/>
      <c r="S71" s="1"/>
      <c r="T71" s="1"/>
      <c r="U71" s="49"/>
      <c r="V71" s="1"/>
      <c r="W71" s="1"/>
      <c r="X71" s="1"/>
      <c r="Y71" s="1"/>
      <c r="Z71" s="52"/>
      <c r="AA71" s="1"/>
      <c r="AB71" s="1"/>
      <c r="AC71" s="1"/>
      <c r="AD71" s="1"/>
      <c r="AE71" s="221"/>
    </row>
    <row r="72" spans="1:31" x14ac:dyDescent="0.25">
      <c r="A72" s="108">
        <v>61</v>
      </c>
      <c r="B72" s="1"/>
      <c r="C72" s="1"/>
      <c r="D72" s="1"/>
      <c r="E72" s="1"/>
      <c r="F72" s="39"/>
      <c r="G72" s="1"/>
      <c r="H72" s="1"/>
      <c r="I72" s="1"/>
      <c r="J72" s="1"/>
      <c r="K72" s="43"/>
      <c r="L72" s="1"/>
      <c r="M72" s="1"/>
      <c r="N72" s="1"/>
      <c r="O72" s="1"/>
      <c r="P72" s="46"/>
      <c r="Q72" s="1"/>
      <c r="R72" s="1"/>
      <c r="S72" s="1"/>
      <c r="T72" s="1"/>
      <c r="U72" s="49"/>
      <c r="V72" s="1"/>
      <c r="W72" s="1"/>
      <c r="X72" s="1"/>
      <c r="Y72" s="1"/>
      <c r="Z72" s="52"/>
      <c r="AA72" s="1"/>
      <c r="AB72" s="1"/>
      <c r="AC72" s="1"/>
      <c r="AD72" s="1"/>
      <c r="AE72" s="221"/>
    </row>
    <row r="73" spans="1:31" x14ac:dyDescent="0.25">
      <c r="A73" s="108">
        <v>62</v>
      </c>
      <c r="B73" s="1"/>
      <c r="C73" s="1"/>
      <c r="D73" s="1"/>
      <c r="E73" s="1"/>
      <c r="F73" s="39"/>
      <c r="G73" s="1"/>
      <c r="H73" s="1"/>
      <c r="I73" s="1"/>
      <c r="J73" s="1"/>
      <c r="K73" s="43"/>
      <c r="L73" s="1"/>
      <c r="M73" s="1"/>
      <c r="N73" s="1"/>
      <c r="O73" s="1"/>
      <c r="P73" s="46"/>
      <c r="Q73" s="1"/>
      <c r="R73" s="1"/>
      <c r="S73" s="1"/>
      <c r="T73" s="1"/>
      <c r="U73" s="49"/>
      <c r="V73" s="1"/>
      <c r="W73" s="1"/>
      <c r="X73" s="1"/>
      <c r="Y73" s="1"/>
      <c r="Z73" s="52"/>
      <c r="AA73" s="1"/>
      <c r="AB73" s="1"/>
      <c r="AC73" s="1"/>
      <c r="AD73" s="1"/>
      <c r="AE73" s="221"/>
    </row>
    <row r="74" spans="1:31" x14ac:dyDescent="0.25">
      <c r="A74" s="108">
        <v>63</v>
      </c>
      <c r="B74" s="1"/>
      <c r="C74" s="1"/>
      <c r="D74" s="1"/>
      <c r="E74" s="1"/>
      <c r="F74" s="39"/>
      <c r="G74" s="1"/>
      <c r="H74" s="1"/>
      <c r="I74" s="1"/>
      <c r="J74" s="1"/>
      <c r="K74" s="43"/>
      <c r="L74" s="1"/>
      <c r="M74" s="1"/>
      <c r="N74" s="1"/>
      <c r="O74" s="1"/>
      <c r="P74" s="46"/>
      <c r="Q74" s="1"/>
      <c r="R74" s="1"/>
      <c r="S74" s="1"/>
      <c r="T74" s="1"/>
      <c r="U74" s="49"/>
      <c r="V74" s="1"/>
      <c r="W74" s="1"/>
      <c r="X74" s="1"/>
      <c r="Y74" s="1"/>
      <c r="Z74" s="52"/>
      <c r="AA74" s="1"/>
      <c r="AB74" s="1"/>
      <c r="AC74" s="1"/>
      <c r="AD74" s="1"/>
      <c r="AE74" s="221"/>
    </row>
    <row r="75" spans="1:31" x14ac:dyDescent="0.25">
      <c r="A75" s="108">
        <v>64</v>
      </c>
      <c r="B75" s="1"/>
      <c r="C75" s="1"/>
      <c r="D75" s="1"/>
      <c r="E75" s="1"/>
      <c r="F75" s="39"/>
      <c r="G75" s="1"/>
      <c r="H75" s="1"/>
      <c r="I75" s="1"/>
      <c r="J75" s="1"/>
      <c r="K75" s="43"/>
      <c r="L75" s="1"/>
      <c r="M75" s="1"/>
      <c r="N75" s="1"/>
      <c r="O75" s="1"/>
      <c r="P75" s="46"/>
      <c r="Q75" s="1"/>
      <c r="R75" s="1"/>
      <c r="S75" s="1"/>
      <c r="T75" s="1"/>
      <c r="U75" s="49"/>
      <c r="V75" s="1"/>
      <c r="W75" s="1"/>
      <c r="X75" s="1"/>
      <c r="Y75" s="1"/>
      <c r="Z75" s="52"/>
      <c r="AA75" s="1"/>
      <c r="AB75" s="1"/>
      <c r="AC75" s="1"/>
      <c r="AD75" s="1"/>
      <c r="AE75" s="221"/>
    </row>
    <row r="76" spans="1:31" x14ac:dyDescent="0.25">
      <c r="A76" s="108">
        <v>65</v>
      </c>
      <c r="B76" s="1"/>
      <c r="C76" s="1"/>
      <c r="D76" s="1"/>
      <c r="E76" s="1"/>
      <c r="F76" s="39"/>
      <c r="G76" s="1"/>
      <c r="H76" s="1"/>
      <c r="I76" s="1"/>
      <c r="J76" s="1"/>
      <c r="K76" s="43"/>
      <c r="L76" s="1"/>
      <c r="M76" s="1"/>
      <c r="N76" s="1"/>
      <c r="O76" s="1"/>
      <c r="P76" s="46"/>
      <c r="Q76" s="1"/>
      <c r="R76" s="1"/>
      <c r="S76" s="1"/>
      <c r="T76" s="1"/>
      <c r="U76" s="49"/>
      <c r="V76" s="1"/>
      <c r="W76" s="1"/>
      <c r="X76" s="1"/>
      <c r="Y76" s="1"/>
      <c r="Z76" s="52"/>
      <c r="AA76" s="1"/>
      <c r="AB76" s="1"/>
      <c r="AC76" s="1"/>
      <c r="AD76" s="1"/>
      <c r="AE76" s="221"/>
    </row>
    <row r="77" spans="1:31" x14ac:dyDescent="0.25">
      <c r="A77" s="108">
        <v>66</v>
      </c>
      <c r="B77" s="1"/>
      <c r="C77" s="1"/>
      <c r="D77" s="1"/>
      <c r="E77" s="1"/>
      <c r="F77" s="39"/>
      <c r="G77" s="1"/>
      <c r="H77" s="1"/>
      <c r="I77" s="1"/>
      <c r="J77" s="1"/>
      <c r="K77" s="43"/>
      <c r="L77" s="1"/>
      <c r="M77" s="1"/>
      <c r="N77" s="1"/>
      <c r="O77" s="1"/>
      <c r="P77" s="46"/>
      <c r="Q77" s="1"/>
      <c r="R77" s="1"/>
      <c r="S77" s="1"/>
      <c r="T77" s="1"/>
      <c r="U77" s="49"/>
      <c r="V77" s="1"/>
      <c r="W77" s="1"/>
      <c r="X77" s="1"/>
      <c r="Y77" s="1"/>
      <c r="Z77" s="52"/>
      <c r="AA77" s="1"/>
      <c r="AB77" s="1"/>
      <c r="AC77" s="1"/>
      <c r="AD77" s="1"/>
      <c r="AE77" s="221"/>
    </row>
    <row r="78" spans="1:31" x14ac:dyDescent="0.25">
      <c r="A78" s="108">
        <v>67</v>
      </c>
      <c r="B78" s="1"/>
      <c r="C78" s="1"/>
      <c r="D78" s="1"/>
      <c r="E78" s="1"/>
      <c r="F78" s="39"/>
      <c r="G78" s="1"/>
      <c r="H78" s="1"/>
      <c r="I78" s="1"/>
      <c r="J78" s="1"/>
      <c r="K78" s="43"/>
      <c r="L78" s="1"/>
      <c r="M78" s="1"/>
      <c r="N78" s="1"/>
      <c r="O78" s="1"/>
      <c r="P78" s="46"/>
      <c r="Q78" s="1"/>
      <c r="R78" s="1"/>
      <c r="S78" s="1"/>
      <c r="T78" s="1"/>
      <c r="U78" s="49"/>
      <c r="V78" s="1"/>
      <c r="W78" s="1"/>
      <c r="X78" s="1"/>
      <c r="Y78" s="1"/>
      <c r="Z78" s="52"/>
      <c r="AA78" s="1"/>
      <c r="AB78" s="1"/>
      <c r="AC78" s="1"/>
      <c r="AD78" s="1"/>
      <c r="AE78" s="221"/>
    </row>
    <row r="79" spans="1:31" x14ac:dyDescent="0.25">
      <c r="A79" s="108">
        <v>68</v>
      </c>
      <c r="B79" s="1"/>
      <c r="C79" s="1"/>
      <c r="D79" s="1"/>
      <c r="E79" s="1"/>
      <c r="F79" s="39"/>
      <c r="G79" s="1"/>
      <c r="H79" s="1"/>
      <c r="I79" s="1"/>
      <c r="J79" s="1"/>
      <c r="K79" s="43"/>
      <c r="L79" s="1"/>
      <c r="M79" s="1"/>
      <c r="N79" s="1"/>
      <c r="O79" s="1"/>
      <c r="P79" s="46"/>
      <c r="Q79" s="1"/>
      <c r="R79" s="1"/>
      <c r="S79" s="1"/>
      <c r="T79" s="1"/>
      <c r="U79" s="49"/>
      <c r="V79" s="1"/>
      <c r="W79" s="1"/>
      <c r="X79" s="1"/>
      <c r="Y79" s="1"/>
      <c r="Z79" s="52"/>
      <c r="AA79" s="1"/>
      <c r="AB79" s="1"/>
      <c r="AC79" s="1"/>
      <c r="AD79" s="1"/>
      <c r="AE79" s="221"/>
    </row>
    <row r="80" spans="1:31" x14ac:dyDescent="0.25">
      <c r="A80" s="108">
        <v>69</v>
      </c>
      <c r="B80" s="1"/>
      <c r="C80" s="1"/>
      <c r="D80" s="1"/>
      <c r="E80" s="1"/>
      <c r="F80" s="39"/>
      <c r="G80" s="1"/>
      <c r="H80" s="1"/>
      <c r="I80" s="1"/>
      <c r="J80" s="1"/>
      <c r="K80" s="43"/>
      <c r="L80" s="1"/>
      <c r="M80" s="1"/>
      <c r="N80" s="1"/>
      <c r="O80" s="1"/>
      <c r="P80" s="46"/>
      <c r="Q80" s="1"/>
      <c r="R80" s="1"/>
      <c r="S80" s="1"/>
      <c r="T80" s="1"/>
      <c r="U80" s="49"/>
      <c r="V80" s="1"/>
      <c r="W80" s="1"/>
      <c r="X80" s="1"/>
      <c r="Y80" s="1"/>
      <c r="Z80" s="52"/>
      <c r="AA80" s="1"/>
      <c r="AB80" s="1"/>
      <c r="AC80" s="1"/>
      <c r="AD80" s="1"/>
      <c r="AE80" s="221"/>
    </row>
    <row r="81" spans="1:31" x14ac:dyDescent="0.25">
      <c r="A81" s="108">
        <v>70</v>
      </c>
      <c r="B81" s="1"/>
      <c r="C81" s="1"/>
      <c r="D81" s="1"/>
      <c r="E81" s="1"/>
      <c r="F81" s="39"/>
      <c r="G81" s="1"/>
      <c r="H81" s="1"/>
      <c r="I81" s="1"/>
      <c r="J81" s="1"/>
      <c r="K81" s="43"/>
      <c r="L81" s="1"/>
      <c r="M81" s="1"/>
      <c r="N81" s="1"/>
      <c r="O81" s="1"/>
      <c r="P81" s="46"/>
      <c r="Q81" s="1"/>
      <c r="R81" s="1"/>
      <c r="S81" s="1"/>
      <c r="T81" s="1"/>
      <c r="U81" s="49"/>
      <c r="V81" s="1"/>
      <c r="W81" s="1"/>
      <c r="X81" s="1"/>
      <c r="Y81" s="1"/>
      <c r="Z81" s="52"/>
      <c r="AA81" s="1"/>
      <c r="AB81" s="1"/>
      <c r="AC81" s="1"/>
      <c r="AD81" s="1"/>
      <c r="AE81" s="221"/>
    </row>
    <row r="82" spans="1:31" x14ac:dyDescent="0.25">
      <c r="A82" s="108">
        <v>71</v>
      </c>
      <c r="B82" s="1"/>
      <c r="C82" s="1"/>
      <c r="D82" s="1"/>
      <c r="E82" s="1"/>
      <c r="F82" s="39"/>
      <c r="G82" s="1"/>
      <c r="H82" s="1"/>
      <c r="I82" s="1"/>
      <c r="J82" s="1"/>
      <c r="K82" s="43"/>
      <c r="L82" s="1"/>
      <c r="M82" s="1"/>
      <c r="N82" s="1"/>
      <c r="O82" s="1"/>
      <c r="P82" s="46"/>
      <c r="Q82" s="1"/>
      <c r="R82" s="1"/>
      <c r="S82" s="1"/>
      <c r="T82" s="1"/>
      <c r="U82" s="49"/>
      <c r="V82" s="1"/>
      <c r="W82" s="1"/>
      <c r="X82" s="1"/>
      <c r="Y82" s="1"/>
      <c r="Z82" s="52"/>
      <c r="AA82" s="1"/>
      <c r="AB82" s="1"/>
      <c r="AC82" s="1"/>
      <c r="AD82" s="1"/>
      <c r="AE82" s="221"/>
    </row>
    <row r="83" spans="1:31" x14ac:dyDescent="0.25">
      <c r="A83" s="108">
        <v>72</v>
      </c>
      <c r="B83" s="1"/>
      <c r="C83" s="1"/>
      <c r="D83" s="1"/>
      <c r="E83" s="1"/>
      <c r="F83" s="39"/>
      <c r="G83" s="1"/>
      <c r="H83" s="1"/>
      <c r="I83" s="1"/>
      <c r="J83" s="1"/>
      <c r="K83" s="43"/>
      <c r="L83" s="1"/>
      <c r="M83" s="1"/>
      <c r="N83" s="1"/>
      <c r="O83" s="1"/>
      <c r="P83" s="46"/>
      <c r="Q83" s="1"/>
      <c r="R83" s="1"/>
      <c r="S83" s="1"/>
      <c r="T83" s="1"/>
      <c r="U83" s="49"/>
      <c r="V83" s="1"/>
      <c r="W83" s="1"/>
      <c r="X83" s="1"/>
      <c r="Y83" s="1"/>
      <c r="Z83" s="52"/>
      <c r="AA83" s="1"/>
      <c r="AB83" s="1"/>
      <c r="AC83" s="1"/>
      <c r="AD83" s="1"/>
      <c r="AE83" s="221"/>
    </row>
    <row r="84" spans="1:31" x14ac:dyDescent="0.25">
      <c r="A84" s="108">
        <v>73</v>
      </c>
      <c r="B84" s="1"/>
      <c r="C84" s="1"/>
      <c r="D84" s="1"/>
      <c r="E84" s="1"/>
      <c r="F84" s="39"/>
      <c r="G84" s="1"/>
      <c r="H84" s="1"/>
      <c r="I84" s="1"/>
      <c r="J84" s="1"/>
      <c r="K84" s="43"/>
      <c r="L84" s="1"/>
      <c r="M84" s="1"/>
      <c r="N84" s="1"/>
      <c r="O84" s="1"/>
      <c r="P84" s="46"/>
      <c r="Q84" s="1"/>
      <c r="R84" s="1"/>
      <c r="S84" s="1"/>
      <c r="T84" s="1"/>
      <c r="U84" s="49"/>
      <c r="V84" s="1"/>
      <c r="W84" s="1"/>
      <c r="X84" s="1"/>
      <c r="Y84" s="1"/>
      <c r="Z84" s="52"/>
      <c r="AA84" s="1"/>
      <c r="AB84" s="1"/>
      <c r="AC84" s="1"/>
      <c r="AD84" s="1"/>
      <c r="AE84" s="221"/>
    </row>
    <row r="85" spans="1:31" x14ac:dyDescent="0.25">
      <c r="A85" s="108">
        <v>74</v>
      </c>
      <c r="B85" s="1"/>
      <c r="C85" s="1"/>
      <c r="D85" s="1"/>
      <c r="E85" s="1"/>
      <c r="F85" s="39"/>
      <c r="G85" s="1"/>
      <c r="H85" s="1"/>
      <c r="I85" s="1"/>
      <c r="J85" s="1"/>
      <c r="K85" s="43"/>
      <c r="L85" s="1"/>
      <c r="M85" s="1"/>
      <c r="N85" s="1"/>
      <c r="O85" s="1"/>
      <c r="P85" s="46"/>
      <c r="Q85" s="1"/>
      <c r="R85" s="1"/>
      <c r="S85" s="1"/>
      <c r="T85" s="1"/>
      <c r="U85" s="49"/>
      <c r="V85" s="1"/>
      <c r="W85" s="1"/>
      <c r="X85" s="1"/>
      <c r="Y85" s="1"/>
      <c r="Z85" s="52"/>
      <c r="AA85" s="1"/>
      <c r="AB85" s="1"/>
      <c r="AC85" s="1"/>
      <c r="AD85" s="1"/>
      <c r="AE85" s="221"/>
    </row>
    <row r="86" spans="1:31" x14ac:dyDescent="0.25">
      <c r="A86" s="108">
        <v>75</v>
      </c>
      <c r="B86" s="1"/>
      <c r="C86" s="1"/>
      <c r="D86" s="1"/>
      <c r="E86" s="1"/>
      <c r="F86" s="39"/>
      <c r="G86" s="1"/>
      <c r="H86" s="1"/>
      <c r="I86" s="1"/>
      <c r="J86" s="1"/>
      <c r="K86" s="43"/>
      <c r="L86" s="1"/>
      <c r="M86" s="1"/>
      <c r="N86" s="1"/>
      <c r="O86" s="1"/>
      <c r="P86" s="46"/>
      <c r="Q86" s="1"/>
      <c r="R86" s="1"/>
      <c r="S86" s="1"/>
      <c r="T86" s="1"/>
      <c r="U86" s="49"/>
      <c r="V86" s="1"/>
      <c r="W86" s="1"/>
      <c r="X86" s="1"/>
      <c r="Y86" s="1"/>
      <c r="Z86" s="52"/>
      <c r="AA86" s="1"/>
      <c r="AB86" s="1"/>
      <c r="AC86" s="1"/>
      <c r="AD86" s="1"/>
      <c r="AE86" s="221"/>
    </row>
    <row r="87" spans="1:31" x14ac:dyDescent="0.25">
      <c r="A87" s="108">
        <v>76</v>
      </c>
      <c r="B87" s="1"/>
      <c r="C87" s="1"/>
      <c r="D87" s="1"/>
      <c r="E87" s="1"/>
      <c r="F87" s="39"/>
      <c r="G87" s="1"/>
      <c r="H87" s="1"/>
      <c r="I87" s="1"/>
      <c r="J87" s="1"/>
      <c r="K87" s="43"/>
      <c r="L87" s="1"/>
      <c r="M87" s="1"/>
      <c r="N87" s="1"/>
      <c r="O87" s="1"/>
      <c r="P87" s="46"/>
      <c r="Q87" s="1"/>
      <c r="R87" s="1"/>
      <c r="S87" s="1"/>
      <c r="T87" s="1"/>
      <c r="U87" s="49"/>
      <c r="V87" s="1"/>
      <c r="W87" s="1"/>
      <c r="X87" s="1"/>
      <c r="Y87" s="1"/>
      <c r="Z87" s="52"/>
      <c r="AA87" s="1"/>
      <c r="AB87" s="1"/>
      <c r="AC87" s="1"/>
      <c r="AD87" s="1"/>
      <c r="AE87" s="221"/>
    </row>
    <row r="88" spans="1:31" x14ac:dyDescent="0.25">
      <c r="A88" s="108">
        <v>77</v>
      </c>
      <c r="B88" s="1"/>
      <c r="C88" s="1"/>
      <c r="D88" s="1"/>
      <c r="E88" s="1"/>
      <c r="F88" s="39"/>
      <c r="G88" s="1"/>
      <c r="H88" s="1"/>
      <c r="I88" s="1"/>
      <c r="J88" s="1"/>
      <c r="K88" s="43"/>
      <c r="L88" s="1"/>
      <c r="M88" s="1"/>
      <c r="N88" s="1"/>
      <c r="O88" s="1"/>
      <c r="P88" s="46"/>
      <c r="Q88" s="1"/>
      <c r="R88" s="1"/>
      <c r="S88" s="1"/>
      <c r="T88" s="1"/>
      <c r="U88" s="49"/>
      <c r="V88" s="1"/>
      <c r="W88" s="1"/>
      <c r="X88" s="1"/>
      <c r="Y88" s="1"/>
      <c r="Z88" s="52"/>
      <c r="AA88" s="1"/>
      <c r="AB88" s="1"/>
      <c r="AC88" s="1"/>
      <c r="AD88" s="1"/>
      <c r="AE88" s="221"/>
    </row>
    <row r="89" spans="1:31" x14ac:dyDescent="0.25">
      <c r="A89" s="108">
        <v>78</v>
      </c>
      <c r="B89" s="1"/>
      <c r="C89" s="1"/>
      <c r="D89" s="1"/>
      <c r="E89" s="1"/>
      <c r="F89" s="39"/>
      <c r="G89" s="1"/>
      <c r="H89" s="1"/>
      <c r="I89" s="1"/>
      <c r="J89" s="1"/>
      <c r="K89" s="43"/>
      <c r="L89" s="1"/>
      <c r="M89" s="1"/>
      <c r="N89" s="1"/>
      <c r="O89" s="1"/>
      <c r="P89" s="46"/>
      <c r="Q89" s="1"/>
      <c r="R89" s="1"/>
      <c r="S89" s="1"/>
      <c r="T89" s="1"/>
      <c r="U89" s="49"/>
      <c r="V89" s="1"/>
      <c r="W89" s="1"/>
      <c r="X89" s="1"/>
      <c r="Y89" s="1"/>
      <c r="Z89" s="52"/>
      <c r="AA89" s="1"/>
      <c r="AB89" s="1"/>
      <c r="AC89" s="1"/>
      <c r="AD89" s="1"/>
      <c r="AE89" s="221"/>
    </row>
    <row r="90" spans="1:31" x14ac:dyDescent="0.25">
      <c r="A90" s="108">
        <v>79</v>
      </c>
      <c r="B90" s="1"/>
      <c r="C90" s="1"/>
      <c r="D90" s="1"/>
      <c r="E90" s="1"/>
      <c r="F90" s="39"/>
      <c r="G90" s="1"/>
      <c r="H90" s="1"/>
      <c r="I90" s="1"/>
      <c r="J90" s="1"/>
      <c r="K90" s="43"/>
      <c r="L90" s="1"/>
      <c r="M90" s="1"/>
      <c r="N90" s="1"/>
      <c r="O90" s="1"/>
      <c r="P90" s="46"/>
      <c r="Q90" s="1"/>
      <c r="R90" s="1"/>
      <c r="S90" s="1"/>
      <c r="T90" s="1"/>
      <c r="U90" s="49"/>
      <c r="V90" s="1"/>
      <c r="W90" s="1"/>
      <c r="X90" s="1"/>
      <c r="Y90" s="1"/>
      <c r="Z90" s="52"/>
      <c r="AA90" s="1"/>
      <c r="AB90" s="1"/>
      <c r="AC90" s="1"/>
      <c r="AD90" s="1"/>
      <c r="AE90" s="221"/>
    </row>
    <row r="91" spans="1:31" x14ac:dyDescent="0.25">
      <c r="A91" s="108">
        <v>80</v>
      </c>
      <c r="B91" s="1"/>
      <c r="C91" s="1"/>
      <c r="D91" s="1"/>
      <c r="E91" s="1"/>
      <c r="F91" s="39"/>
      <c r="G91" s="1"/>
      <c r="H91" s="1"/>
      <c r="I91" s="1"/>
      <c r="J91" s="1"/>
      <c r="K91" s="43"/>
      <c r="L91" s="1"/>
      <c r="M91" s="1"/>
      <c r="N91" s="1"/>
      <c r="O91" s="1"/>
      <c r="P91" s="46"/>
      <c r="Q91" s="1"/>
      <c r="R91" s="1"/>
      <c r="S91" s="1"/>
      <c r="T91" s="1"/>
      <c r="U91" s="49"/>
      <c r="V91" s="1"/>
      <c r="W91" s="1"/>
      <c r="X91" s="1"/>
      <c r="Y91" s="1"/>
      <c r="Z91" s="52"/>
      <c r="AA91" s="1"/>
      <c r="AB91" s="1"/>
      <c r="AC91" s="1"/>
      <c r="AD91" s="1"/>
      <c r="AE91" s="221"/>
    </row>
    <row r="92" spans="1:31" x14ac:dyDescent="0.25">
      <c r="A92" s="108">
        <v>81</v>
      </c>
      <c r="B92" s="1"/>
      <c r="C92" s="1"/>
      <c r="D92" s="1"/>
      <c r="E92" s="1"/>
      <c r="F92" s="39"/>
      <c r="G92" s="1"/>
      <c r="H92" s="1"/>
      <c r="I92" s="1"/>
      <c r="J92" s="1"/>
      <c r="K92" s="43"/>
      <c r="L92" s="1"/>
      <c r="M92" s="1"/>
      <c r="N92" s="1"/>
      <c r="O92" s="1"/>
      <c r="P92" s="46"/>
      <c r="Q92" s="1"/>
      <c r="R92" s="1"/>
      <c r="S92" s="1"/>
      <c r="T92" s="1"/>
      <c r="U92" s="49"/>
      <c r="V92" s="1"/>
      <c r="W92" s="1"/>
      <c r="X92" s="1"/>
      <c r="Y92" s="1"/>
      <c r="Z92" s="52"/>
      <c r="AA92" s="1"/>
      <c r="AB92" s="1"/>
      <c r="AC92" s="1"/>
      <c r="AD92" s="1"/>
      <c r="AE92" s="221"/>
    </row>
    <row r="93" spans="1:31" x14ac:dyDescent="0.25">
      <c r="A93" s="108">
        <v>82</v>
      </c>
      <c r="B93" s="1"/>
      <c r="C93" s="1"/>
      <c r="D93" s="1"/>
      <c r="E93" s="1"/>
      <c r="F93" s="39"/>
      <c r="G93" s="1"/>
      <c r="H93" s="1"/>
      <c r="I93" s="1"/>
      <c r="J93" s="1"/>
      <c r="K93" s="43"/>
      <c r="L93" s="1"/>
      <c r="M93" s="1"/>
      <c r="N93" s="1"/>
      <c r="O93" s="1"/>
      <c r="P93" s="46"/>
      <c r="Q93" s="1"/>
      <c r="R93" s="1"/>
      <c r="S93" s="1"/>
      <c r="T93" s="1"/>
      <c r="U93" s="49"/>
      <c r="V93" s="1"/>
      <c r="W93" s="1"/>
      <c r="X93" s="1"/>
      <c r="Y93" s="1"/>
      <c r="Z93" s="52"/>
      <c r="AA93" s="1"/>
      <c r="AB93" s="1"/>
      <c r="AC93" s="1"/>
      <c r="AD93" s="1"/>
      <c r="AE93" s="221"/>
    </row>
    <row r="94" spans="1:31" x14ac:dyDescent="0.25">
      <c r="A94" s="108">
        <v>83</v>
      </c>
      <c r="B94" s="1"/>
      <c r="C94" s="1"/>
      <c r="D94" s="1"/>
      <c r="E94" s="1"/>
      <c r="F94" s="39"/>
      <c r="G94" s="1"/>
      <c r="H94" s="1"/>
      <c r="I94" s="1"/>
      <c r="J94" s="1"/>
      <c r="K94" s="43"/>
      <c r="L94" s="1"/>
      <c r="M94" s="1"/>
      <c r="N94" s="1"/>
      <c r="O94" s="1"/>
      <c r="P94" s="46"/>
      <c r="Q94" s="1"/>
      <c r="R94" s="1"/>
      <c r="S94" s="1"/>
      <c r="T94" s="1"/>
      <c r="U94" s="49"/>
      <c r="V94" s="1"/>
      <c r="W94" s="1"/>
      <c r="X94" s="1"/>
      <c r="Y94" s="1"/>
      <c r="Z94" s="52"/>
      <c r="AA94" s="1"/>
      <c r="AB94" s="1"/>
      <c r="AC94" s="1"/>
      <c r="AD94" s="1"/>
      <c r="AE94" s="221"/>
    </row>
    <row r="95" spans="1:31" x14ac:dyDescent="0.25">
      <c r="A95" s="108">
        <v>84</v>
      </c>
      <c r="B95" s="1"/>
      <c r="C95" s="1"/>
      <c r="D95" s="1"/>
      <c r="E95" s="1"/>
      <c r="F95" s="39"/>
      <c r="G95" s="1"/>
      <c r="H95" s="1"/>
      <c r="I95" s="1"/>
      <c r="J95" s="1"/>
      <c r="K95" s="43"/>
      <c r="L95" s="1"/>
      <c r="M95" s="1"/>
      <c r="N95" s="1"/>
      <c r="O95" s="1"/>
      <c r="P95" s="46"/>
      <c r="Q95" s="1"/>
      <c r="R95" s="1"/>
      <c r="S95" s="1"/>
      <c r="T95" s="1"/>
      <c r="U95" s="49"/>
      <c r="V95" s="1"/>
      <c r="W95" s="1"/>
      <c r="X95" s="1"/>
      <c r="Y95" s="1"/>
      <c r="Z95" s="52"/>
      <c r="AA95" s="1"/>
      <c r="AB95" s="1"/>
      <c r="AC95" s="1"/>
      <c r="AD95" s="1"/>
      <c r="AE95" s="221"/>
    </row>
    <row r="96" spans="1:31" x14ac:dyDescent="0.25">
      <c r="A96" s="108">
        <v>85</v>
      </c>
      <c r="B96" s="1"/>
      <c r="C96" s="1"/>
      <c r="D96" s="1"/>
      <c r="E96" s="1"/>
      <c r="F96" s="39"/>
      <c r="G96" s="1"/>
      <c r="H96" s="1"/>
      <c r="I96" s="1"/>
      <c r="J96" s="1"/>
      <c r="K96" s="43"/>
      <c r="L96" s="1"/>
      <c r="M96" s="1"/>
      <c r="N96" s="1"/>
      <c r="O96" s="1"/>
      <c r="P96" s="46"/>
      <c r="Q96" s="1"/>
      <c r="R96" s="1"/>
      <c r="S96" s="1"/>
      <c r="T96" s="1"/>
      <c r="U96" s="49"/>
      <c r="V96" s="1"/>
      <c r="W96" s="1"/>
      <c r="X96" s="1"/>
      <c r="Y96" s="1"/>
      <c r="Z96" s="52"/>
      <c r="AA96" s="1"/>
      <c r="AB96" s="1"/>
      <c r="AC96" s="1"/>
      <c r="AD96" s="1"/>
      <c r="AE96" s="221"/>
    </row>
    <row r="97" spans="1:31" x14ac:dyDescent="0.25">
      <c r="A97" s="108">
        <v>86</v>
      </c>
      <c r="B97" s="1"/>
      <c r="C97" s="1"/>
      <c r="D97" s="1"/>
      <c r="E97" s="1"/>
      <c r="F97" s="39"/>
      <c r="G97" s="1"/>
      <c r="H97" s="1"/>
      <c r="I97" s="1"/>
      <c r="J97" s="1"/>
      <c r="K97" s="43"/>
      <c r="L97" s="1"/>
      <c r="M97" s="1"/>
      <c r="N97" s="1"/>
      <c r="O97" s="1"/>
      <c r="P97" s="46"/>
      <c r="Q97" s="1"/>
      <c r="R97" s="1"/>
      <c r="S97" s="1"/>
      <c r="T97" s="1"/>
      <c r="U97" s="49"/>
      <c r="V97" s="1"/>
      <c r="W97" s="1"/>
      <c r="X97" s="1"/>
      <c r="Y97" s="1"/>
      <c r="Z97" s="52"/>
      <c r="AA97" s="1"/>
      <c r="AB97" s="1"/>
      <c r="AC97" s="1"/>
      <c r="AD97" s="1"/>
      <c r="AE97" s="221"/>
    </row>
    <row r="98" spans="1:31" x14ac:dyDescent="0.25">
      <c r="A98" s="108">
        <v>87</v>
      </c>
      <c r="B98" s="1"/>
      <c r="C98" s="1"/>
      <c r="D98" s="1"/>
      <c r="E98" s="1"/>
      <c r="F98" s="39"/>
      <c r="G98" s="1"/>
      <c r="H98" s="1"/>
      <c r="I98" s="1"/>
      <c r="J98" s="1"/>
      <c r="K98" s="43"/>
      <c r="L98" s="1"/>
      <c r="M98" s="1"/>
      <c r="N98" s="1"/>
      <c r="O98" s="1"/>
      <c r="P98" s="46"/>
      <c r="Q98" s="1"/>
      <c r="R98" s="1"/>
      <c r="S98" s="1"/>
      <c r="T98" s="1"/>
      <c r="U98" s="49"/>
      <c r="V98" s="1"/>
      <c r="W98" s="1"/>
      <c r="X98" s="1"/>
      <c r="Y98" s="1"/>
      <c r="Z98" s="52"/>
      <c r="AA98" s="1"/>
      <c r="AB98" s="1"/>
      <c r="AC98" s="1"/>
      <c r="AD98" s="1"/>
      <c r="AE98" s="221"/>
    </row>
    <row r="99" spans="1:31" x14ac:dyDescent="0.25">
      <c r="A99" s="108">
        <v>88</v>
      </c>
      <c r="B99" s="1"/>
      <c r="C99" s="1"/>
      <c r="D99" s="1"/>
      <c r="E99" s="1"/>
      <c r="F99" s="39"/>
      <c r="G99" s="1"/>
      <c r="H99" s="1"/>
      <c r="I99" s="1"/>
      <c r="J99" s="1"/>
      <c r="K99" s="43"/>
      <c r="L99" s="1"/>
      <c r="M99" s="1"/>
      <c r="N99" s="1"/>
      <c r="O99" s="1"/>
      <c r="P99" s="46"/>
      <c r="Q99" s="1"/>
      <c r="R99" s="1"/>
      <c r="S99" s="1"/>
      <c r="T99" s="1"/>
      <c r="U99" s="49"/>
      <c r="V99" s="1"/>
      <c r="W99" s="1"/>
      <c r="X99" s="1"/>
      <c r="Y99" s="1"/>
      <c r="Z99" s="52"/>
      <c r="AA99" s="1"/>
      <c r="AB99" s="1"/>
      <c r="AC99" s="1"/>
      <c r="AD99" s="1"/>
      <c r="AE99" s="221"/>
    </row>
    <row r="100" spans="1:31" x14ac:dyDescent="0.25">
      <c r="A100" s="108">
        <v>89</v>
      </c>
      <c r="B100" s="1"/>
      <c r="C100" s="1"/>
      <c r="D100" s="1"/>
      <c r="E100" s="1"/>
      <c r="F100" s="39"/>
      <c r="G100" s="1"/>
      <c r="H100" s="1"/>
      <c r="I100" s="1"/>
      <c r="J100" s="1"/>
      <c r="K100" s="43"/>
      <c r="L100" s="1"/>
      <c r="M100" s="1"/>
      <c r="N100" s="1"/>
      <c r="O100" s="1"/>
      <c r="P100" s="46"/>
      <c r="Q100" s="1"/>
      <c r="R100" s="1"/>
      <c r="S100" s="1"/>
      <c r="T100" s="1"/>
      <c r="U100" s="49"/>
      <c r="V100" s="1"/>
      <c r="W100" s="1"/>
      <c r="X100" s="1"/>
      <c r="Y100" s="1"/>
      <c r="Z100" s="52"/>
      <c r="AA100" s="1"/>
      <c r="AB100" s="1"/>
      <c r="AC100" s="1"/>
      <c r="AD100" s="1"/>
      <c r="AE100" s="221"/>
    </row>
    <row r="101" spans="1:31" x14ac:dyDescent="0.25">
      <c r="A101" s="108">
        <v>90</v>
      </c>
      <c r="B101" s="1"/>
      <c r="C101" s="1"/>
      <c r="D101" s="1"/>
      <c r="E101" s="1"/>
      <c r="F101" s="39"/>
      <c r="G101" s="1"/>
      <c r="H101" s="1"/>
      <c r="I101" s="1"/>
      <c r="J101" s="1"/>
      <c r="K101" s="43"/>
      <c r="L101" s="1"/>
      <c r="M101" s="1"/>
      <c r="N101" s="1"/>
      <c r="O101" s="1"/>
      <c r="P101" s="46"/>
      <c r="Q101" s="1"/>
      <c r="R101" s="1"/>
      <c r="S101" s="1"/>
      <c r="T101" s="1"/>
      <c r="U101" s="49"/>
      <c r="V101" s="1"/>
      <c r="W101" s="1"/>
      <c r="X101" s="1"/>
      <c r="Y101" s="1"/>
      <c r="Z101" s="52"/>
      <c r="AA101" s="1"/>
      <c r="AB101" s="1"/>
      <c r="AC101" s="1"/>
      <c r="AD101" s="1"/>
      <c r="AE101" s="221"/>
    </row>
    <row r="102" spans="1:31" x14ac:dyDescent="0.25">
      <c r="A102" s="108">
        <v>91</v>
      </c>
      <c r="B102" s="1"/>
      <c r="C102" s="1"/>
      <c r="D102" s="1"/>
      <c r="E102" s="1"/>
      <c r="F102" s="39"/>
      <c r="G102" s="1"/>
      <c r="H102" s="1"/>
      <c r="I102" s="1"/>
      <c r="J102" s="1"/>
      <c r="K102" s="43"/>
      <c r="L102" s="1"/>
      <c r="M102" s="1"/>
      <c r="N102" s="1"/>
      <c r="O102" s="1"/>
      <c r="P102" s="46"/>
      <c r="Q102" s="1"/>
      <c r="R102" s="1"/>
      <c r="S102" s="1"/>
      <c r="T102" s="1"/>
      <c r="U102" s="49"/>
      <c r="V102" s="1"/>
      <c r="W102" s="1"/>
      <c r="X102" s="1"/>
      <c r="Y102" s="1"/>
      <c r="Z102" s="52"/>
      <c r="AA102" s="1"/>
      <c r="AB102" s="1"/>
      <c r="AC102" s="1"/>
      <c r="AD102" s="1"/>
      <c r="AE102" s="221"/>
    </row>
    <row r="103" spans="1:31" x14ac:dyDescent="0.25">
      <c r="A103" s="108">
        <v>92</v>
      </c>
      <c r="B103" s="1"/>
      <c r="C103" s="1"/>
      <c r="D103" s="1"/>
      <c r="E103" s="1"/>
      <c r="F103" s="39"/>
      <c r="G103" s="1"/>
      <c r="H103" s="1"/>
      <c r="I103" s="1"/>
      <c r="J103" s="1"/>
      <c r="K103" s="43"/>
      <c r="L103" s="1"/>
      <c r="M103" s="1"/>
      <c r="N103" s="1"/>
      <c r="O103" s="1"/>
      <c r="P103" s="46"/>
      <c r="Q103" s="1"/>
      <c r="R103" s="1"/>
      <c r="S103" s="1"/>
      <c r="T103" s="1"/>
      <c r="U103" s="49"/>
      <c r="V103" s="1"/>
      <c r="W103" s="1"/>
      <c r="X103" s="1"/>
      <c r="Y103" s="1"/>
      <c r="Z103" s="52"/>
      <c r="AA103" s="1"/>
      <c r="AB103" s="1"/>
      <c r="AC103" s="1"/>
      <c r="AD103" s="1"/>
      <c r="AE103" s="221"/>
    </row>
    <row r="104" spans="1:31" x14ac:dyDescent="0.25">
      <c r="A104" s="108">
        <v>93</v>
      </c>
      <c r="B104" s="1"/>
      <c r="C104" s="1"/>
      <c r="D104" s="1"/>
      <c r="E104" s="1"/>
      <c r="F104" s="39"/>
      <c r="G104" s="1"/>
      <c r="H104" s="1"/>
      <c r="I104" s="1"/>
      <c r="J104" s="1"/>
      <c r="K104" s="43"/>
      <c r="L104" s="1"/>
      <c r="M104" s="1"/>
      <c r="N104" s="1"/>
      <c r="O104" s="1"/>
      <c r="P104" s="46"/>
      <c r="Q104" s="1"/>
      <c r="R104" s="1"/>
      <c r="S104" s="1"/>
      <c r="T104" s="1"/>
      <c r="U104" s="49"/>
      <c r="V104" s="1"/>
      <c r="W104" s="1"/>
      <c r="X104" s="1"/>
      <c r="Y104" s="1"/>
      <c r="Z104" s="52"/>
      <c r="AA104" s="1"/>
      <c r="AB104" s="1"/>
      <c r="AC104" s="1"/>
      <c r="AD104" s="1"/>
      <c r="AE104" s="221"/>
    </row>
    <row r="105" spans="1:31" x14ac:dyDescent="0.25">
      <c r="A105" s="108">
        <v>94</v>
      </c>
      <c r="B105" s="1"/>
      <c r="C105" s="1"/>
      <c r="D105" s="1"/>
      <c r="E105" s="1"/>
      <c r="F105" s="39"/>
      <c r="G105" s="1"/>
      <c r="H105" s="1"/>
      <c r="I105" s="1"/>
      <c r="J105" s="1"/>
      <c r="K105" s="43"/>
      <c r="L105" s="1"/>
      <c r="M105" s="1"/>
      <c r="N105" s="1"/>
      <c r="O105" s="1"/>
      <c r="P105" s="46"/>
      <c r="Q105" s="1"/>
      <c r="R105" s="1"/>
      <c r="S105" s="1"/>
      <c r="T105" s="1"/>
      <c r="U105" s="49"/>
      <c r="V105" s="1"/>
      <c r="W105" s="1"/>
      <c r="X105" s="1"/>
      <c r="Y105" s="1"/>
      <c r="Z105" s="52"/>
      <c r="AA105" s="1"/>
      <c r="AB105" s="1"/>
      <c r="AC105" s="1"/>
      <c r="AD105" s="1"/>
      <c r="AE105" s="221"/>
    </row>
    <row r="106" spans="1:31" x14ac:dyDescent="0.25">
      <c r="A106" s="108">
        <v>95</v>
      </c>
      <c r="B106" s="1"/>
      <c r="C106" s="1"/>
      <c r="D106" s="1"/>
      <c r="E106" s="1"/>
      <c r="F106" s="39"/>
      <c r="G106" s="1"/>
      <c r="H106" s="1"/>
      <c r="I106" s="1"/>
      <c r="J106" s="1"/>
      <c r="K106" s="43"/>
      <c r="L106" s="1"/>
      <c r="M106" s="1"/>
      <c r="N106" s="1"/>
      <c r="O106" s="1"/>
      <c r="P106" s="46"/>
      <c r="Q106" s="1"/>
      <c r="R106" s="1"/>
      <c r="S106" s="1"/>
      <c r="T106" s="1"/>
      <c r="U106" s="49"/>
      <c r="V106" s="1"/>
      <c r="W106" s="1"/>
      <c r="X106" s="1"/>
      <c r="Y106" s="1"/>
      <c r="Z106" s="52"/>
      <c r="AA106" s="1"/>
      <c r="AB106" s="1"/>
      <c r="AC106" s="1"/>
      <c r="AD106" s="1"/>
      <c r="AE106" s="221"/>
    </row>
    <row r="107" spans="1:31" x14ac:dyDescent="0.25">
      <c r="A107" s="108">
        <v>96</v>
      </c>
      <c r="B107" s="1"/>
      <c r="C107" s="1"/>
      <c r="D107" s="1"/>
      <c r="E107" s="1"/>
      <c r="F107" s="39"/>
      <c r="G107" s="1"/>
      <c r="H107" s="1"/>
      <c r="I107" s="1"/>
      <c r="J107" s="1"/>
      <c r="K107" s="43"/>
      <c r="L107" s="1"/>
      <c r="M107" s="1"/>
      <c r="N107" s="1"/>
      <c r="O107" s="1"/>
      <c r="P107" s="46"/>
      <c r="Q107" s="1"/>
      <c r="R107" s="1"/>
      <c r="S107" s="1"/>
      <c r="T107" s="1"/>
      <c r="U107" s="49"/>
      <c r="V107" s="1"/>
      <c r="W107" s="1"/>
      <c r="X107" s="1"/>
      <c r="Y107" s="1"/>
      <c r="Z107" s="52"/>
      <c r="AA107" s="1"/>
      <c r="AB107" s="1"/>
      <c r="AC107" s="1"/>
      <c r="AD107" s="1"/>
      <c r="AE107" s="221"/>
    </row>
    <row r="108" spans="1:31" x14ac:dyDescent="0.25">
      <c r="A108" s="108">
        <v>97</v>
      </c>
      <c r="B108" s="1"/>
      <c r="C108" s="1"/>
      <c r="D108" s="1"/>
      <c r="E108" s="1"/>
      <c r="F108" s="39"/>
      <c r="G108" s="1"/>
      <c r="H108" s="1"/>
      <c r="I108" s="1"/>
      <c r="J108" s="1"/>
      <c r="K108" s="43"/>
      <c r="L108" s="1"/>
      <c r="M108" s="1"/>
      <c r="N108" s="1"/>
      <c r="O108" s="1"/>
      <c r="P108" s="46"/>
      <c r="Q108" s="1"/>
      <c r="R108" s="1"/>
      <c r="S108" s="1"/>
      <c r="T108" s="1"/>
      <c r="U108" s="49"/>
      <c r="V108" s="1"/>
      <c r="W108" s="1"/>
      <c r="X108" s="1"/>
      <c r="Y108" s="1"/>
      <c r="Z108" s="52"/>
      <c r="AA108" s="1"/>
      <c r="AB108" s="1"/>
      <c r="AC108" s="1"/>
      <c r="AD108" s="1"/>
      <c r="AE108" s="221"/>
    </row>
    <row r="109" spans="1:31" x14ac:dyDescent="0.25">
      <c r="A109" s="108">
        <v>98</v>
      </c>
      <c r="B109" s="1"/>
      <c r="C109" s="1"/>
      <c r="D109" s="1"/>
      <c r="E109" s="1"/>
      <c r="F109" s="39"/>
      <c r="G109" s="1"/>
      <c r="H109" s="1"/>
      <c r="I109" s="1"/>
      <c r="J109" s="1"/>
      <c r="K109" s="43"/>
      <c r="L109" s="1"/>
      <c r="M109" s="1"/>
      <c r="N109" s="1"/>
      <c r="O109" s="1"/>
      <c r="P109" s="46"/>
      <c r="Q109" s="1"/>
      <c r="R109" s="1"/>
      <c r="S109" s="1"/>
      <c r="T109" s="1"/>
      <c r="U109" s="49"/>
      <c r="V109" s="1"/>
      <c r="W109" s="1"/>
      <c r="X109" s="1"/>
      <c r="Y109" s="1"/>
      <c r="Z109" s="52"/>
      <c r="AA109" s="1"/>
      <c r="AB109" s="1"/>
      <c r="AC109" s="1"/>
      <c r="AD109" s="1"/>
      <c r="AE109" s="221"/>
    </row>
    <row r="110" spans="1:31" x14ac:dyDescent="0.25">
      <c r="A110" s="108">
        <v>99</v>
      </c>
      <c r="B110" s="1"/>
      <c r="C110" s="1"/>
      <c r="D110" s="1"/>
      <c r="E110" s="1"/>
      <c r="F110" s="39"/>
      <c r="G110" s="1"/>
      <c r="H110" s="1"/>
      <c r="I110" s="1"/>
      <c r="J110" s="1"/>
      <c r="K110" s="43"/>
      <c r="L110" s="1"/>
      <c r="M110" s="1"/>
      <c r="N110" s="1"/>
      <c r="O110" s="1"/>
      <c r="P110" s="46"/>
      <c r="Q110" s="1"/>
      <c r="R110" s="1"/>
      <c r="S110" s="1"/>
      <c r="T110" s="1"/>
      <c r="U110" s="49"/>
      <c r="V110" s="1"/>
      <c r="W110" s="1"/>
      <c r="X110" s="1"/>
      <c r="Y110" s="1"/>
      <c r="Z110" s="52"/>
      <c r="AA110" s="1"/>
      <c r="AB110" s="1"/>
      <c r="AC110" s="1"/>
      <c r="AD110" s="1"/>
      <c r="AE110" s="221"/>
    </row>
    <row r="111" spans="1:31" x14ac:dyDescent="0.25">
      <c r="A111" s="108">
        <v>100</v>
      </c>
      <c r="B111" s="1"/>
      <c r="C111" s="1"/>
      <c r="D111" s="1"/>
      <c r="E111" s="1"/>
      <c r="F111" s="39"/>
      <c r="G111" s="1"/>
      <c r="H111" s="1"/>
      <c r="I111" s="1"/>
      <c r="J111" s="1"/>
      <c r="K111" s="43"/>
      <c r="L111" s="1"/>
      <c r="M111" s="1"/>
      <c r="N111" s="1"/>
      <c r="O111" s="1"/>
      <c r="P111" s="46"/>
      <c r="Q111" s="1"/>
      <c r="R111" s="1"/>
      <c r="S111" s="1"/>
      <c r="T111" s="1"/>
      <c r="U111" s="49"/>
      <c r="V111" s="1"/>
      <c r="W111" s="1"/>
      <c r="X111" s="1"/>
      <c r="Y111" s="1"/>
      <c r="Z111" s="52"/>
      <c r="AA111" s="1"/>
      <c r="AB111" s="1"/>
      <c r="AC111" s="1"/>
      <c r="AD111" s="1"/>
      <c r="AE111" s="221"/>
    </row>
    <row r="112" spans="1:31" x14ac:dyDescent="0.25">
      <c r="A112" s="108">
        <v>101</v>
      </c>
      <c r="B112" s="1"/>
      <c r="C112" s="1"/>
      <c r="D112" s="1"/>
      <c r="E112" s="1"/>
      <c r="F112" s="39"/>
      <c r="G112" s="1"/>
      <c r="H112" s="1"/>
      <c r="I112" s="1"/>
      <c r="J112" s="1"/>
      <c r="K112" s="43"/>
      <c r="L112" s="1"/>
      <c r="M112" s="1"/>
      <c r="N112" s="1"/>
      <c r="O112" s="1"/>
      <c r="P112" s="46"/>
      <c r="Q112" s="1"/>
      <c r="R112" s="1"/>
      <c r="S112" s="1"/>
      <c r="T112" s="1"/>
      <c r="U112" s="49"/>
      <c r="V112" s="1"/>
      <c r="W112" s="1"/>
      <c r="X112" s="1"/>
      <c r="Y112" s="1"/>
      <c r="Z112" s="52"/>
      <c r="AA112" s="1"/>
      <c r="AB112" s="1"/>
      <c r="AC112" s="1"/>
      <c r="AD112" s="1"/>
      <c r="AE112" s="221"/>
    </row>
    <row r="113" spans="1:31" x14ac:dyDescent="0.25">
      <c r="A113" s="108">
        <v>102</v>
      </c>
      <c r="B113" s="1"/>
      <c r="C113" s="1"/>
      <c r="D113" s="1"/>
      <c r="E113" s="1"/>
      <c r="F113" s="39"/>
      <c r="G113" s="1"/>
      <c r="H113" s="1"/>
      <c r="I113" s="1"/>
      <c r="J113" s="1"/>
      <c r="K113" s="43"/>
      <c r="L113" s="1"/>
      <c r="M113" s="1"/>
      <c r="N113" s="1"/>
      <c r="O113" s="1"/>
      <c r="P113" s="46"/>
      <c r="Q113" s="1"/>
      <c r="R113" s="1"/>
      <c r="S113" s="1"/>
      <c r="T113" s="1"/>
      <c r="U113" s="49"/>
      <c r="V113" s="1"/>
      <c r="W113" s="1"/>
      <c r="X113" s="1"/>
      <c r="Y113" s="1"/>
      <c r="Z113" s="52"/>
      <c r="AA113" s="1"/>
      <c r="AB113" s="1"/>
      <c r="AC113" s="1"/>
      <c r="AD113" s="1"/>
      <c r="AE113" s="221"/>
    </row>
    <row r="114" spans="1:31" x14ac:dyDescent="0.25">
      <c r="A114" s="108">
        <v>103</v>
      </c>
      <c r="B114" s="1"/>
      <c r="C114" s="1"/>
      <c r="D114" s="1"/>
      <c r="E114" s="1"/>
      <c r="F114" s="39"/>
      <c r="G114" s="1"/>
      <c r="H114" s="1"/>
      <c r="I114" s="1"/>
      <c r="J114" s="1"/>
      <c r="K114" s="43"/>
      <c r="L114" s="1"/>
      <c r="M114" s="1"/>
      <c r="N114" s="1"/>
      <c r="O114" s="1"/>
      <c r="P114" s="46"/>
      <c r="Q114" s="1"/>
      <c r="R114" s="1"/>
      <c r="S114" s="1"/>
      <c r="T114" s="1"/>
      <c r="U114" s="49"/>
      <c r="V114" s="1"/>
      <c r="W114" s="1"/>
      <c r="X114" s="1"/>
      <c r="Y114" s="1"/>
      <c r="Z114" s="52"/>
      <c r="AA114" s="1"/>
      <c r="AB114" s="1"/>
      <c r="AC114" s="1"/>
      <c r="AD114" s="1"/>
      <c r="AE114" s="221"/>
    </row>
    <row r="115" spans="1:31" x14ac:dyDescent="0.25">
      <c r="A115" s="108">
        <v>104</v>
      </c>
      <c r="B115" s="1"/>
      <c r="C115" s="1"/>
      <c r="D115" s="1"/>
      <c r="E115" s="1"/>
      <c r="F115" s="39"/>
      <c r="G115" s="1"/>
      <c r="H115" s="1"/>
      <c r="I115" s="1"/>
      <c r="J115" s="1"/>
      <c r="K115" s="43"/>
      <c r="L115" s="1"/>
      <c r="M115" s="1"/>
      <c r="N115" s="1"/>
      <c r="O115" s="1"/>
      <c r="P115" s="46"/>
      <c r="Q115" s="1"/>
      <c r="R115" s="1"/>
      <c r="S115" s="1"/>
      <c r="T115" s="1"/>
      <c r="U115" s="49"/>
      <c r="V115" s="1"/>
      <c r="W115" s="1"/>
      <c r="X115" s="1"/>
      <c r="Y115" s="1"/>
      <c r="Z115" s="52"/>
      <c r="AA115" s="1"/>
      <c r="AB115" s="1"/>
      <c r="AC115" s="1"/>
      <c r="AD115" s="1"/>
      <c r="AE115" s="221"/>
    </row>
    <row r="116" spans="1:31" x14ac:dyDescent="0.25">
      <c r="A116" s="108">
        <v>105</v>
      </c>
      <c r="B116" s="1"/>
      <c r="C116" s="1"/>
      <c r="D116" s="1"/>
      <c r="E116" s="1"/>
      <c r="F116" s="39"/>
      <c r="G116" s="1"/>
      <c r="H116" s="1"/>
      <c r="I116" s="1"/>
      <c r="J116" s="1"/>
      <c r="K116" s="43"/>
      <c r="L116" s="1"/>
      <c r="M116" s="1"/>
      <c r="N116" s="1"/>
      <c r="O116" s="1"/>
      <c r="P116" s="46"/>
      <c r="Q116" s="1"/>
      <c r="R116" s="1"/>
      <c r="S116" s="1"/>
      <c r="T116" s="1"/>
      <c r="U116" s="49"/>
      <c r="V116" s="1"/>
      <c r="W116" s="1"/>
      <c r="X116" s="1"/>
      <c r="Y116" s="1"/>
      <c r="Z116" s="52"/>
      <c r="AA116" s="1"/>
      <c r="AB116" s="1"/>
      <c r="AC116" s="1"/>
      <c r="AD116" s="1"/>
      <c r="AE116" s="221"/>
    </row>
    <row r="117" spans="1:31" x14ac:dyDescent="0.25">
      <c r="A117" s="108">
        <v>106</v>
      </c>
      <c r="B117" s="1"/>
      <c r="C117" s="1"/>
      <c r="D117" s="1"/>
      <c r="E117" s="1"/>
      <c r="F117" s="39"/>
      <c r="G117" s="1"/>
      <c r="H117" s="1"/>
      <c r="I117" s="1"/>
      <c r="J117" s="1"/>
      <c r="K117" s="43"/>
      <c r="L117" s="1"/>
      <c r="M117" s="1"/>
      <c r="N117" s="1"/>
      <c r="O117" s="1"/>
      <c r="P117" s="46"/>
      <c r="Q117" s="1"/>
      <c r="R117" s="1"/>
      <c r="S117" s="1"/>
      <c r="T117" s="1"/>
      <c r="U117" s="49"/>
      <c r="V117" s="1"/>
      <c r="W117" s="1"/>
      <c r="X117" s="1"/>
      <c r="Y117" s="1"/>
      <c r="Z117" s="52"/>
      <c r="AA117" s="1"/>
      <c r="AB117" s="1"/>
      <c r="AC117" s="1"/>
      <c r="AD117" s="1"/>
      <c r="AE117" s="221"/>
    </row>
    <row r="118" spans="1:31" x14ac:dyDescent="0.25">
      <c r="A118" s="108">
        <v>107</v>
      </c>
      <c r="B118" s="1"/>
      <c r="C118" s="1"/>
      <c r="D118" s="1"/>
      <c r="E118" s="1"/>
      <c r="F118" s="39"/>
      <c r="G118" s="1"/>
      <c r="H118" s="1"/>
      <c r="I118" s="1"/>
      <c r="J118" s="1"/>
      <c r="K118" s="43"/>
      <c r="L118" s="1"/>
      <c r="M118" s="1"/>
      <c r="N118" s="1"/>
      <c r="O118" s="1"/>
      <c r="P118" s="46"/>
      <c r="Q118" s="1"/>
      <c r="R118" s="1"/>
      <c r="S118" s="1"/>
      <c r="T118" s="1"/>
      <c r="U118" s="49"/>
      <c r="V118" s="1"/>
      <c r="W118" s="1"/>
      <c r="X118" s="1"/>
      <c r="Y118" s="1"/>
      <c r="Z118" s="52"/>
      <c r="AA118" s="1"/>
      <c r="AB118" s="1"/>
      <c r="AC118" s="1"/>
      <c r="AD118" s="1"/>
      <c r="AE118" s="221"/>
    </row>
    <row r="119" spans="1:31" x14ac:dyDescent="0.25">
      <c r="A119" s="108">
        <v>108</v>
      </c>
      <c r="B119" s="1"/>
      <c r="C119" s="1"/>
      <c r="D119" s="1"/>
      <c r="E119" s="1"/>
      <c r="F119" s="39"/>
      <c r="G119" s="1"/>
      <c r="H119" s="1"/>
      <c r="I119" s="1"/>
      <c r="J119" s="1"/>
      <c r="K119" s="43"/>
      <c r="L119" s="1"/>
      <c r="M119" s="1"/>
      <c r="N119" s="1"/>
      <c r="O119" s="1"/>
      <c r="P119" s="46"/>
      <c r="Q119" s="1"/>
      <c r="R119" s="1"/>
      <c r="S119" s="1"/>
      <c r="T119" s="1"/>
      <c r="U119" s="49"/>
      <c r="V119" s="1"/>
      <c r="W119" s="1"/>
      <c r="X119" s="1"/>
      <c r="Y119" s="1"/>
      <c r="Z119" s="52"/>
      <c r="AA119" s="1"/>
      <c r="AB119" s="1"/>
      <c r="AC119" s="1"/>
      <c r="AD119" s="1"/>
      <c r="AE119" s="221"/>
    </row>
    <row r="120" spans="1:31" x14ac:dyDescent="0.25">
      <c r="A120" s="108">
        <v>109</v>
      </c>
      <c r="B120" s="1"/>
      <c r="C120" s="1"/>
      <c r="D120" s="1"/>
      <c r="E120" s="1"/>
      <c r="F120" s="39"/>
      <c r="G120" s="1"/>
      <c r="H120" s="1"/>
      <c r="I120" s="1"/>
      <c r="J120" s="1"/>
      <c r="K120" s="43"/>
      <c r="L120" s="1"/>
      <c r="M120" s="1"/>
      <c r="N120" s="1"/>
      <c r="O120" s="1"/>
      <c r="P120" s="46"/>
      <c r="Q120" s="1"/>
      <c r="R120" s="1"/>
      <c r="S120" s="1"/>
      <c r="T120" s="1"/>
      <c r="U120" s="49"/>
      <c r="V120" s="1"/>
      <c r="W120" s="1"/>
      <c r="X120" s="1"/>
      <c r="Y120" s="1"/>
      <c r="Z120" s="52"/>
      <c r="AA120" s="1"/>
      <c r="AB120" s="1"/>
      <c r="AC120" s="1"/>
      <c r="AD120" s="1"/>
      <c r="AE120" s="221"/>
    </row>
    <row r="121" spans="1:31" x14ac:dyDescent="0.25">
      <c r="A121" s="108">
        <v>110</v>
      </c>
      <c r="B121" s="1"/>
      <c r="C121" s="1"/>
      <c r="D121" s="1"/>
      <c r="E121" s="1"/>
      <c r="F121" s="39"/>
      <c r="G121" s="1"/>
      <c r="H121" s="1"/>
      <c r="I121" s="1"/>
      <c r="J121" s="1"/>
      <c r="K121" s="43"/>
      <c r="L121" s="1"/>
      <c r="M121" s="1"/>
      <c r="N121" s="1"/>
      <c r="O121" s="1"/>
      <c r="P121" s="46"/>
      <c r="Q121" s="1"/>
      <c r="R121" s="1"/>
      <c r="S121" s="1"/>
      <c r="T121" s="1"/>
      <c r="U121" s="49"/>
      <c r="V121" s="1"/>
      <c r="W121" s="1"/>
      <c r="X121" s="1"/>
      <c r="Y121" s="1"/>
      <c r="Z121" s="52"/>
      <c r="AA121" s="1"/>
      <c r="AB121" s="1"/>
      <c r="AC121" s="1"/>
      <c r="AD121" s="1"/>
      <c r="AE121" s="221"/>
    </row>
    <row r="122" spans="1:31" x14ac:dyDescent="0.25">
      <c r="A122" s="108">
        <v>111</v>
      </c>
      <c r="B122" s="1"/>
      <c r="C122" s="1"/>
      <c r="D122" s="1"/>
      <c r="E122" s="1"/>
      <c r="F122" s="39"/>
      <c r="G122" s="1"/>
      <c r="H122" s="1"/>
      <c r="I122" s="1"/>
      <c r="J122" s="1"/>
      <c r="K122" s="43"/>
      <c r="L122" s="1"/>
      <c r="M122" s="1"/>
      <c r="N122" s="1"/>
      <c r="O122" s="1"/>
      <c r="P122" s="46"/>
      <c r="Q122" s="1"/>
      <c r="R122" s="1"/>
      <c r="S122" s="1"/>
      <c r="T122" s="1"/>
      <c r="U122" s="49"/>
      <c r="V122" s="1"/>
      <c r="W122" s="1"/>
      <c r="X122" s="1"/>
      <c r="Y122" s="1"/>
      <c r="Z122" s="52"/>
      <c r="AA122" s="1"/>
      <c r="AB122" s="1"/>
      <c r="AC122" s="1"/>
      <c r="AD122" s="1"/>
      <c r="AE122" s="221"/>
    </row>
    <row r="123" spans="1:31" x14ac:dyDescent="0.25">
      <c r="A123" s="108">
        <v>112</v>
      </c>
      <c r="B123" s="1"/>
      <c r="C123" s="1"/>
      <c r="D123" s="1"/>
      <c r="E123" s="1"/>
      <c r="F123" s="39"/>
      <c r="G123" s="1"/>
      <c r="H123" s="1"/>
      <c r="I123" s="1"/>
      <c r="J123" s="1"/>
      <c r="K123" s="43"/>
      <c r="L123" s="1"/>
      <c r="M123" s="1"/>
      <c r="N123" s="1"/>
      <c r="O123" s="1"/>
      <c r="P123" s="46"/>
      <c r="Q123" s="1"/>
      <c r="R123" s="1"/>
      <c r="S123" s="1"/>
      <c r="T123" s="1"/>
      <c r="U123" s="49"/>
      <c r="V123" s="1"/>
      <c r="W123" s="1"/>
      <c r="X123" s="1"/>
      <c r="Y123" s="1"/>
      <c r="Z123" s="52"/>
      <c r="AA123" s="1"/>
      <c r="AB123" s="1"/>
      <c r="AC123" s="1"/>
      <c r="AD123" s="1"/>
      <c r="AE123" s="221"/>
    </row>
    <row r="124" spans="1:31" x14ac:dyDescent="0.25">
      <c r="A124" s="108">
        <v>113</v>
      </c>
      <c r="B124" s="1"/>
      <c r="C124" s="1"/>
      <c r="D124" s="1"/>
      <c r="E124" s="1"/>
      <c r="F124" s="39"/>
      <c r="G124" s="1"/>
      <c r="H124" s="1"/>
      <c r="I124" s="1"/>
      <c r="J124" s="1"/>
      <c r="K124" s="43"/>
      <c r="L124" s="1"/>
      <c r="M124" s="1"/>
      <c r="N124" s="1"/>
      <c r="O124" s="1"/>
      <c r="P124" s="46"/>
      <c r="Q124" s="1"/>
      <c r="R124" s="1"/>
      <c r="S124" s="1"/>
      <c r="T124" s="1"/>
      <c r="U124" s="49"/>
      <c r="V124" s="1"/>
      <c r="W124" s="1"/>
      <c r="X124" s="1"/>
      <c r="Y124" s="1"/>
      <c r="Z124" s="52"/>
      <c r="AA124" s="1"/>
      <c r="AB124" s="1"/>
      <c r="AC124" s="1"/>
      <c r="AD124" s="1"/>
      <c r="AE124" s="221"/>
    </row>
    <row r="125" spans="1:31" x14ac:dyDescent="0.25">
      <c r="A125" s="108">
        <v>114</v>
      </c>
      <c r="B125" s="1"/>
      <c r="C125" s="1"/>
      <c r="D125" s="1"/>
      <c r="E125" s="1"/>
      <c r="F125" s="39"/>
      <c r="G125" s="1"/>
      <c r="H125" s="1"/>
      <c r="I125" s="1"/>
      <c r="J125" s="1"/>
      <c r="K125" s="43"/>
      <c r="L125" s="1"/>
      <c r="M125" s="1"/>
      <c r="N125" s="1"/>
      <c r="O125" s="1"/>
      <c r="P125" s="46"/>
      <c r="Q125" s="1"/>
      <c r="R125" s="1"/>
      <c r="S125" s="1"/>
      <c r="T125" s="1"/>
      <c r="U125" s="49"/>
      <c r="V125" s="1"/>
      <c r="W125" s="1"/>
      <c r="X125" s="1"/>
      <c r="Y125" s="1"/>
      <c r="Z125" s="52"/>
      <c r="AA125" s="1"/>
      <c r="AB125" s="1"/>
      <c r="AC125" s="1"/>
      <c r="AD125" s="1"/>
      <c r="AE125" s="221"/>
    </row>
    <row r="126" spans="1:31" x14ac:dyDescent="0.25">
      <c r="A126" s="108">
        <v>115</v>
      </c>
      <c r="B126" s="1"/>
      <c r="C126" s="1"/>
      <c r="D126" s="1"/>
      <c r="E126" s="1"/>
      <c r="F126" s="39"/>
      <c r="G126" s="1"/>
      <c r="H126" s="1"/>
      <c r="I126" s="1"/>
      <c r="J126" s="1"/>
      <c r="K126" s="43"/>
      <c r="L126" s="1"/>
      <c r="M126" s="1"/>
      <c r="N126" s="1"/>
      <c r="O126" s="1"/>
      <c r="P126" s="46"/>
      <c r="Q126" s="1"/>
      <c r="R126" s="1"/>
      <c r="S126" s="1"/>
      <c r="T126" s="1"/>
      <c r="U126" s="49"/>
      <c r="V126" s="1"/>
      <c r="W126" s="1"/>
      <c r="X126" s="1"/>
      <c r="Y126" s="1"/>
      <c r="Z126" s="52"/>
      <c r="AA126" s="1"/>
      <c r="AB126" s="1"/>
      <c r="AC126" s="1"/>
      <c r="AD126" s="1"/>
      <c r="AE126" s="221"/>
    </row>
    <row r="127" spans="1:31" x14ac:dyDescent="0.25">
      <c r="A127" s="108">
        <v>116</v>
      </c>
      <c r="B127" s="1"/>
      <c r="C127" s="1"/>
      <c r="D127" s="1"/>
      <c r="E127" s="1"/>
      <c r="F127" s="39"/>
      <c r="G127" s="1"/>
      <c r="H127" s="1"/>
      <c r="I127" s="1"/>
      <c r="J127" s="1"/>
      <c r="K127" s="43"/>
      <c r="L127" s="1"/>
      <c r="M127" s="1"/>
      <c r="N127" s="1"/>
      <c r="O127" s="1"/>
      <c r="P127" s="46"/>
      <c r="Q127" s="1"/>
      <c r="R127" s="1"/>
      <c r="S127" s="1"/>
      <c r="T127" s="1"/>
      <c r="U127" s="49"/>
      <c r="V127" s="1"/>
      <c r="W127" s="1"/>
      <c r="X127" s="1"/>
      <c r="Y127" s="1"/>
      <c r="Z127" s="52"/>
      <c r="AA127" s="1"/>
      <c r="AB127" s="1"/>
      <c r="AC127" s="1"/>
      <c r="AD127" s="1"/>
      <c r="AE127" s="221"/>
    </row>
    <row r="128" spans="1:31" x14ac:dyDescent="0.25">
      <c r="A128" s="108">
        <v>117</v>
      </c>
      <c r="B128" s="1"/>
      <c r="C128" s="1"/>
      <c r="D128" s="1"/>
      <c r="E128" s="1"/>
      <c r="F128" s="39"/>
      <c r="G128" s="1"/>
      <c r="H128" s="1"/>
      <c r="I128" s="1"/>
      <c r="J128" s="1"/>
      <c r="K128" s="43"/>
      <c r="L128" s="1"/>
      <c r="M128" s="1"/>
      <c r="N128" s="1"/>
      <c r="O128" s="1"/>
      <c r="P128" s="46"/>
      <c r="Q128" s="1"/>
      <c r="R128" s="1"/>
      <c r="S128" s="1"/>
      <c r="T128" s="1"/>
      <c r="U128" s="49"/>
      <c r="V128" s="1"/>
      <c r="W128" s="1"/>
      <c r="X128" s="1"/>
      <c r="Y128" s="1"/>
      <c r="Z128" s="52"/>
      <c r="AA128" s="1"/>
      <c r="AB128" s="1"/>
      <c r="AC128" s="1"/>
      <c r="AD128" s="1"/>
      <c r="AE128" s="221"/>
    </row>
    <row r="129" spans="1:31" x14ac:dyDescent="0.25">
      <c r="A129" s="108">
        <v>118</v>
      </c>
      <c r="B129" s="1"/>
      <c r="C129" s="1"/>
      <c r="D129" s="1"/>
      <c r="E129" s="1"/>
      <c r="F129" s="39"/>
      <c r="G129" s="1"/>
      <c r="H129" s="1"/>
      <c r="I129" s="1"/>
      <c r="J129" s="1"/>
      <c r="K129" s="43"/>
      <c r="L129" s="1"/>
      <c r="M129" s="1"/>
      <c r="N129" s="1"/>
      <c r="O129" s="1"/>
      <c r="P129" s="46"/>
      <c r="Q129" s="1"/>
      <c r="R129" s="1"/>
      <c r="S129" s="1"/>
      <c r="T129" s="1"/>
      <c r="U129" s="49"/>
      <c r="V129" s="1"/>
      <c r="W129" s="1"/>
      <c r="X129" s="1"/>
      <c r="Y129" s="1"/>
      <c r="Z129" s="52"/>
      <c r="AA129" s="1"/>
      <c r="AB129" s="1"/>
      <c r="AC129" s="1"/>
      <c r="AD129" s="1"/>
      <c r="AE129" s="221"/>
    </row>
    <row r="130" spans="1:31" x14ac:dyDescent="0.25">
      <c r="A130" s="108">
        <v>119</v>
      </c>
      <c r="B130" s="1"/>
      <c r="C130" s="1"/>
      <c r="D130" s="1"/>
      <c r="E130" s="1"/>
      <c r="F130" s="39"/>
      <c r="G130" s="1"/>
      <c r="H130" s="1"/>
      <c r="I130" s="1"/>
      <c r="J130" s="1"/>
      <c r="K130" s="43"/>
      <c r="L130" s="1"/>
      <c r="M130" s="1"/>
      <c r="N130" s="1"/>
      <c r="O130" s="1"/>
      <c r="P130" s="46"/>
      <c r="Q130" s="1"/>
      <c r="R130" s="1"/>
      <c r="S130" s="1"/>
      <c r="T130" s="1"/>
      <c r="U130" s="49"/>
      <c r="V130" s="1"/>
      <c r="W130" s="1"/>
      <c r="X130" s="1"/>
      <c r="Y130" s="1"/>
      <c r="Z130" s="52"/>
      <c r="AA130" s="1"/>
      <c r="AB130" s="1"/>
      <c r="AC130" s="1"/>
      <c r="AD130" s="1"/>
      <c r="AE130" s="221"/>
    </row>
    <row r="131" spans="1:31" x14ac:dyDescent="0.25">
      <c r="A131" s="108">
        <v>120</v>
      </c>
      <c r="B131" s="1"/>
      <c r="C131" s="1"/>
      <c r="D131" s="1"/>
      <c r="E131" s="1"/>
      <c r="F131" s="39"/>
      <c r="G131" s="1"/>
      <c r="H131" s="1"/>
      <c r="I131" s="1"/>
      <c r="J131" s="1"/>
      <c r="K131" s="43"/>
      <c r="L131" s="1"/>
      <c r="M131" s="1"/>
      <c r="N131" s="1"/>
      <c r="O131" s="1"/>
      <c r="P131" s="46"/>
      <c r="Q131" s="1"/>
      <c r="R131" s="1"/>
      <c r="S131" s="1"/>
      <c r="T131" s="1"/>
      <c r="U131" s="49"/>
      <c r="V131" s="1"/>
      <c r="W131" s="1"/>
      <c r="X131" s="1"/>
      <c r="Y131" s="1"/>
      <c r="Z131" s="52"/>
      <c r="AA131" s="1"/>
      <c r="AB131" s="1"/>
      <c r="AC131" s="1"/>
      <c r="AD131" s="1"/>
      <c r="AE131" s="221"/>
    </row>
    <row r="132" spans="1:31" x14ac:dyDescent="0.25">
      <c r="A132" s="108">
        <v>121</v>
      </c>
      <c r="B132" s="1"/>
      <c r="C132" s="1"/>
      <c r="D132" s="1"/>
      <c r="E132" s="1"/>
      <c r="F132" s="39"/>
      <c r="G132" s="1"/>
      <c r="H132" s="1"/>
      <c r="I132" s="1"/>
      <c r="J132" s="1"/>
      <c r="K132" s="43"/>
      <c r="L132" s="1"/>
      <c r="M132" s="1"/>
      <c r="N132" s="1"/>
      <c r="O132" s="1"/>
      <c r="P132" s="46"/>
      <c r="Q132" s="1"/>
      <c r="R132" s="1"/>
      <c r="S132" s="1"/>
      <c r="T132" s="1"/>
      <c r="U132" s="49"/>
      <c r="V132" s="1"/>
      <c r="W132" s="1"/>
      <c r="X132" s="1"/>
      <c r="Y132" s="1"/>
      <c r="Z132" s="52"/>
      <c r="AA132" s="1"/>
      <c r="AB132" s="1"/>
      <c r="AC132" s="1"/>
      <c r="AD132" s="1"/>
      <c r="AE132" s="221"/>
    </row>
    <row r="133" spans="1:31" x14ac:dyDescent="0.25">
      <c r="A133" s="108">
        <v>122</v>
      </c>
      <c r="B133" s="1"/>
      <c r="C133" s="1"/>
      <c r="D133" s="1"/>
      <c r="E133" s="1"/>
      <c r="F133" s="39"/>
      <c r="G133" s="1"/>
      <c r="H133" s="1"/>
      <c r="I133" s="1"/>
      <c r="J133" s="1"/>
      <c r="K133" s="43"/>
      <c r="L133" s="1"/>
      <c r="M133" s="1"/>
      <c r="N133" s="1"/>
      <c r="O133" s="1"/>
      <c r="P133" s="46"/>
      <c r="Q133" s="1"/>
      <c r="R133" s="1"/>
      <c r="S133" s="1"/>
      <c r="T133" s="1"/>
      <c r="U133" s="49"/>
      <c r="V133" s="1"/>
      <c r="W133" s="1"/>
      <c r="X133" s="1"/>
      <c r="Y133" s="1"/>
      <c r="Z133" s="52"/>
      <c r="AA133" s="1"/>
      <c r="AB133" s="1"/>
      <c r="AC133" s="1"/>
      <c r="AD133" s="1"/>
      <c r="AE133" s="221"/>
    </row>
    <row r="134" spans="1:31" x14ac:dyDescent="0.25">
      <c r="A134" s="108">
        <v>123</v>
      </c>
      <c r="B134" s="1"/>
      <c r="C134" s="1"/>
      <c r="D134" s="1"/>
      <c r="E134" s="1"/>
      <c r="F134" s="39"/>
      <c r="G134" s="1"/>
      <c r="H134" s="1"/>
      <c r="I134" s="1"/>
      <c r="J134" s="1"/>
      <c r="K134" s="43"/>
      <c r="L134" s="1"/>
      <c r="M134" s="1"/>
      <c r="N134" s="1"/>
      <c r="O134" s="1"/>
      <c r="P134" s="46"/>
      <c r="Q134" s="1"/>
      <c r="R134" s="1"/>
      <c r="S134" s="1"/>
      <c r="T134" s="1"/>
      <c r="U134" s="49"/>
      <c r="V134" s="1"/>
      <c r="W134" s="1"/>
      <c r="X134" s="1"/>
      <c r="Y134" s="1"/>
      <c r="Z134" s="52"/>
      <c r="AA134" s="1"/>
      <c r="AB134" s="1"/>
      <c r="AC134" s="1"/>
      <c r="AD134" s="1"/>
      <c r="AE134" s="221"/>
    </row>
    <row r="135" spans="1:31" x14ac:dyDescent="0.25">
      <c r="A135" s="108">
        <v>124</v>
      </c>
      <c r="B135" s="1"/>
      <c r="C135" s="1"/>
      <c r="D135" s="1"/>
      <c r="E135" s="1"/>
      <c r="F135" s="39"/>
      <c r="G135" s="1"/>
      <c r="H135" s="1"/>
      <c r="I135" s="1"/>
      <c r="J135" s="1"/>
      <c r="K135" s="43"/>
      <c r="L135" s="1"/>
      <c r="M135" s="1"/>
      <c r="N135" s="1"/>
      <c r="O135" s="1"/>
      <c r="P135" s="46"/>
      <c r="Q135" s="1"/>
      <c r="R135" s="1"/>
      <c r="S135" s="1"/>
      <c r="T135" s="1"/>
      <c r="U135" s="49"/>
      <c r="V135" s="1"/>
      <c r="W135" s="1"/>
      <c r="X135" s="1"/>
      <c r="Y135" s="1"/>
      <c r="Z135" s="52"/>
      <c r="AA135" s="1"/>
      <c r="AB135" s="1"/>
      <c r="AC135" s="1"/>
      <c r="AD135" s="1"/>
      <c r="AE135" s="221"/>
    </row>
    <row r="136" spans="1:31" x14ac:dyDescent="0.25">
      <c r="A136" s="108">
        <v>125</v>
      </c>
      <c r="B136" s="1"/>
      <c r="C136" s="1"/>
      <c r="D136" s="1"/>
      <c r="E136" s="1"/>
      <c r="F136" s="39"/>
      <c r="G136" s="1"/>
      <c r="H136" s="1"/>
      <c r="I136" s="1"/>
      <c r="J136" s="1"/>
      <c r="K136" s="43"/>
      <c r="L136" s="1"/>
      <c r="M136" s="1"/>
      <c r="N136" s="1"/>
      <c r="O136" s="1"/>
      <c r="P136" s="46"/>
      <c r="Q136" s="1"/>
      <c r="R136" s="1"/>
      <c r="S136" s="1"/>
      <c r="T136" s="1"/>
      <c r="U136" s="49"/>
      <c r="V136" s="1"/>
      <c r="W136" s="1"/>
      <c r="X136" s="1"/>
      <c r="Y136" s="1"/>
      <c r="Z136" s="52"/>
      <c r="AA136" s="1"/>
      <c r="AB136" s="1"/>
      <c r="AC136" s="1"/>
      <c r="AD136" s="1"/>
      <c r="AE136" s="221"/>
    </row>
    <row r="137" spans="1:31" x14ac:dyDescent="0.25">
      <c r="A137" s="108">
        <v>126</v>
      </c>
      <c r="B137" s="1"/>
      <c r="C137" s="1"/>
      <c r="D137" s="1"/>
      <c r="E137" s="1"/>
      <c r="F137" s="39"/>
      <c r="G137" s="1"/>
      <c r="H137" s="1"/>
      <c r="I137" s="1"/>
      <c r="J137" s="1"/>
      <c r="K137" s="43"/>
      <c r="L137" s="1"/>
      <c r="M137" s="1"/>
      <c r="N137" s="1"/>
      <c r="O137" s="1"/>
      <c r="P137" s="46"/>
      <c r="Q137" s="1"/>
      <c r="R137" s="1"/>
      <c r="S137" s="1"/>
      <c r="T137" s="1"/>
      <c r="U137" s="49"/>
      <c r="V137" s="1"/>
      <c r="W137" s="1"/>
      <c r="X137" s="1"/>
      <c r="Y137" s="1"/>
      <c r="Z137" s="52"/>
      <c r="AA137" s="1"/>
      <c r="AB137" s="1"/>
      <c r="AC137" s="1"/>
      <c r="AD137" s="1"/>
      <c r="AE137" s="221"/>
    </row>
    <row r="138" spans="1:31" x14ac:dyDescent="0.25">
      <c r="A138" s="108">
        <v>127</v>
      </c>
      <c r="B138" s="1"/>
      <c r="C138" s="1"/>
      <c r="D138" s="1"/>
      <c r="E138" s="1"/>
      <c r="F138" s="39"/>
      <c r="G138" s="1"/>
      <c r="H138" s="1"/>
      <c r="I138" s="1"/>
      <c r="J138" s="1"/>
      <c r="K138" s="43"/>
      <c r="L138" s="1"/>
      <c r="M138" s="1"/>
      <c r="N138" s="1"/>
      <c r="O138" s="1"/>
      <c r="P138" s="46"/>
      <c r="Q138" s="1"/>
      <c r="R138" s="1"/>
      <c r="S138" s="1"/>
      <c r="T138" s="1"/>
      <c r="U138" s="49"/>
      <c r="V138" s="1"/>
      <c r="W138" s="1"/>
      <c r="X138" s="1"/>
      <c r="Y138" s="1"/>
      <c r="Z138" s="52"/>
      <c r="AA138" s="1"/>
      <c r="AB138" s="1"/>
      <c r="AC138" s="1"/>
      <c r="AD138" s="1"/>
      <c r="AE138" s="221"/>
    </row>
    <row r="139" spans="1:31" x14ac:dyDescent="0.25">
      <c r="A139" s="108">
        <v>128</v>
      </c>
      <c r="B139" s="1"/>
      <c r="C139" s="1"/>
      <c r="D139" s="1"/>
      <c r="E139" s="1"/>
      <c r="F139" s="39"/>
      <c r="G139" s="1"/>
      <c r="H139" s="1"/>
      <c r="I139" s="1"/>
      <c r="J139" s="1"/>
      <c r="K139" s="43"/>
      <c r="L139" s="1"/>
      <c r="M139" s="1"/>
      <c r="N139" s="1"/>
      <c r="O139" s="1"/>
      <c r="P139" s="46"/>
      <c r="Q139" s="1"/>
      <c r="R139" s="1"/>
      <c r="S139" s="1"/>
      <c r="T139" s="1"/>
      <c r="U139" s="49"/>
      <c r="V139" s="1"/>
      <c r="W139" s="1"/>
      <c r="X139" s="1"/>
      <c r="Y139" s="1"/>
      <c r="Z139" s="52"/>
      <c r="AA139" s="1"/>
      <c r="AB139" s="1"/>
      <c r="AC139" s="1"/>
      <c r="AD139" s="1"/>
      <c r="AE139" s="221"/>
    </row>
    <row r="140" spans="1:31" x14ac:dyDescent="0.25">
      <c r="A140" s="108">
        <v>129</v>
      </c>
      <c r="B140" s="1"/>
      <c r="C140" s="1"/>
      <c r="D140" s="1"/>
      <c r="E140" s="1"/>
      <c r="F140" s="39"/>
      <c r="G140" s="1"/>
      <c r="H140" s="1"/>
      <c r="I140" s="1"/>
      <c r="J140" s="1"/>
      <c r="K140" s="43"/>
      <c r="L140" s="1"/>
      <c r="M140" s="1"/>
      <c r="N140" s="1"/>
      <c r="O140" s="1"/>
      <c r="P140" s="46"/>
      <c r="Q140" s="1"/>
      <c r="R140" s="1"/>
      <c r="S140" s="1"/>
      <c r="T140" s="1"/>
      <c r="U140" s="49"/>
      <c r="V140" s="1"/>
      <c r="W140" s="1"/>
      <c r="X140" s="1"/>
      <c r="Y140" s="1"/>
      <c r="Z140" s="52"/>
      <c r="AA140" s="1"/>
      <c r="AB140" s="1"/>
      <c r="AC140" s="1"/>
      <c r="AD140" s="1"/>
      <c r="AE140" s="221"/>
    </row>
    <row r="141" spans="1:31" x14ac:dyDescent="0.25">
      <c r="A141" s="108">
        <v>130</v>
      </c>
      <c r="B141" s="1"/>
      <c r="C141" s="1"/>
      <c r="D141" s="1"/>
      <c r="E141" s="1"/>
      <c r="F141" s="39"/>
      <c r="G141" s="1"/>
      <c r="H141" s="1"/>
      <c r="I141" s="1"/>
      <c r="J141" s="1"/>
      <c r="K141" s="43"/>
      <c r="L141" s="1"/>
      <c r="M141" s="1"/>
      <c r="N141" s="1"/>
      <c r="O141" s="1"/>
      <c r="P141" s="46"/>
      <c r="Q141" s="1"/>
      <c r="R141" s="1"/>
      <c r="S141" s="1"/>
      <c r="T141" s="1"/>
      <c r="U141" s="49"/>
      <c r="V141" s="1"/>
      <c r="W141" s="1"/>
      <c r="X141" s="1"/>
      <c r="Y141" s="1"/>
      <c r="Z141" s="52"/>
      <c r="AA141" s="1"/>
      <c r="AB141" s="1"/>
      <c r="AC141" s="1"/>
      <c r="AD141" s="1"/>
      <c r="AE141" s="221"/>
    </row>
    <row r="142" spans="1:31" x14ac:dyDescent="0.25">
      <c r="A142" s="108">
        <v>131</v>
      </c>
      <c r="B142" s="1"/>
      <c r="C142" s="1"/>
      <c r="D142" s="1"/>
      <c r="E142" s="1"/>
      <c r="F142" s="39"/>
      <c r="G142" s="1"/>
      <c r="H142" s="1"/>
      <c r="I142" s="1"/>
      <c r="J142" s="1"/>
      <c r="K142" s="43"/>
      <c r="L142" s="1"/>
      <c r="M142" s="1"/>
      <c r="N142" s="1"/>
      <c r="O142" s="1"/>
      <c r="P142" s="46"/>
      <c r="Q142" s="1"/>
      <c r="R142" s="1"/>
      <c r="S142" s="1"/>
      <c r="T142" s="1"/>
      <c r="U142" s="49"/>
      <c r="V142" s="1"/>
      <c r="W142" s="1"/>
      <c r="X142" s="1"/>
      <c r="Y142" s="1"/>
      <c r="Z142" s="52"/>
      <c r="AA142" s="1"/>
      <c r="AB142" s="1"/>
      <c r="AC142" s="1"/>
      <c r="AD142" s="1"/>
      <c r="AE142" s="221"/>
    </row>
    <row r="143" spans="1:31" x14ac:dyDescent="0.25">
      <c r="A143" s="108">
        <v>132</v>
      </c>
      <c r="B143" s="1"/>
      <c r="C143" s="1"/>
      <c r="D143" s="1"/>
      <c r="E143" s="1"/>
      <c r="F143" s="39"/>
      <c r="G143" s="1"/>
      <c r="H143" s="1"/>
      <c r="I143" s="1"/>
      <c r="J143" s="1"/>
      <c r="K143" s="43"/>
      <c r="L143" s="1"/>
      <c r="M143" s="1"/>
      <c r="N143" s="1"/>
      <c r="O143" s="1"/>
      <c r="P143" s="46"/>
      <c r="Q143" s="1"/>
      <c r="R143" s="1"/>
      <c r="S143" s="1"/>
      <c r="T143" s="1"/>
      <c r="U143" s="49"/>
      <c r="V143" s="1"/>
      <c r="W143" s="1"/>
      <c r="X143" s="1"/>
      <c r="Y143" s="1"/>
      <c r="Z143" s="52"/>
      <c r="AA143" s="1"/>
      <c r="AB143" s="1"/>
      <c r="AC143" s="1"/>
      <c r="AD143" s="1"/>
      <c r="AE143" s="221"/>
    </row>
    <row r="144" spans="1:31" x14ac:dyDescent="0.25">
      <c r="A144" s="108">
        <v>133</v>
      </c>
      <c r="B144" s="1"/>
      <c r="C144" s="1"/>
      <c r="D144" s="1"/>
      <c r="E144" s="1"/>
      <c r="F144" s="39"/>
      <c r="G144" s="1"/>
      <c r="H144" s="1"/>
      <c r="I144" s="1"/>
      <c r="J144" s="1"/>
      <c r="K144" s="43"/>
      <c r="L144" s="1"/>
      <c r="M144" s="1"/>
      <c r="N144" s="1"/>
      <c r="O144" s="1"/>
      <c r="P144" s="46"/>
      <c r="Q144" s="1"/>
      <c r="R144" s="1"/>
      <c r="S144" s="1"/>
      <c r="T144" s="1"/>
      <c r="U144" s="49"/>
      <c r="V144" s="1"/>
      <c r="W144" s="1"/>
      <c r="X144" s="1"/>
      <c r="Y144" s="1"/>
      <c r="Z144" s="52"/>
      <c r="AA144" s="1"/>
      <c r="AB144" s="1"/>
      <c r="AC144" s="1"/>
      <c r="AD144" s="1"/>
      <c r="AE144" s="221"/>
    </row>
    <row r="145" spans="1:31" x14ac:dyDescent="0.25">
      <c r="A145" s="108">
        <v>134</v>
      </c>
      <c r="B145" s="1"/>
      <c r="C145" s="1"/>
      <c r="D145" s="1"/>
      <c r="E145" s="1"/>
      <c r="F145" s="39"/>
      <c r="G145" s="1"/>
      <c r="H145" s="1"/>
      <c r="I145" s="1"/>
      <c r="J145" s="1"/>
      <c r="K145" s="43"/>
      <c r="L145" s="1"/>
      <c r="M145" s="1"/>
      <c r="N145" s="1"/>
      <c r="O145" s="1"/>
      <c r="P145" s="46"/>
      <c r="Q145" s="1"/>
      <c r="R145" s="1"/>
      <c r="S145" s="1"/>
      <c r="T145" s="1"/>
      <c r="U145" s="49"/>
      <c r="V145" s="1"/>
      <c r="W145" s="1"/>
      <c r="X145" s="1"/>
      <c r="Y145" s="1"/>
      <c r="Z145" s="52"/>
      <c r="AA145" s="1"/>
      <c r="AB145" s="1"/>
      <c r="AC145" s="1"/>
      <c r="AD145" s="1"/>
      <c r="AE145" s="221"/>
    </row>
    <row r="146" spans="1:31" x14ac:dyDescent="0.25">
      <c r="A146" s="108">
        <v>135</v>
      </c>
      <c r="B146" s="1"/>
      <c r="C146" s="1"/>
      <c r="D146" s="1"/>
      <c r="E146" s="1"/>
      <c r="F146" s="39"/>
      <c r="G146" s="1"/>
      <c r="H146" s="1"/>
      <c r="I146" s="1"/>
      <c r="J146" s="1"/>
      <c r="K146" s="43"/>
      <c r="L146" s="1"/>
      <c r="M146" s="1"/>
      <c r="N146" s="1"/>
      <c r="O146" s="1"/>
      <c r="P146" s="46"/>
      <c r="Q146" s="1"/>
      <c r="R146" s="1"/>
      <c r="S146" s="1"/>
      <c r="T146" s="1"/>
      <c r="U146" s="49"/>
      <c r="V146" s="1"/>
      <c r="W146" s="1"/>
      <c r="X146" s="1"/>
      <c r="Y146" s="1"/>
      <c r="Z146" s="52"/>
      <c r="AA146" s="1"/>
      <c r="AB146" s="1"/>
      <c r="AC146" s="1"/>
      <c r="AD146" s="1"/>
      <c r="AE146" s="221"/>
    </row>
    <row r="147" spans="1:31" x14ac:dyDescent="0.25">
      <c r="A147" s="108">
        <v>136</v>
      </c>
      <c r="B147" s="1"/>
      <c r="C147" s="1"/>
      <c r="D147" s="1"/>
      <c r="E147" s="1"/>
      <c r="F147" s="39"/>
      <c r="G147" s="1"/>
      <c r="H147" s="1"/>
      <c r="I147" s="1"/>
      <c r="J147" s="1"/>
      <c r="K147" s="43"/>
      <c r="L147" s="1"/>
      <c r="M147" s="1"/>
      <c r="N147" s="1"/>
      <c r="O147" s="1"/>
      <c r="P147" s="46"/>
      <c r="Q147" s="1"/>
      <c r="R147" s="1"/>
      <c r="S147" s="1"/>
      <c r="T147" s="1"/>
      <c r="U147" s="49"/>
      <c r="V147" s="1"/>
      <c r="W147" s="1"/>
      <c r="X147" s="1"/>
      <c r="Y147" s="1"/>
      <c r="Z147" s="52"/>
      <c r="AA147" s="1"/>
      <c r="AB147" s="1"/>
      <c r="AC147" s="1"/>
      <c r="AD147" s="1"/>
      <c r="AE147" s="221"/>
    </row>
    <row r="148" spans="1:31" x14ac:dyDescent="0.25">
      <c r="A148" s="108">
        <v>137</v>
      </c>
      <c r="B148" s="1"/>
      <c r="C148" s="1"/>
      <c r="D148" s="1"/>
      <c r="E148" s="1"/>
      <c r="F148" s="39"/>
      <c r="G148" s="1"/>
      <c r="H148" s="1"/>
      <c r="I148" s="1"/>
      <c r="J148" s="1"/>
      <c r="K148" s="43"/>
      <c r="L148" s="1"/>
      <c r="M148" s="1"/>
      <c r="N148" s="1"/>
      <c r="O148" s="1"/>
      <c r="P148" s="46"/>
      <c r="Q148" s="1"/>
      <c r="R148" s="1"/>
      <c r="S148" s="1"/>
      <c r="T148" s="1"/>
      <c r="U148" s="49"/>
      <c r="V148" s="1"/>
      <c r="W148" s="1"/>
      <c r="X148" s="1"/>
      <c r="Y148" s="1"/>
      <c r="Z148" s="52"/>
      <c r="AA148" s="1"/>
      <c r="AB148" s="1"/>
      <c r="AC148" s="1"/>
      <c r="AD148" s="1"/>
      <c r="AE148" s="221"/>
    </row>
    <row r="149" spans="1:31" x14ac:dyDescent="0.25">
      <c r="A149" s="108">
        <v>138</v>
      </c>
      <c r="B149" s="1"/>
      <c r="C149" s="1"/>
      <c r="D149" s="1"/>
      <c r="E149" s="1"/>
      <c r="F149" s="39"/>
      <c r="G149" s="1"/>
      <c r="H149" s="1"/>
      <c r="I149" s="1"/>
      <c r="J149" s="1"/>
      <c r="K149" s="43"/>
      <c r="L149" s="1"/>
      <c r="M149" s="1"/>
      <c r="N149" s="1"/>
      <c r="O149" s="1"/>
      <c r="P149" s="46"/>
      <c r="Q149" s="1"/>
      <c r="R149" s="1"/>
      <c r="S149" s="1"/>
      <c r="T149" s="1"/>
      <c r="U149" s="49"/>
      <c r="V149" s="1"/>
      <c r="W149" s="1"/>
      <c r="X149" s="1"/>
      <c r="Y149" s="1"/>
      <c r="Z149" s="52"/>
      <c r="AA149" s="1"/>
      <c r="AB149" s="1"/>
      <c r="AC149" s="1"/>
      <c r="AD149" s="1"/>
      <c r="AE149" s="221"/>
    </row>
    <row r="150" spans="1:31" x14ac:dyDescent="0.25">
      <c r="A150" s="108">
        <v>139</v>
      </c>
      <c r="B150" s="1"/>
      <c r="C150" s="1"/>
      <c r="D150" s="1"/>
      <c r="E150" s="1"/>
      <c r="F150" s="39"/>
      <c r="G150" s="1"/>
      <c r="H150" s="1"/>
      <c r="I150" s="1"/>
      <c r="J150" s="1"/>
      <c r="K150" s="43"/>
      <c r="L150" s="1"/>
      <c r="M150" s="1"/>
      <c r="N150" s="1"/>
      <c r="O150" s="1"/>
      <c r="P150" s="46"/>
      <c r="Q150" s="1"/>
      <c r="R150" s="1"/>
      <c r="S150" s="1"/>
      <c r="T150" s="1"/>
      <c r="U150" s="49"/>
      <c r="V150" s="1"/>
      <c r="W150" s="1"/>
      <c r="X150" s="1"/>
      <c r="Y150" s="1"/>
      <c r="Z150" s="52"/>
      <c r="AA150" s="1"/>
      <c r="AB150" s="1"/>
      <c r="AC150" s="1"/>
      <c r="AD150" s="1"/>
      <c r="AE150" s="221"/>
    </row>
    <row r="151" spans="1:31" x14ac:dyDescent="0.25">
      <c r="A151" s="108">
        <v>140</v>
      </c>
      <c r="B151" s="1"/>
      <c r="C151" s="1"/>
      <c r="D151" s="1"/>
      <c r="E151" s="1"/>
      <c r="F151" s="39"/>
      <c r="G151" s="1"/>
      <c r="H151" s="1"/>
      <c r="I151" s="1"/>
      <c r="J151" s="1"/>
      <c r="K151" s="43"/>
      <c r="L151" s="1"/>
      <c r="M151" s="1"/>
      <c r="N151" s="1"/>
      <c r="O151" s="1"/>
      <c r="P151" s="46"/>
      <c r="Q151" s="1"/>
      <c r="R151" s="1"/>
      <c r="S151" s="1"/>
      <c r="T151" s="1"/>
      <c r="U151" s="49"/>
      <c r="V151" s="1"/>
      <c r="W151" s="1"/>
      <c r="X151" s="1"/>
      <c r="Y151" s="1"/>
      <c r="Z151" s="52"/>
      <c r="AA151" s="1"/>
      <c r="AB151" s="1"/>
      <c r="AC151" s="1"/>
      <c r="AD151" s="1"/>
      <c r="AE151" s="221"/>
    </row>
    <row r="152" spans="1:31" x14ac:dyDescent="0.25">
      <c r="A152" s="108">
        <v>141</v>
      </c>
      <c r="B152" s="1"/>
      <c r="C152" s="1"/>
      <c r="D152" s="1"/>
      <c r="E152" s="1"/>
      <c r="F152" s="39"/>
      <c r="G152" s="1"/>
      <c r="H152" s="1"/>
      <c r="I152" s="1"/>
      <c r="J152" s="1"/>
      <c r="K152" s="43"/>
      <c r="L152" s="1"/>
      <c r="M152" s="1"/>
      <c r="N152" s="1"/>
      <c r="O152" s="1"/>
      <c r="P152" s="46"/>
      <c r="Q152" s="1"/>
      <c r="R152" s="1"/>
      <c r="S152" s="1"/>
      <c r="T152" s="1"/>
      <c r="U152" s="49"/>
      <c r="V152" s="1"/>
      <c r="W152" s="1"/>
      <c r="X152" s="1"/>
      <c r="Y152" s="1"/>
      <c r="Z152" s="52"/>
      <c r="AA152" s="1"/>
      <c r="AB152" s="1"/>
      <c r="AC152" s="1"/>
      <c r="AD152" s="1"/>
      <c r="AE152" s="221"/>
    </row>
    <row r="153" spans="1:31" x14ac:dyDescent="0.25">
      <c r="A153" s="108">
        <v>142</v>
      </c>
      <c r="B153" s="1"/>
      <c r="C153" s="1"/>
      <c r="D153" s="1"/>
      <c r="E153" s="1"/>
      <c r="F153" s="39"/>
      <c r="G153" s="1"/>
      <c r="H153" s="1"/>
      <c r="I153" s="1"/>
      <c r="J153" s="1"/>
      <c r="K153" s="43"/>
      <c r="L153" s="1"/>
      <c r="M153" s="1"/>
      <c r="N153" s="1"/>
      <c r="O153" s="1"/>
      <c r="P153" s="46"/>
      <c r="Q153" s="1"/>
      <c r="R153" s="1"/>
      <c r="S153" s="1"/>
      <c r="T153" s="1"/>
      <c r="U153" s="49"/>
      <c r="V153" s="1"/>
      <c r="W153" s="1"/>
      <c r="X153" s="1"/>
      <c r="Y153" s="1"/>
      <c r="Z153" s="52"/>
      <c r="AA153" s="1"/>
      <c r="AB153" s="1"/>
      <c r="AC153" s="1"/>
      <c r="AD153" s="1"/>
      <c r="AE153" s="221"/>
    </row>
    <row r="154" spans="1:31" x14ac:dyDescent="0.25">
      <c r="A154" s="108">
        <v>143</v>
      </c>
      <c r="B154" s="1"/>
      <c r="C154" s="1"/>
      <c r="D154" s="1"/>
      <c r="E154" s="1"/>
      <c r="F154" s="39"/>
      <c r="G154" s="1"/>
      <c r="H154" s="1"/>
      <c r="I154" s="1"/>
      <c r="J154" s="1"/>
      <c r="K154" s="43"/>
      <c r="L154" s="1"/>
      <c r="M154" s="1"/>
      <c r="N154" s="1"/>
      <c r="O154" s="1"/>
      <c r="P154" s="46"/>
      <c r="Q154" s="1"/>
      <c r="R154" s="1"/>
      <c r="S154" s="1"/>
      <c r="T154" s="1"/>
      <c r="U154" s="49"/>
      <c r="V154" s="1"/>
      <c r="W154" s="1"/>
      <c r="X154" s="1"/>
      <c r="Y154" s="1"/>
      <c r="Z154" s="52"/>
      <c r="AA154" s="1"/>
      <c r="AB154" s="1"/>
      <c r="AC154" s="1"/>
      <c r="AD154" s="1"/>
      <c r="AE154" s="221"/>
    </row>
    <row r="155" spans="1:31" x14ac:dyDescent="0.25">
      <c r="A155" s="108">
        <v>144</v>
      </c>
      <c r="B155" s="1"/>
      <c r="C155" s="1"/>
      <c r="D155" s="1"/>
      <c r="E155" s="1"/>
      <c r="F155" s="39"/>
      <c r="G155" s="1"/>
      <c r="H155" s="1"/>
      <c r="I155" s="1"/>
      <c r="J155" s="1"/>
      <c r="K155" s="43"/>
      <c r="L155" s="1"/>
      <c r="M155" s="1"/>
      <c r="N155" s="1"/>
      <c r="O155" s="1"/>
      <c r="P155" s="46"/>
      <c r="Q155" s="1"/>
      <c r="R155" s="1"/>
      <c r="S155" s="1"/>
      <c r="T155" s="1"/>
      <c r="U155" s="49"/>
      <c r="V155" s="1"/>
      <c r="W155" s="1"/>
      <c r="X155" s="1"/>
      <c r="Y155" s="1"/>
      <c r="Z155" s="52"/>
      <c r="AA155" s="1"/>
      <c r="AB155" s="1"/>
      <c r="AC155" s="1"/>
      <c r="AD155" s="1"/>
      <c r="AE155" s="221"/>
    </row>
    <row r="156" spans="1:31" x14ac:dyDescent="0.25">
      <c r="A156" s="108">
        <v>145</v>
      </c>
      <c r="B156" s="1"/>
      <c r="C156" s="1"/>
      <c r="D156" s="1"/>
      <c r="E156" s="1"/>
      <c r="F156" s="39"/>
      <c r="G156" s="1"/>
      <c r="H156" s="1"/>
      <c r="I156" s="1"/>
      <c r="J156" s="1"/>
      <c r="K156" s="43"/>
      <c r="L156" s="1"/>
      <c r="M156" s="1"/>
      <c r="N156" s="1"/>
      <c r="O156" s="1"/>
      <c r="P156" s="46"/>
      <c r="Q156" s="1"/>
      <c r="R156" s="1"/>
      <c r="S156" s="1"/>
      <c r="T156" s="1"/>
      <c r="U156" s="49"/>
      <c r="V156" s="1"/>
      <c r="W156" s="1"/>
      <c r="X156" s="1"/>
      <c r="Y156" s="1"/>
      <c r="Z156" s="52"/>
      <c r="AA156" s="1"/>
      <c r="AB156" s="1"/>
      <c r="AC156" s="1"/>
      <c r="AD156" s="1"/>
      <c r="AE156" s="221"/>
    </row>
    <row r="157" spans="1:31" x14ac:dyDescent="0.25">
      <c r="A157" s="108">
        <v>146</v>
      </c>
      <c r="B157" s="1"/>
      <c r="C157" s="1"/>
      <c r="D157" s="1"/>
      <c r="E157" s="1"/>
      <c r="F157" s="39"/>
      <c r="G157" s="1"/>
      <c r="H157" s="1"/>
      <c r="I157" s="1"/>
      <c r="J157" s="1"/>
      <c r="K157" s="43"/>
      <c r="L157" s="1"/>
      <c r="M157" s="1"/>
      <c r="N157" s="1"/>
      <c r="O157" s="1"/>
      <c r="P157" s="46"/>
      <c r="Q157" s="1"/>
      <c r="R157" s="1"/>
      <c r="S157" s="1"/>
      <c r="T157" s="1"/>
      <c r="U157" s="49"/>
      <c r="V157" s="1"/>
      <c r="W157" s="1"/>
      <c r="X157" s="1"/>
      <c r="Y157" s="1"/>
      <c r="Z157" s="52"/>
      <c r="AA157" s="1"/>
      <c r="AB157" s="1"/>
      <c r="AC157" s="1"/>
      <c r="AD157" s="1"/>
      <c r="AE157" s="221"/>
    </row>
    <row r="158" spans="1:31" x14ac:dyDescent="0.25">
      <c r="A158" s="108">
        <v>147</v>
      </c>
      <c r="B158" s="1"/>
      <c r="C158" s="1"/>
      <c r="D158" s="1"/>
      <c r="E158" s="1"/>
      <c r="F158" s="39"/>
      <c r="G158" s="1"/>
      <c r="H158" s="1"/>
      <c r="I158" s="1"/>
      <c r="J158" s="1"/>
      <c r="K158" s="43"/>
      <c r="L158" s="1"/>
      <c r="M158" s="1"/>
      <c r="N158" s="1"/>
      <c r="O158" s="1"/>
      <c r="P158" s="46"/>
      <c r="Q158" s="1"/>
      <c r="R158" s="1"/>
      <c r="S158" s="1"/>
      <c r="T158" s="1"/>
      <c r="U158" s="49"/>
      <c r="V158" s="1"/>
      <c r="W158" s="1"/>
      <c r="X158" s="1"/>
      <c r="Y158" s="1"/>
      <c r="Z158" s="52"/>
      <c r="AA158" s="1"/>
      <c r="AB158" s="1"/>
      <c r="AC158" s="1"/>
      <c r="AD158" s="1"/>
      <c r="AE158" s="221"/>
    </row>
    <row r="159" spans="1:31" x14ac:dyDescent="0.25">
      <c r="A159" s="108">
        <v>148</v>
      </c>
      <c r="B159" s="1"/>
      <c r="C159" s="1"/>
      <c r="D159" s="1"/>
      <c r="E159" s="1"/>
      <c r="F159" s="39"/>
      <c r="G159" s="1"/>
      <c r="H159" s="1"/>
      <c r="I159" s="1"/>
      <c r="J159" s="1"/>
      <c r="K159" s="43"/>
      <c r="L159" s="1"/>
      <c r="M159" s="1"/>
      <c r="N159" s="1"/>
      <c r="O159" s="1"/>
      <c r="P159" s="46"/>
      <c r="Q159" s="1"/>
      <c r="R159" s="1"/>
      <c r="S159" s="1"/>
      <c r="T159" s="1"/>
      <c r="U159" s="49"/>
      <c r="V159" s="1"/>
      <c r="W159" s="1"/>
      <c r="X159" s="1"/>
      <c r="Y159" s="1"/>
      <c r="Z159" s="52"/>
      <c r="AA159" s="1"/>
      <c r="AB159" s="1"/>
      <c r="AC159" s="1"/>
      <c r="AD159" s="1"/>
      <c r="AE159" s="221"/>
    </row>
    <row r="160" spans="1:31" x14ac:dyDescent="0.25">
      <c r="A160" s="108">
        <v>149</v>
      </c>
      <c r="B160" s="1"/>
      <c r="C160" s="1"/>
      <c r="D160" s="1"/>
      <c r="E160" s="1"/>
      <c r="F160" s="39"/>
      <c r="G160" s="1"/>
      <c r="H160" s="1"/>
      <c r="I160" s="1"/>
      <c r="J160" s="1"/>
      <c r="K160" s="43"/>
      <c r="L160" s="1"/>
      <c r="M160" s="1"/>
      <c r="N160" s="1"/>
      <c r="O160" s="1"/>
      <c r="P160" s="46"/>
      <c r="Q160" s="1"/>
      <c r="R160" s="1"/>
      <c r="S160" s="1"/>
      <c r="T160" s="1"/>
      <c r="U160" s="49"/>
      <c r="V160" s="1"/>
      <c r="W160" s="1"/>
      <c r="X160" s="1"/>
      <c r="Y160" s="1"/>
      <c r="Z160" s="52"/>
      <c r="AA160" s="1"/>
      <c r="AB160" s="1"/>
      <c r="AC160" s="1"/>
      <c r="AD160" s="1"/>
      <c r="AE160" s="221"/>
    </row>
    <row r="161" spans="1:31" x14ac:dyDescent="0.25">
      <c r="A161" s="108">
        <v>150</v>
      </c>
      <c r="B161" s="1"/>
      <c r="C161" s="1"/>
      <c r="D161" s="1"/>
      <c r="E161" s="1"/>
      <c r="F161" s="39"/>
      <c r="G161" s="1"/>
      <c r="H161" s="1"/>
      <c r="I161" s="1"/>
      <c r="J161" s="1"/>
      <c r="K161" s="43"/>
      <c r="L161" s="1"/>
      <c r="M161" s="1"/>
      <c r="N161" s="1"/>
      <c r="O161" s="1"/>
      <c r="P161" s="46"/>
      <c r="Q161" s="1"/>
      <c r="R161" s="1"/>
      <c r="S161" s="1"/>
      <c r="T161" s="1"/>
      <c r="U161" s="49"/>
      <c r="V161" s="1"/>
      <c r="W161" s="1"/>
      <c r="X161" s="1"/>
      <c r="Y161" s="1"/>
      <c r="Z161" s="52"/>
      <c r="AA161" s="1"/>
      <c r="AB161" s="1"/>
      <c r="AC161" s="1"/>
      <c r="AD161" s="1"/>
      <c r="AE161" s="221"/>
    </row>
    <row r="162" spans="1:31" x14ac:dyDescent="0.25">
      <c r="A162" s="108">
        <v>151</v>
      </c>
      <c r="B162" s="1"/>
      <c r="C162" s="1"/>
      <c r="D162" s="1"/>
      <c r="E162" s="1"/>
      <c r="F162" s="39"/>
      <c r="G162" s="1"/>
      <c r="H162" s="1"/>
      <c r="I162" s="1"/>
      <c r="J162" s="1"/>
      <c r="K162" s="43"/>
      <c r="L162" s="1"/>
      <c r="M162" s="1"/>
      <c r="N162" s="1"/>
      <c r="O162" s="1"/>
      <c r="P162" s="46"/>
      <c r="Q162" s="1"/>
      <c r="R162" s="1"/>
      <c r="S162" s="1"/>
      <c r="T162" s="1"/>
      <c r="U162" s="49"/>
      <c r="V162" s="1"/>
      <c r="W162" s="1"/>
      <c r="X162" s="1"/>
      <c r="Y162" s="1"/>
      <c r="Z162" s="52"/>
      <c r="AA162" s="1"/>
      <c r="AB162" s="1"/>
      <c r="AC162" s="1"/>
      <c r="AD162" s="1"/>
      <c r="AE162" s="221"/>
    </row>
    <row r="163" spans="1:31" x14ac:dyDescent="0.25">
      <c r="A163" s="108">
        <v>152</v>
      </c>
      <c r="B163" s="1"/>
      <c r="C163" s="1"/>
      <c r="D163" s="1"/>
      <c r="E163" s="1"/>
      <c r="F163" s="39"/>
      <c r="G163" s="1"/>
      <c r="H163" s="1"/>
      <c r="I163" s="1"/>
      <c r="J163" s="1"/>
      <c r="K163" s="43"/>
      <c r="L163" s="1"/>
      <c r="M163" s="1"/>
      <c r="N163" s="1"/>
      <c r="O163" s="1"/>
      <c r="P163" s="46"/>
      <c r="Q163" s="1"/>
      <c r="R163" s="1"/>
      <c r="S163" s="1"/>
      <c r="T163" s="1"/>
      <c r="U163" s="49"/>
      <c r="V163" s="1"/>
      <c r="W163" s="1"/>
      <c r="X163" s="1"/>
      <c r="Y163" s="1"/>
      <c r="Z163" s="52"/>
      <c r="AA163" s="1"/>
      <c r="AB163" s="1"/>
      <c r="AC163" s="1"/>
      <c r="AD163" s="1"/>
      <c r="AE163" s="221"/>
    </row>
    <row r="164" spans="1:31" x14ac:dyDescent="0.25">
      <c r="A164" s="108">
        <v>153</v>
      </c>
      <c r="B164" s="1"/>
      <c r="C164" s="1"/>
      <c r="D164" s="1"/>
      <c r="E164" s="1"/>
      <c r="F164" s="39"/>
      <c r="G164" s="1"/>
      <c r="H164" s="1"/>
      <c r="I164" s="1"/>
      <c r="J164" s="1"/>
      <c r="K164" s="43"/>
      <c r="L164" s="1"/>
      <c r="M164" s="1"/>
      <c r="N164" s="1"/>
      <c r="O164" s="1"/>
      <c r="P164" s="46"/>
      <c r="Q164" s="1"/>
      <c r="R164" s="1"/>
      <c r="S164" s="1"/>
      <c r="T164" s="1"/>
      <c r="U164" s="49"/>
      <c r="V164" s="1"/>
      <c r="W164" s="1"/>
      <c r="X164" s="1"/>
      <c r="Y164" s="1"/>
      <c r="Z164" s="52"/>
      <c r="AA164" s="1"/>
      <c r="AB164" s="1"/>
      <c r="AC164" s="1"/>
      <c r="AD164" s="1"/>
      <c r="AE164" s="221"/>
    </row>
    <row r="165" spans="1:31" x14ac:dyDescent="0.25">
      <c r="A165" s="108">
        <v>154</v>
      </c>
      <c r="B165" s="1"/>
      <c r="C165" s="1"/>
      <c r="D165" s="1"/>
      <c r="E165" s="1"/>
      <c r="F165" s="39"/>
      <c r="G165" s="1"/>
      <c r="H165" s="1"/>
      <c r="I165" s="1"/>
      <c r="J165" s="1"/>
      <c r="K165" s="43"/>
      <c r="L165" s="1"/>
      <c r="M165" s="1"/>
      <c r="N165" s="1"/>
      <c r="O165" s="1"/>
      <c r="P165" s="46"/>
      <c r="Q165" s="1"/>
      <c r="R165" s="1"/>
      <c r="S165" s="1"/>
      <c r="T165" s="1"/>
      <c r="U165" s="49"/>
      <c r="V165" s="1"/>
      <c r="W165" s="1"/>
      <c r="X165" s="1"/>
      <c r="Y165" s="1"/>
      <c r="Z165" s="52"/>
      <c r="AA165" s="1"/>
      <c r="AB165" s="1"/>
      <c r="AC165" s="1"/>
      <c r="AD165" s="1"/>
      <c r="AE165" s="221"/>
    </row>
    <row r="166" spans="1:31" x14ac:dyDescent="0.25">
      <c r="A166" s="108">
        <v>155</v>
      </c>
      <c r="B166" s="1"/>
      <c r="C166" s="1"/>
      <c r="D166" s="1"/>
      <c r="E166" s="1"/>
      <c r="F166" s="39"/>
      <c r="G166" s="1"/>
      <c r="H166" s="1"/>
      <c r="I166" s="1"/>
      <c r="J166" s="1"/>
      <c r="K166" s="43"/>
      <c r="L166" s="1"/>
      <c r="M166" s="1"/>
      <c r="N166" s="1"/>
      <c r="O166" s="1"/>
      <c r="P166" s="46"/>
      <c r="Q166" s="1"/>
      <c r="R166" s="1"/>
      <c r="S166" s="1"/>
      <c r="T166" s="1"/>
      <c r="U166" s="49"/>
      <c r="V166" s="1"/>
      <c r="W166" s="1"/>
      <c r="X166" s="1"/>
      <c r="Y166" s="1"/>
      <c r="Z166" s="52"/>
      <c r="AA166" s="1"/>
      <c r="AB166" s="1"/>
      <c r="AC166" s="1"/>
      <c r="AD166" s="1"/>
      <c r="AE166" s="221"/>
    </row>
    <row r="167" spans="1:31" x14ac:dyDescent="0.25">
      <c r="A167" s="108">
        <v>156</v>
      </c>
      <c r="B167" s="1"/>
      <c r="C167" s="1"/>
      <c r="D167" s="1"/>
      <c r="E167" s="1"/>
      <c r="F167" s="39"/>
      <c r="G167" s="1"/>
      <c r="H167" s="1"/>
      <c r="I167" s="1"/>
      <c r="J167" s="1"/>
      <c r="K167" s="43"/>
      <c r="L167" s="1"/>
      <c r="M167" s="1"/>
      <c r="N167" s="1"/>
      <c r="O167" s="1"/>
      <c r="P167" s="46"/>
      <c r="Q167" s="1"/>
      <c r="R167" s="1"/>
      <c r="S167" s="1"/>
      <c r="T167" s="1"/>
      <c r="U167" s="49"/>
      <c r="V167" s="1"/>
      <c r="W167" s="1"/>
      <c r="X167" s="1"/>
      <c r="Y167" s="1"/>
      <c r="Z167" s="52"/>
      <c r="AA167" s="1"/>
      <c r="AB167" s="1"/>
      <c r="AC167" s="1"/>
      <c r="AD167" s="1"/>
      <c r="AE167" s="221"/>
    </row>
    <row r="168" spans="1:31" x14ac:dyDescent="0.25">
      <c r="A168" s="108">
        <v>157</v>
      </c>
      <c r="B168" s="1"/>
      <c r="C168" s="1"/>
      <c r="D168" s="1"/>
      <c r="E168" s="1"/>
      <c r="F168" s="39"/>
      <c r="G168" s="1"/>
      <c r="H168" s="1"/>
      <c r="I168" s="1"/>
      <c r="J168" s="1"/>
      <c r="K168" s="43"/>
      <c r="L168" s="1"/>
      <c r="M168" s="1"/>
      <c r="N168" s="1"/>
      <c r="O168" s="1"/>
      <c r="P168" s="46"/>
      <c r="Q168" s="1"/>
      <c r="R168" s="1"/>
      <c r="S168" s="1"/>
      <c r="T168" s="1"/>
      <c r="U168" s="49"/>
      <c r="V168" s="1"/>
      <c r="W168" s="1"/>
      <c r="X168" s="1"/>
      <c r="Y168" s="1"/>
      <c r="Z168" s="52"/>
      <c r="AA168" s="1"/>
      <c r="AB168" s="1"/>
      <c r="AC168" s="1"/>
      <c r="AD168" s="1"/>
      <c r="AE168" s="221"/>
    </row>
    <row r="169" spans="1:31" x14ac:dyDescent="0.25">
      <c r="A169" s="108">
        <v>158</v>
      </c>
      <c r="B169" s="1"/>
      <c r="C169" s="1"/>
      <c r="D169" s="1"/>
      <c r="E169" s="1"/>
      <c r="F169" s="39"/>
      <c r="G169" s="1"/>
      <c r="H169" s="1"/>
      <c r="I169" s="1"/>
      <c r="J169" s="1"/>
      <c r="K169" s="43"/>
      <c r="L169" s="1"/>
      <c r="M169" s="1"/>
      <c r="N169" s="1"/>
      <c r="O169" s="1"/>
      <c r="P169" s="46"/>
      <c r="Q169" s="1"/>
      <c r="R169" s="1"/>
      <c r="S169" s="1"/>
      <c r="T169" s="1"/>
      <c r="U169" s="49"/>
      <c r="V169" s="1"/>
      <c r="W169" s="1"/>
      <c r="X169" s="1"/>
      <c r="Y169" s="1"/>
      <c r="Z169" s="52"/>
      <c r="AA169" s="1"/>
      <c r="AB169" s="1"/>
      <c r="AC169" s="1"/>
      <c r="AD169" s="1"/>
      <c r="AE169" s="221"/>
    </row>
    <row r="170" spans="1:31" x14ac:dyDescent="0.25">
      <c r="A170" s="108">
        <v>159</v>
      </c>
      <c r="B170" s="1"/>
      <c r="C170" s="1"/>
      <c r="D170" s="1"/>
      <c r="E170" s="1"/>
      <c r="F170" s="39"/>
      <c r="G170" s="1"/>
      <c r="H170" s="1"/>
      <c r="I170" s="1"/>
      <c r="J170" s="1"/>
      <c r="K170" s="43"/>
      <c r="L170" s="1"/>
      <c r="M170" s="1"/>
      <c r="N170" s="1"/>
      <c r="O170" s="1"/>
      <c r="P170" s="46"/>
      <c r="Q170" s="1"/>
      <c r="R170" s="1"/>
      <c r="S170" s="1"/>
      <c r="T170" s="1"/>
      <c r="U170" s="49"/>
      <c r="V170" s="1"/>
      <c r="W170" s="1"/>
      <c r="X170" s="1"/>
      <c r="Y170" s="1"/>
      <c r="Z170" s="52"/>
      <c r="AA170" s="1"/>
      <c r="AB170" s="1"/>
      <c r="AC170" s="1"/>
      <c r="AD170" s="1"/>
      <c r="AE170" s="221"/>
    </row>
    <row r="171" spans="1:31" x14ac:dyDescent="0.25">
      <c r="A171" s="108">
        <v>160</v>
      </c>
      <c r="B171" s="1"/>
      <c r="C171" s="1"/>
      <c r="D171" s="1"/>
      <c r="E171" s="1"/>
      <c r="F171" s="39"/>
      <c r="G171" s="1"/>
      <c r="H171" s="1"/>
      <c r="I171" s="1"/>
      <c r="J171" s="1"/>
      <c r="K171" s="43"/>
      <c r="L171" s="1"/>
      <c r="M171" s="1"/>
      <c r="N171" s="1"/>
      <c r="O171" s="1"/>
      <c r="P171" s="46"/>
      <c r="Q171" s="1"/>
      <c r="R171" s="1"/>
      <c r="S171" s="1"/>
      <c r="T171" s="1"/>
      <c r="U171" s="49"/>
      <c r="V171" s="1"/>
      <c r="W171" s="1"/>
      <c r="X171" s="1"/>
      <c r="Y171" s="1"/>
      <c r="Z171" s="52"/>
      <c r="AA171" s="1"/>
      <c r="AB171" s="1"/>
      <c r="AC171" s="1"/>
      <c r="AD171" s="1"/>
      <c r="AE171" s="221"/>
    </row>
    <row r="172" spans="1:31" x14ac:dyDescent="0.25">
      <c r="A172" s="108">
        <v>161</v>
      </c>
      <c r="B172" s="1"/>
      <c r="C172" s="1"/>
      <c r="D172" s="1"/>
      <c r="E172" s="1"/>
      <c r="F172" s="39"/>
      <c r="G172" s="1"/>
      <c r="H172" s="1"/>
      <c r="I172" s="1"/>
      <c r="J172" s="1"/>
      <c r="K172" s="43"/>
      <c r="L172" s="1"/>
      <c r="M172" s="1"/>
      <c r="N172" s="1"/>
      <c r="O172" s="1"/>
      <c r="P172" s="46"/>
      <c r="Q172" s="1"/>
      <c r="R172" s="1"/>
      <c r="S172" s="1"/>
      <c r="T172" s="1"/>
      <c r="U172" s="49"/>
      <c r="V172" s="1"/>
      <c r="W172" s="1"/>
      <c r="X172" s="1"/>
      <c r="Y172" s="1"/>
      <c r="Z172" s="52"/>
      <c r="AA172" s="1"/>
      <c r="AB172" s="1"/>
      <c r="AC172" s="1"/>
      <c r="AD172" s="1"/>
      <c r="AE172" s="221"/>
    </row>
    <row r="173" spans="1:31" x14ac:dyDescent="0.25">
      <c r="A173" s="108">
        <v>162</v>
      </c>
      <c r="B173" s="1"/>
      <c r="C173" s="1"/>
      <c r="D173" s="1"/>
      <c r="E173" s="1"/>
      <c r="F173" s="39"/>
      <c r="G173" s="1"/>
      <c r="H173" s="1"/>
      <c r="I173" s="1"/>
      <c r="J173" s="1"/>
      <c r="K173" s="43"/>
      <c r="L173" s="1"/>
      <c r="M173" s="1"/>
      <c r="N173" s="1"/>
      <c r="O173" s="1"/>
      <c r="P173" s="46"/>
      <c r="Q173" s="1"/>
      <c r="R173" s="1"/>
      <c r="S173" s="1"/>
      <c r="T173" s="1"/>
      <c r="U173" s="49"/>
      <c r="V173" s="1"/>
      <c r="W173" s="1"/>
      <c r="X173" s="1"/>
      <c r="Y173" s="1"/>
      <c r="Z173" s="52"/>
      <c r="AA173" s="1"/>
      <c r="AB173" s="1"/>
      <c r="AC173" s="1"/>
      <c r="AD173" s="1"/>
      <c r="AE173" s="221"/>
    </row>
    <row r="174" spans="1:31" x14ac:dyDescent="0.25">
      <c r="A174" s="108">
        <v>163</v>
      </c>
      <c r="B174" s="1"/>
      <c r="C174" s="1"/>
      <c r="D174" s="1"/>
      <c r="E174" s="1"/>
      <c r="F174" s="39"/>
      <c r="G174" s="1"/>
      <c r="H174" s="1"/>
      <c r="I174" s="1"/>
      <c r="J174" s="1"/>
      <c r="K174" s="43"/>
      <c r="L174" s="1"/>
      <c r="M174" s="1"/>
      <c r="N174" s="1"/>
      <c r="O174" s="1"/>
      <c r="P174" s="46"/>
      <c r="Q174" s="1"/>
      <c r="R174" s="1"/>
      <c r="S174" s="1"/>
      <c r="T174" s="1"/>
      <c r="U174" s="49"/>
      <c r="V174" s="1"/>
      <c r="W174" s="1"/>
      <c r="X174" s="1"/>
      <c r="Y174" s="1"/>
      <c r="Z174" s="52"/>
      <c r="AA174" s="1"/>
      <c r="AB174" s="1"/>
      <c r="AC174" s="1"/>
      <c r="AD174" s="1"/>
      <c r="AE174" s="221"/>
    </row>
    <row r="175" spans="1:31" x14ac:dyDescent="0.25">
      <c r="A175" s="108">
        <v>164</v>
      </c>
      <c r="B175" s="1"/>
      <c r="C175" s="1"/>
      <c r="D175" s="1"/>
      <c r="E175" s="1"/>
      <c r="F175" s="39"/>
      <c r="G175" s="1"/>
      <c r="H175" s="1"/>
      <c r="I175" s="1"/>
      <c r="J175" s="1"/>
      <c r="K175" s="43"/>
      <c r="L175" s="1"/>
      <c r="M175" s="1"/>
      <c r="N175" s="1"/>
      <c r="O175" s="1"/>
      <c r="P175" s="46"/>
      <c r="Q175" s="1"/>
      <c r="R175" s="1"/>
      <c r="S175" s="1"/>
      <c r="T175" s="1"/>
      <c r="U175" s="49"/>
      <c r="V175" s="1"/>
      <c r="W175" s="1"/>
      <c r="X175" s="1"/>
      <c r="Y175" s="1"/>
      <c r="Z175" s="52"/>
      <c r="AA175" s="1"/>
      <c r="AB175" s="1"/>
      <c r="AC175" s="1"/>
      <c r="AD175" s="1"/>
      <c r="AE175" s="221"/>
    </row>
    <row r="176" spans="1:31" x14ac:dyDescent="0.25">
      <c r="A176" s="108">
        <v>165</v>
      </c>
      <c r="B176" s="1"/>
      <c r="C176" s="1"/>
      <c r="D176" s="1"/>
      <c r="E176" s="1"/>
      <c r="F176" s="39"/>
      <c r="G176" s="1"/>
      <c r="H176" s="1"/>
      <c r="I176" s="1"/>
      <c r="J176" s="1"/>
      <c r="K176" s="43"/>
      <c r="L176" s="1"/>
      <c r="M176" s="1"/>
      <c r="N176" s="1"/>
      <c r="O176" s="1"/>
      <c r="P176" s="46"/>
      <c r="Q176" s="1"/>
      <c r="R176" s="1"/>
      <c r="S176" s="1"/>
      <c r="T176" s="1"/>
      <c r="U176" s="49"/>
      <c r="V176" s="1"/>
      <c r="W176" s="1"/>
      <c r="X176" s="1"/>
      <c r="Y176" s="1"/>
      <c r="Z176" s="52"/>
      <c r="AA176" s="1"/>
      <c r="AB176" s="1"/>
      <c r="AC176" s="1"/>
      <c r="AD176" s="1"/>
      <c r="AE176" s="221"/>
    </row>
    <row r="177" spans="1:31" x14ac:dyDescent="0.25">
      <c r="A177" s="108">
        <v>166</v>
      </c>
      <c r="B177" s="1"/>
      <c r="C177" s="1"/>
      <c r="D177" s="1"/>
      <c r="E177" s="1"/>
      <c r="F177" s="39"/>
      <c r="G177" s="1"/>
      <c r="H177" s="1"/>
      <c r="I177" s="1"/>
      <c r="J177" s="1"/>
      <c r="K177" s="43"/>
      <c r="L177" s="1"/>
      <c r="M177" s="1"/>
      <c r="N177" s="1"/>
      <c r="O177" s="1"/>
      <c r="P177" s="46"/>
      <c r="Q177" s="1"/>
      <c r="R177" s="1"/>
      <c r="S177" s="1"/>
      <c r="T177" s="1"/>
      <c r="U177" s="49"/>
      <c r="V177" s="1"/>
      <c r="W177" s="1"/>
      <c r="X177" s="1"/>
      <c r="Y177" s="1"/>
      <c r="Z177" s="52"/>
      <c r="AA177" s="1"/>
      <c r="AB177" s="1"/>
      <c r="AC177" s="1"/>
      <c r="AD177" s="1"/>
      <c r="AE177" s="221"/>
    </row>
    <row r="178" spans="1:31" x14ac:dyDescent="0.25">
      <c r="A178" s="108">
        <v>167</v>
      </c>
      <c r="B178" s="1"/>
      <c r="C178" s="1"/>
      <c r="D178" s="1"/>
      <c r="E178" s="1"/>
      <c r="F178" s="39"/>
      <c r="G178" s="1"/>
      <c r="H178" s="1"/>
      <c r="I178" s="1"/>
      <c r="J178" s="1"/>
      <c r="K178" s="43"/>
      <c r="L178" s="1"/>
      <c r="M178" s="1"/>
      <c r="N178" s="1"/>
      <c r="O178" s="1"/>
      <c r="P178" s="46"/>
      <c r="Q178" s="1"/>
      <c r="R178" s="1"/>
      <c r="S178" s="1"/>
      <c r="T178" s="1"/>
      <c r="U178" s="49"/>
      <c r="V178" s="1"/>
      <c r="W178" s="1"/>
      <c r="X178" s="1"/>
      <c r="Y178" s="1"/>
      <c r="Z178" s="52"/>
      <c r="AA178" s="1"/>
      <c r="AB178" s="1"/>
      <c r="AC178" s="1"/>
      <c r="AD178" s="1"/>
      <c r="AE178" s="221"/>
    </row>
    <row r="179" spans="1:31" x14ac:dyDescent="0.25">
      <c r="A179" s="108">
        <v>168</v>
      </c>
      <c r="B179" s="1"/>
      <c r="C179" s="1"/>
      <c r="D179" s="1"/>
      <c r="E179" s="1"/>
      <c r="F179" s="39"/>
      <c r="G179" s="1"/>
      <c r="H179" s="1"/>
      <c r="I179" s="1"/>
      <c r="J179" s="1"/>
      <c r="K179" s="43"/>
      <c r="L179" s="1"/>
      <c r="M179" s="1"/>
      <c r="N179" s="1"/>
      <c r="O179" s="1"/>
      <c r="P179" s="46"/>
      <c r="Q179" s="1"/>
      <c r="R179" s="1"/>
      <c r="S179" s="1"/>
      <c r="T179" s="1"/>
      <c r="U179" s="49"/>
      <c r="V179" s="1"/>
      <c r="W179" s="1"/>
      <c r="X179" s="1"/>
      <c r="Y179" s="1"/>
      <c r="Z179" s="52"/>
      <c r="AA179" s="1"/>
      <c r="AB179" s="1"/>
      <c r="AC179" s="1"/>
      <c r="AD179" s="1"/>
      <c r="AE179" s="221"/>
    </row>
    <row r="180" spans="1:31" x14ac:dyDescent="0.25">
      <c r="A180" s="108">
        <v>169</v>
      </c>
      <c r="B180" s="1"/>
      <c r="C180" s="1"/>
      <c r="D180" s="1"/>
      <c r="E180" s="1"/>
      <c r="F180" s="39"/>
      <c r="G180" s="1"/>
      <c r="H180" s="1"/>
      <c r="I180" s="1"/>
      <c r="J180" s="1"/>
      <c r="K180" s="43"/>
      <c r="L180" s="1"/>
      <c r="M180" s="1"/>
      <c r="N180" s="1"/>
      <c r="O180" s="1"/>
      <c r="P180" s="46"/>
      <c r="Q180" s="1"/>
      <c r="R180" s="1"/>
      <c r="S180" s="1"/>
      <c r="T180" s="1"/>
      <c r="U180" s="49"/>
      <c r="V180" s="1"/>
      <c r="W180" s="1"/>
      <c r="X180" s="1"/>
      <c r="Y180" s="1"/>
      <c r="Z180" s="52"/>
      <c r="AA180" s="1"/>
      <c r="AB180" s="1"/>
      <c r="AC180" s="1"/>
      <c r="AD180" s="1"/>
      <c r="AE180" s="221"/>
    </row>
    <row r="181" spans="1:31" x14ac:dyDescent="0.25">
      <c r="A181" s="108">
        <v>170</v>
      </c>
      <c r="B181" s="1"/>
      <c r="C181" s="1"/>
      <c r="D181" s="1"/>
      <c r="E181" s="1"/>
      <c r="F181" s="39"/>
      <c r="G181" s="1"/>
      <c r="H181" s="1"/>
      <c r="I181" s="1"/>
      <c r="J181" s="1"/>
      <c r="K181" s="43"/>
      <c r="L181" s="1"/>
      <c r="M181" s="1"/>
      <c r="N181" s="1"/>
      <c r="O181" s="1"/>
      <c r="P181" s="46"/>
      <c r="Q181" s="1"/>
      <c r="R181" s="1"/>
      <c r="S181" s="1"/>
      <c r="T181" s="1"/>
      <c r="U181" s="49"/>
      <c r="V181" s="1"/>
      <c r="W181" s="1"/>
      <c r="X181" s="1"/>
      <c r="Y181" s="1"/>
      <c r="Z181" s="52"/>
      <c r="AA181" s="1"/>
      <c r="AB181" s="1"/>
      <c r="AC181" s="1"/>
      <c r="AD181" s="1"/>
      <c r="AE181" s="221"/>
    </row>
    <row r="182" spans="1:31" x14ac:dyDescent="0.25">
      <c r="A182" s="108">
        <v>171</v>
      </c>
      <c r="B182" s="1"/>
      <c r="C182" s="1"/>
      <c r="D182" s="1"/>
      <c r="E182" s="1"/>
      <c r="F182" s="39"/>
      <c r="G182" s="1"/>
      <c r="H182" s="1"/>
      <c r="I182" s="1"/>
      <c r="J182" s="1"/>
      <c r="K182" s="43"/>
      <c r="L182" s="1"/>
      <c r="M182" s="1"/>
      <c r="N182" s="1"/>
      <c r="O182" s="1"/>
      <c r="P182" s="46"/>
      <c r="Q182" s="1"/>
      <c r="R182" s="1"/>
      <c r="S182" s="1"/>
      <c r="T182" s="1"/>
      <c r="U182" s="49"/>
      <c r="V182" s="1"/>
      <c r="W182" s="1"/>
      <c r="X182" s="1"/>
      <c r="Y182" s="1"/>
      <c r="Z182" s="52"/>
      <c r="AA182" s="1"/>
      <c r="AB182" s="1"/>
      <c r="AC182" s="1"/>
      <c r="AD182" s="1"/>
      <c r="AE182" s="221"/>
    </row>
    <row r="183" spans="1:31" x14ac:dyDescent="0.25">
      <c r="A183" s="108">
        <v>172</v>
      </c>
      <c r="B183" s="1"/>
      <c r="C183" s="1"/>
      <c r="D183" s="1"/>
      <c r="E183" s="1"/>
      <c r="F183" s="39"/>
      <c r="G183" s="1"/>
      <c r="H183" s="1"/>
      <c r="I183" s="1"/>
      <c r="J183" s="1"/>
      <c r="K183" s="43"/>
      <c r="L183" s="1"/>
      <c r="M183" s="1"/>
      <c r="N183" s="1"/>
      <c r="O183" s="1"/>
      <c r="P183" s="46"/>
      <c r="Q183" s="1"/>
      <c r="R183" s="1"/>
      <c r="S183" s="1"/>
      <c r="T183" s="1"/>
      <c r="U183" s="49"/>
      <c r="V183" s="1"/>
      <c r="W183" s="1"/>
      <c r="X183" s="1"/>
      <c r="Y183" s="1"/>
      <c r="Z183" s="52"/>
      <c r="AA183" s="1"/>
      <c r="AB183" s="1"/>
      <c r="AC183" s="1"/>
      <c r="AD183" s="1"/>
      <c r="AE183" s="221"/>
    </row>
    <row r="184" spans="1:31" x14ac:dyDescent="0.25">
      <c r="A184" s="108">
        <v>173</v>
      </c>
      <c r="B184" s="1"/>
      <c r="C184" s="1"/>
      <c r="D184" s="1"/>
      <c r="E184" s="1"/>
      <c r="F184" s="39"/>
      <c r="G184" s="1"/>
      <c r="H184" s="1"/>
      <c r="I184" s="1"/>
      <c r="J184" s="1"/>
      <c r="K184" s="43"/>
      <c r="L184" s="1"/>
      <c r="M184" s="1"/>
      <c r="N184" s="1"/>
      <c r="O184" s="1"/>
      <c r="P184" s="46"/>
      <c r="Q184" s="1"/>
      <c r="R184" s="1"/>
      <c r="S184" s="1"/>
      <c r="T184" s="1"/>
      <c r="U184" s="49"/>
      <c r="V184" s="1"/>
      <c r="W184" s="1"/>
      <c r="X184" s="1"/>
      <c r="Y184" s="1"/>
      <c r="Z184" s="52"/>
      <c r="AA184" s="1"/>
      <c r="AB184" s="1"/>
      <c r="AC184" s="1"/>
      <c r="AD184" s="1"/>
      <c r="AE184" s="221"/>
    </row>
    <row r="185" spans="1:31" x14ac:dyDescent="0.25">
      <c r="A185" s="108">
        <v>174</v>
      </c>
      <c r="B185" s="1"/>
      <c r="C185" s="1"/>
      <c r="D185" s="1"/>
      <c r="E185" s="1"/>
      <c r="F185" s="39"/>
      <c r="G185" s="1"/>
      <c r="H185" s="1"/>
      <c r="I185" s="1"/>
      <c r="J185" s="1"/>
      <c r="K185" s="43"/>
      <c r="L185" s="1"/>
      <c r="M185" s="1"/>
      <c r="N185" s="1"/>
      <c r="O185" s="1"/>
      <c r="P185" s="46"/>
      <c r="Q185" s="1"/>
      <c r="R185" s="1"/>
      <c r="S185" s="1"/>
      <c r="T185" s="1"/>
      <c r="U185" s="49"/>
      <c r="V185" s="1"/>
      <c r="W185" s="1"/>
      <c r="X185" s="1"/>
      <c r="Y185" s="1"/>
      <c r="Z185" s="52"/>
      <c r="AA185" s="1"/>
      <c r="AB185" s="1"/>
      <c r="AC185" s="1"/>
      <c r="AD185" s="1"/>
      <c r="AE185" s="221"/>
    </row>
    <row r="186" spans="1:31" x14ac:dyDescent="0.25">
      <c r="A186" s="108">
        <v>175</v>
      </c>
      <c r="B186" s="1"/>
      <c r="C186" s="1"/>
      <c r="D186" s="1"/>
      <c r="E186" s="1"/>
      <c r="F186" s="39"/>
      <c r="G186" s="1"/>
      <c r="H186" s="1"/>
      <c r="I186" s="1"/>
      <c r="J186" s="1"/>
      <c r="K186" s="43"/>
      <c r="L186" s="1"/>
      <c r="M186" s="1"/>
      <c r="N186" s="1"/>
      <c r="O186" s="1"/>
      <c r="P186" s="46"/>
      <c r="Q186" s="1"/>
      <c r="R186" s="1"/>
      <c r="S186" s="1"/>
      <c r="T186" s="1"/>
      <c r="U186" s="49"/>
      <c r="V186" s="1"/>
      <c r="W186" s="1"/>
      <c r="X186" s="1"/>
      <c r="Y186" s="1"/>
      <c r="Z186" s="52"/>
      <c r="AA186" s="1"/>
      <c r="AB186" s="1"/>
      <c r="AC186" s="1"/>
      <c r="AD186" s="1"/>
      <c r="AE186" s="221"/>
    </row>
    <row r="187" spans="1:31" x14ac:dyDescent="0.25">
      <c r="A187" s="108">
        <v>176</v>
      </c>
      <c r="B187" s="1"/>
      <c r="C187" s="1"/>
      <c r="D187" s="1"/>
      <c r="E187" s="1"/>
      <c r="F187" s="39"/>
      <c r="G187" s="1"/>
      <c r="H187" s="1"/>
      <c r="I187" s="1"/>
      <c r="J187" s="1"/>
      <c r="K187" s="43"/>
      <c r="L187" s="1"/>
      <c r="M187" s="1"/>
      <c r="N187" s="1"/>
      <c r="O187" s="1"/>
      <c r="P187" s="46"/>
      <c r="Q187" s="1"/>
      <c r="R187" s="1"/>
      <c r="S187" s="1"/>
      <c r="T187" s="1"/>
      <c r="U187" s="49"/>
      <c r="V187" s="1"/>
      <c r="W187" s="1"/>
      <c r="X187" s="1"/>
      <c r="Y187" s="1"/>
      <c r="Z187" s="52"/>
      <c r="AA187" s="1"/>
      <c r="AB187" s="1"/>
      <c r="AC187" s="1"/>
      <c r="AD187" s="1"/>
      <c r="AE187" s="221"/>
    </row>
    <row r="188" spans="1:31" x14ac:dyDescent="0.25">
      <c r="A188" s="108">
        <v>177</v>
      </c>
      <c r="B188" s="1"/>
      <c r="C188" s="1"/>
      <c r="D188" s="1"/>
      <c r="E188" s="1"/>
      <c r="F188" s="39"/>
      <c r="G188" s="1"/>
      <c r="H188" s="1"/>
      <c r="I188" s="1"/>
      <c r="J188" s="1"/>
      <c r="K188" s="43"/>
      <c r="L188" s="1"/>
      <c r="M188" s="1"/>
      <c r="N188" s="1"/>
      <c r="O188" s="1"/>
      <c r="P188" s="46"/>
      <c r="Q188" s="1"/>
      <c r="R188" s="1"/>
      <c r="S188" s="1"/>
      <c r="T188" s="1"/>
      <c r="U188" s="49"/>
      <c r="V188" s="1"/>
      <c r="W188" s="1"/>
      <c r="X188" s="1"/>
      <c r="Y188" s="1"/>
      <c r="Z188" s="52"/>
      <c r="AA188" s="1"/>
      <c r="AB188" s="1"/>
      <c r="AC188" s="1"/>
      <c r="AD188" s="1"/>
      <c r="AE188" s="221"/>
    </row>
    <row r="189" spans="1:31" x14ac:dyDescent="0.25">
      <c r="A189" s="108">
        <v>178</v>
      </c>
      <c r="B189" s="1"/>
      <c r="C189" s="1"/>
      <c r="D189" s="1"/>
      <c r="E189" s="1"/>
      <c r="F189" s="39"/>
      <c r="G189" s="1"/>
      <c r="H189" s="1"/>
      <c r="I189" s="1"/>
      <c r="J189" s="1"/>
      <c r="K189" s="43"/>
      <c r="L189" s="1"/>
      <c r="M189" s="1"/>
      <c r="N189" s="1"/>
      <c r="O189" s="1"/>
      <c r="P189" s="46"/>
      <c r="Q189" s="1"/>
      <c r="R189" s="1"/>
      <c r="S189" s="1"/>
      <c r="T189" s="1"/>
      <c r="U189" s="49"/>
      <c r="V189" s="1"/>
      <c r="W189" s="1"/>
      <c r="X189" s="1"/>
      <c r="Y189" s="1"/>
      <c r="Z189" s="52"/>
      <c r="AA189" s="1"/>
      <c r="AB189" s="1"/>
      <c r="AC189" s="1"/>
      <c r="AD189" s="1"/>
      <c r="AE189" s="221"/>
    </row>
    <row r="190" spans="1:31" x14ac:dyDescent="0.25">
      <c r="A190" s="108">
        <v>179</v>
      </c>
      <c r="B190" s="1"/>
      <c r="C190" s="1"/>
      <c r="D190" s="1"/>
      <c r="E190" s="1"/>
      <c r="F190" s="39"/>
      <c r="G190" s="1"/>
      <c r="H190" s="1"/>
      <c r="I190" s="1"/>
      <c r="J190" s="1"/>
      <c r="K190" s="43"/>
      <c r="L190" s="1"/>
      <c r="M190" s="1"/>
      <c r="N190" s="1"/>
      <c r="O190" s="1"/>
      <c r="P190" s="46"/>
      <c r="Q190" s="1"/>
      <c r="R190" s="1"/>
      <c r="S190" s="1"/>
      <c r="T190" s="1"/>
      <c r="U190" s="49"/>
      <c r="V190" s="1"/>
      <c r="W190" s="1"/>
      <c r="X190" s="1"/>
      <c r="Y190" s="1"/>
      <c r="Z190" s="52"/>
      <c r="AA190" s="1"/>
      <c r="AB190" s="1"/>
      <c r="AC190" s="1"/>
      <c r="AD190" s="1"/>
      <c r="AE190" s="221"/>
    </row>
    <row r="191" spans="1:31" x14ac:dyDescent="0.25">
      <c r="A191" s="108">
        <v>180</v>
      </c>
      <c r="B191" s="1"/>
      <c r="C191" s="1"/>
      <c r="D191" s="1"/>
      <c r="E191" s="1"/>
      <c r="F191" s="39"/>
      <c r="G191" s="1"/>
      <c r="H191" s="1"/>
      <c r="I191" s="1"/>
      <c r="J191" s="1"/>
      <c r="K191" s="43"/>
      <c r="L191" s="1"/>
      <c r="M191" s="1"/>
      <c r="N191" s="1"/>
      <c r="O191" s="1"/>
      <c r="P191" s="46"/>
      <c r="Q191" s="1"/>
      <c r="R191" s="1"/>
      <c r="S191" s="1"/>
      <c r="T191" s="1"/>
      <c r="U191" s="49"/>
      <c r="V191" s="1"/>
      <c r="W191" s="1"/>
      <c r="X191" s="1"/>
      <c r="Y191" s="1"/>
      <c r="Z191" s="52"/>
      <c r="AA191" s="1"/>
      <c r="AB191" s="1"/>
      <c r="AC191" s="1"/>
      <c r="AD191" s="1"/>
      <c r="AE191" s="221"/>
    </row>
    <row r="192" spans="1:31" x14ac:dyDescent="0.25">
      <c r="A192" s="108">
        <v>181</v>
      </c>
      <c r="B192" s="1"/>
      <c r="C192" s="1"/>
      <c r="D192" s="1"/>
      <c r="E192" s="1"/>
      <c r="F192" s="39"/>
      <c r="G192" s="1"/>
      <c r="H192" s="1"/>
      <c r="I192" s="1"/>
      <c r="J192" s="1"/>
      <c r="K192" s="43"/>
      <c r="L192" s="1"/>
      <c r="M192" s="1"/>
      <c r="N192" s="1"/>
      <c r="O192" s="1"/>
      <c r="P192" s="46"/>
      <c r="Q192" s="1"/>
      <c r="R192" s="1"/>
      <c r="S192" s="1"/>
      <c r="T192" s="1"/>
      <c r="U192" s="49"/>
      <c r="V192" s="1"/>
      <c r="W192" s="1"/>
      <c r="X192" s="1"/>
      <c r="Y192" s="1"/>
      <c r="Z192" s="52"/>
      <c r="AA192" s="1"/>
      <c r="AB192" s="1"/>
      <c r="AC192" s="1"/>
      <c r="AD192" s="1"/>
      <c r="AE192" s="221"/>
    </row>
    <row r="193" spans="1:31" x14ac:dyDescent="0.25">
      <c r="A193" s="108">
        <v>182</v>
      </c>
      <c r="B193" s="1"/>
      <c r="C193" s="1"/>
      <c r="D193" s="1"/>
      <c r="E193" s="1"/>
      <c r="F193" s="39"/>
      <c r="G193" s="1"/>
      <c r="H193" s="1"/>
      <c r="I193" s="1"/>
      <c r="J193" s="1"/>
      <c r="K193" s="43"/>
      <c r="L193" s="1"/>
      <c r="M193" s="1"/>
      <c r="N193" s="1"/>
      <c r="O193" s="1"/>
      <c r="P193" s="46"/>
      <c r="Q193" s="1"/>
      <c r="R193" s="1"/>
      <c r="S193" s="1"/>
      <c r="T193" s="1"/>
      <c r="U193" s="49"/>
      <c r="V193" s="1"/>
      <c r="W193" s="1"/>
      <c r="X193" s="1"/>
      <c r="Y193" s="1"/>
      <c r="Z193" s="52"/>
      <c r="AA193" s="1"/>
      <c r="AB193" s="1"/>
      <c r="AC193" s="1"/>
      <c r="AD193" s="1"/>
      <c r="AE193" s="221"/>
    </row>
    <row r="194" spans="1:31" x14ac:dyDescent="0.25">
      <c r="A194" s="108">
        <v>183</v>
      </c>
      <c r="B194" s="1"/>
      <c r="C194" s="1"/>
      <c r="D194" s="1"/>
      <c r="E194" s="1"/>
      <c r="F194" s="39"/>
      <c r="G194" s="1"/>
      <c r="H194" s="1"/>
      <c r="I194" s="1"/>
      <c r="J194" s="1"/>
      <c r="K194" s="43"/>
      <c r="L194" s="1"/>
      <c r="M194" s="1"/>
      <c r="N194" s="1"/>
      <c r="O194" s="1"/>
      <c r="P194" s="46"/>
      <c r="Q194" s="1"/>
      <c r="R194" s="1"/>
      <c r="S194" s="1"/>
      <c r="T194" s="1"/>
      <c r="U194" s="49"/>
      <c r="V194" s="1"/>
      <c r="W194" s="1"/>
      <c r="X194" s="1"/>
      <c r="Y194" s="1"/>
      <c r="Z194" s="52"/>
      <c r="AA194" s="1"/>
      <c r="AB194" s="1"/>
      <c r="AC194" s="1"/>
      <c r="AD194" s="1"/>
      <c r="AE194" s="221"/>
    </row>
    <row r="195" spans="1:31" x14ac:dyDescent="0.25">
      <c r="A195" s="108">
        <v>184</v>
      </c>
      <c r="B195" s="1"/>
      <c r="C195" s="1"/>
      <c r="D195" s="1"/>
      <c r="E195" s="1"/>
      <c r="F195" s="39"/>
      <c r="G195" s="1"/>
      <c r="H195" s="1"/>
      <c r="I195" s="1"/>
      <c r="J195" s="1"/>
      <c r="K195" s="43"/>
      <c r="L195" s="1"/>
      <c r="M195" s="1"/>
      <c r="N195" s="1"/>
      <c r="O195" s="1"/>
      <c r="P195" s="46"/>
      <c r="Q195" s="1"/>
      <c r="R195" s="1"/>
      <c r="S195" s="1"/>
      <c r="T195" s="1"/>
      <c r="U195" s="49"/>
      <c r="V195" s="1"/>
      <c r="W195" s="1"/>
      <c r="X195" s="1"/>
      <c r="Y195" s="1"/>
      <c r="Z195" s="52"/>
      <c r="AA195" s="1"/>
      <c r="AB195" s="1"/>
      <c r="AC195" s="1"/>
      <c r="AD195" s="1"/>
      <c r="AE195" s="221"/>
    </row>
    <row r="196" spans="1:31" x14ac:dyDescent="0.25">
      <c r="A196" s="108">
        <v>185</v>
      </c>
      <c r="B196" s="1"/>
      <c r="C196" s="1"/>
      <c r="D196" s="1"/>
      <c r="E196" s="1"/>
      <c r="F196" s="39"/>
      <c r="G196" s="1"/>
      <c r="H196" s="1"/>
      <c r="I196" s="1"/>
      <c r="J196" s="1"/>
      <c r="K196" s="43"/>
      <c r="L196" s="1"/>
      <c r="M196" s="1"/>
      <c r="N196" s="1"/>
      <c r="O196" s="1"/>
      <c r="P196" s="46"/>
      <c r="Q196" s="1"/>
      <c r="R196" s="1"/>
      <c r="S196" s="1"/>
      <c r="T196" s="1"/>
      <c r="U196" s="49"/>
      <c r="V196" s="1"/>
      <c r="W196" s="1"/>
      <c r="X196" s="1"/>
      <c r="Y196" s="1"/>
      <c r="Z196" s="52"/>
      <c r="AA196" s="1"/>
      <c r="AB196" s="1"/>
      <c r="AC196" s="1"/>
      <c r="AD196" s="1"/>
      <c r="AE196" s="221"/>
    </row>
    <row r="197" spans="1:31" x14ac:dyDescent="0.25">
      <c r="A197" s="108">
        <v>186</v>
      </c>
      <c r="B197" s="1"/>
      <c r="C197" s="1"/>
      <c r="D197" s="1"/>
      <c r="E197" s="1"/>
      <c r="F197" s="39"/>
      <c r="G197" s="1"/>
      <c r="H197" s="1"/>
      <c r="I197" s="1"/>
      <c r="J197" s="1"/>
      <c r="K197" s="43"/>
      <c r="L197" s="1"/>
      <c r="M197" s="1"/>
      <c r="N197" s="1"/>
      <c r="O197" s="1"/>
      <c r="P197" s="46"/>
      <c r="Q197" s="1"/>
      <c r="R197" s="1"/>
      <c r="S197" s="1"/>
      <c r="T197" s="1"/>
      <c r="U197" s="49"/>
      <c r="V197" s="1"/>
      <c r="W197" s="1"/>
      <c r="X197" s="1"/>
      <c r="Y197" s="1"/>
      <c r="Z197" s="52"/>
      <c r="AA197" s="1"/>
      <c r="AB197" s="1"/>
      <c r="AC197" s="1"/>
      <c r="AD197" s="1"/>
      <c r="AE197" s="221"/>
    </row>
    <row r="198" spans="1:31" x14ac:dyDescent="0.25">
      <c r="A198" s="108">
        <v>187</v>
      </c>
      <c r="B198" s="1"/>
      <c r="C198" s="1"/>
      <c r="D198" s="1"/>
      <c r="E198" s="1"/>
      <c r="F198" s="39"/>
      <c r="G198" s="1"/>
      <c r="H198" s="1"/>
      <c r="I198" s="1"/>
      <c r="J198" s="1"/>
      <c r="K198" s="43"/>
      <c r="L198" s="1"/>
      <c r="M198" s="1"/>
      <c r="N198" s="1"/>
      <c r="O198" s="1"/>
      <c r="P198" s="46"/>
      <c r="Q198" s="1"/>
      <c r="R198" s="1"/>
      <c r="S198" s="1"/>
      <c r="T198" s="1"/>
      <c r="U198" s="49"/>
      <c r="V198" s="1"/>
      <c r="W198" s="1"/>
      <c r="X198" s="1"/>
      <c r="Y198" s="1"/>
      <c r="Z198" s="52"/>
      <c r="AA198" s="1"/>
      <c r="AB198" s="1"/>
      <c r="AC198" s="1"/>
      <c r="AD198" s="1"/>
      <c r="AE198" s="221"/>
    </row>
    <row r="199" spans="1:31" x14ac:dyDescent="0.25">
      <c r="A199" s="108">
        <v>188</v>
      </c>
      <c r="B199" s="1"/>
      <c r="C199" s="1"/>
      <c r="D199" s="1"/>
      <c r="E199" s="1"/>
      <c r="F199" s="39"/>
      <c r="G199" s="1"/>
      <c r="H199" s="1"/>
      <c r="I199" s="1"/>
      <c r="J199" s="1"/>
      <c r="K199" s="43"/>
      <c r="L199" s="1"/>
      <c r="M199" s="1"/>
      <c r="N199" s="1"/>
      <c r="O199" s="1"/>
      <c r="P199" s="46"/>
      <c r="Q199" s="1"/>
      <c r="R199" s="1"/>
      <c r="S199" s="1"/>
      <c r="T199" s="1"/>
      <c r="U199" s="49"/>
      <c r="V199" s="1"/>
      <c r="W199" s="1"/>
      <c r="X199" s="1"/>
      <c r="Y199" s="1"/>
      <c r="Z199" s="52"/>
      <c r="AA199" s="1"/>
      <c r="AB199" s="1"/>
      <c r="AC199" s="1"/>
      <c r="AD199" s="1"/>
      <c r="AE199" s="221"/>
    </row>
    <row r="200" spans="1:31" x14ac:dyDescent="0.25">
      <c r="A200" s="108">
        <v>189</v>
      </c>
      <c r="B200" s="1"/>
      <c r="C200" s="1"/>
      <c r="D200" s="1"/>
      <c r="E200" s="1"/>
      <c r="F200" s="39"/>
      <c r="G200" s="1"/>
      <c r="H200" s="1"/>
      <c r="I200" s="1"/>
      <c r="J200" s="1"/>
      <c r="K200" s="43"/>
      <c r="L200" s="1"/>
      <c r="M200" s="1"/>
      <c r="N200" s="1"/>
      <c r="O200" s="1"/>
      <c r="P200" s="46"/>
      <c r="Q200" s="1"/>
      <c r="R200" s="1"/>
      <c r="S200" s="1"/>
      <c r="T200" s="1"/>
      <c r="U200" s="49"/>
      <c r="V200" s="1"/>
      <c r="W200" s="1"/>
      <c r="X200" s="1"/>
      <c r="Y200" s="1"/>
      <c r="Z200" s="52"/>
      <c r="AA200" s="1"/>
      <c r="AB200" s="1"/>
      <c r="AC200" s="1"/>
      <c r="AD200" s="1"/>
      <c r="AE200" s="221"/>
    </row>
    <row r="201" spans="1:31" x14ac:dyDescent="0.25">
      <c r="A201" s="108">
        <v>190</v>
      </c>
      <c r="B201" s="1"/>
      <c r="C201" s="1"/>
      <c r="D201" s="1"/>
      <c r="E201" s="1"/>
      <c r="F201" s="39"/>
      <c r="G201" s="1"/>
      <c r="H201" s="1"/>
      <c r="I201" s="1"/>
      <c r="J201" s="1"/>
      <c r="K201" s="43"/>
      <c r="L201" s="1"/>
      <c r="M201" s="1"/>
      <c r="N201" s="1"/>
      <c r="O201" s="1"/>
      <c r="P201" s="46"/>
      <c r="Q201" s="1"/>
      <c r="R201" s="1"/>
      <c r="S201" s="1"/>
      <c r="T201" s="1"/>
      <c r="U201" s="49"/>
      <c r="V201" s="1"/>
      <c r="W201" s="1"/>
      <c r="X201" s="1"/>
      <c r="Y201" s="1"/>
      <c r="Z201" s="52"/>
      <c r="AA201" s="1"/>
      <c r="AB201" s="1"/>
      <c r="AC201" s="1"/>
      <c r="AD201" s="1"/>
      <c r="AE201" s="221"/>
    </row>
    <row r="202" spans="1:31" x14ac:dyDescent="0.25">
      <c r="A202" s="108">
        <v>191</v>
      </c>
      <c r="B202" s="1"/>
      <c r="C202" s="1"/>
      <c r="D202" s="1"/>
      <c r="E202" s="1"/>
      <c r="F202" s="39"/>
      <c r="G202" s="1"/>
      <c r="H202" s="1"/>
      <c r="I202" s="1"/>
      <c r="J202" s="1"/>
      <c r="K202" s="43"/>
      <c r="L202" s="1"/>
      <c r="M202" s="1"/>
      <c r="N202" s="1"/>
      <c r="O202" s="1"/>
      <c r="P202" s="46"/>
      <c r="Q202" s="1"/>
      <c r="R202" s="1"/>
      <c r="S202" s="1"/>
      <c r="T202" s="1"/>
      <c r="U202" s="49"/>
      <c r="V202" s="1"/>
      <c r="W202" s="1"/>
      <c r="X202" s="1"/>
      <c r="Y202" s="1"/>
      <c r="Z202" s="52"/>
      <c r="AA202" s="1"/>
      <c r="AB202" s="1"/>
      <c r="AC202" s="1"/>
      <c r="AD202" s="1"/>
      <c r="AE202" s="221"/>
    </row>
    <row r="203" spans="1:31" x14ac:dyDescent="0.25">
      <c r="A203" s="108">
        <v>192</v>
      </c>
      <c r="B203" s="1"/>
      <c r="C203" s="1"/>
      <c r="D203" s="1"/>
      <c r="E203" s="1"/>
      <c r="F203" s="39"/>
      <c r="G203" s="1"/>
      <c r="H203" s="1"/>
      <c r="I203" s="1"/>
      <c r="J203" s="1"/>
      <c r="K203" s="43"/>
      <c r="L203" s="1"/>
      <c r="M203" s="1"/>
      <c r="N203" s="1"/>
      <c r="O203" s="1"/>
      <c r="P203" s="46"/>
      <c r="Q203" s="1"/>
      <c r="R203" s="1"/>
      <c r="S203" s="1"/>
      <c r="T203" s="1"/>
      <c r="U203" s="49"/>
      <c r="V203" s="1"/>
      <c r="W203" s="1"/>
      <c r="X203" s="1"/>
      <c r="Y203" s="1"/>
      <c r="Z203" s="52"/>
      <c r="AA203" s="1"/>
      <c r="AB203" s="1"/>
      <c r="AC203" s="1"/>
      <c r="AD203" s="1"/>
      <c r="AE203" s="221"/>
    </row>
    <row r="204" spans="1:31" x14ac:dyDescent="0.25">
      <c r="A204" s="108">
        <v>193</v>
      </c>
      <c r="B204" s="1"/>
      <c r="C204" s="1"/>
      <c r="D204" s="1"/>
      <c r="E204" s="1"/>
      <c r="F204" s="39"/>
      <c r="G204" s="1"/>
      <c r="H204" s="1"/>
      <c r="I204" s="1"/>
      <c r="J204" s="1"/>
      <c r="K204" s="43"/>
      <c r="L204" s="1"/>
      <c r="M204" s="1"/>
      <c r="N204" s="1"/>
      <c r="O204" s="1"/>
      <c r="P204" s="46"/>
      <c r="Q204" s="1"/>
      <c r="R204" s="1"/>
      <c r="S204" s="1"/>
      <c r="T204" s="1"/>
      <c r="U204" s="49"/>
      <c r="V204" s="1"/>
      <c r="W204" s="1"/>
      <c r="X204" s="1"/>
      <c r="Y204" s="1"/>
      <c r="Z204" s="52"/>
      <c r="AA204" s="1"/>
      <c r="AB204" s="1"/>
      <c r="AC204" s="1"/>
      <c r="AD204" s="1"/>
      <c r="AE204" s="221"/>
    </row>
    <row r="205" spans="1:31" x14ac:dyDescent="0.25">
      <c r="A205" s="108">
        <v>194</v>
      </c>
      <c r="B205" s="1"/>
      <c r="C205" s="1"/>
      <c r="D205" s="1"/>
      <c r="E205" s="1"/>
      <c r="F205" s="39"/>
      <c r="G205" s="1"/>
      <c r="H205" s="1"/>
      <c r="I205" s="1"/>
      <c r="J205" s="1"/>
      <c r="K205" s="43"/>
      <c r="L205" s="1"/>
      <c r="M205" s="1"/>
      <c r="N205" s="1"/>
      <c r="O205" s="1"/>
      <c r="P205" s="46"/>
      <c r="Q205" s="1"/>
      <c r="R205" s="1"/>
      <c r="S205" s="1"/>
      <c r="T205" s="1"/>
      <c r="U205" s="49"/>
      <c r="V205" s="1"/>
      <c r="W205" s="1"/>
      <c r="X205" s="1"/>
      <c r="Y205" s="1"/>
      <c r="Z205" s="52"/>
      <c r="AA205" s="1"/>
      <c r="AB205" s="1"/>
      <c r="AC205" s="1"/>
      <c r="AD205" s="1"/>
      <c r="AE205" s="221"/>
    </row>
    <row r="206" spans="1:31" x14ac:dyDescent="0.25">
      <c r="A206" s="108">
        <v>195</v>
      </c>
      <c r="B206" s="1"/>
      <c r="C206" s="1"/>
      <c r="D206" s="1"/>
      <c r="E206" s="1"/>
      <c r="F206" s="39"/>
      <c r="G206" s="1"/>
      <c r="H206" s="1"/>
      <c r="I206" s="1"/>
      <c r="J206" s="1"/>
      <c r="K206" s="43"/>
      <c r="L206" s="1"/>
      <c r="M206" s="1"/>
      <c r="N206" s="1"/>
      <c r="O206" s="1"/>
      <c r="P206" s="46"/>
      <c r="Q206" s="1"/>
      <c r="R206" s="1"/>
      <c r="S206" s="1"/>
      <c r="T206" s="1"/>
      <c r="U206" s="49"/>
      <c r="V206" s="1"/>
      <c r="W206" s="1"/>
      <c r="X206" s="1"/>
      <c r="Y206" s="1"/>
      <c r="Z206" s="52"/>
      <c r="AA206" s="1"/>
      <c r="AB206" s="1"/>
      <c r="AC206" s="1"/>
      <c r="AD206" s="1"/>
      <c r="AE206" s="221"/>
    </row>
    <row r="207" spans="1:31" x14ac:dyDescent="0.25">
      <c r="A207" s="108">
        <v>196</v>
      </c>
      <c r="B207" s="1"/>
      <c r="C207" s="1"/>
      <c r="D207" s="1"/>
      <c r="E207" s="1"/>
      <c r="F207" s="39"/>
      <c r="G207" s="1"/>
      <c r="H207" s="1"/>
      <c r="I207" s="1"/>
      <c r="J207" s="1"/>
      <c r="K207" s="43"/>
      <c r="L207" s="1"/>
      <c r="M207" s="1"/>
      <c r="N207" s="1"/>
      <c r="O207" s="1"/>
      <c r="P207" s="46"/>
      <c r="Q207" s="1"/>
      <c r="R207" s="1"/>
      <c r="S207" s="1"/>
      <c r="T207" s="1"/>
      <c r="U207" s="49"/>
      <c r="V207" s="1"/>
      <c r="W207" s="1"/>
      <c r="X207" s="1"/>
      <c r="Y207" s="1"/>
      <c r="Z207" s="52"/>
      <c r="AA207" s="1"/>
      <c r="AB207" s="1"/>
      <c r="AC207" s="1"/>
      <c r="AD207" s="1"/>
      <c r="AE207" s="221"/>
    </row>
    <row r="208" spans="1:31" x14ac:dyDescent="0.25">
      <c r="A208" s="108">
        <v>197</v>
      </c>
      <c r="B208" s="1"/>
      <c r="C208" s="1"/>
      <c r="D208" s="1"/>
      <c r="E208" s="1"/>
      <c r="F208" s="39"/>
      <c r="G208" s="1"/>
      <c r="H208" s="1"/>
      <c r="I208" s="1"/>
      <c r="J208" s="1"/>
      <c r="K208" s="43"/>
      <c r="L208" s="1"/>
      <c r="M208" s="1"/>
      <c r="N208" s="1"/>
      <c r="O208" s="1"/>
      <c r="P208" s="46"/>
      <c r="Q208" s="1"/>
      <c r="R208" s="1"/>
      <c r="S208" s="1"/>
      <c r="T208" s="1"/>
      <c r="U208" s="49"/>
      <c r="V208" s="1"/>
      <c r="W208" s="1"/>
      <c r="X208" s="1"/>
      <c r="Y208" s="1"/>
      <c r="Z208" s="52"/>
      <c r="AA208" s="1"/>
      <c r="AB208" s="1"/>
      <c r="AC208" s="1"/>
      <c r="AD208" s="1"/>
      <c r="AE208" s="221"/>
    </row>
    <row r="209" spans="1:31" x14ac:dyDescent="0.25">
      <c r="A209" s="108">
        <v>198</v>
      </c>
      <c r="B209" s="1"/>
      <c r="C209" s="1"/>
      <c r="D209" s="1"/>
      <c r="E209" s="1"/>
      <c r="F209" s="39"/>
      <c r="G209" s="1"/>
      <c r="H209" s="1"/>
      <c r="I209" s="1"/>
      <c r="J209" s="1"/>
      <c r="K209" s="43"/>
      <c r="L209" s="1"/>
      <c r="M209" s="1"/>
      <c r="N209" s="1"/>
      <c r="O209" s="1"/>
      <c r="P209" s="46"/>
      <c r="Q209" s="1"/>
      <c r="R209" s="1"/>
      <c r="S209" s="1"/>
      <c r="T209" s="1"/>
      <c r="U209" s="49"/>
      <c r="V209" s="1"/>
      <c r="W209" s="1"/>
      <c r="X209" s="1"/>
      <c r="Y209" s="1"/>
      <c r="Z209" s="52"/>
      <c r="AA209" s="1"/>
      <c r="AB209" s="1"/>
      <c r="AC209" s="1"/>
      <c r="AD209" s="1"/>
      <c r="AE209" s="221"/>
    </row>
    <row r="210" spans="1:31" x14ac:dyDescent="0.25">
      <c r="A210" s="108">
        <v>199</v>
      </c>
      <c r="B210" s="1"/>
      <c r="C210" s="1"/>
      <c r="D210" s="1"/>
      <c r="E210" s="1"/>
      <c r="F210" s="39"/>
      <c r="G210" s="1"/>
      <c r="H210" s="1"/>
      <c r="I210" s="1"/>
      <c r="J210" s="1"/>
      <c r="K210" s="43"/>
      <c r="L210" s="1"/>
      <c r="M210" s="1"/>
      <c r="N210" s="1"/>
      <c r="O210" s="1"/>
      <c r="P210" s="46"/>
      <c r="Q210" s="1"/>
      <c r="R210" s="1"/>
      <c r="S210" s="1"/>
      <c r="T210" s="1"/>
      <c r="U210" s="49"/>
      <c r="V210" s="1"/>
      <c r="W210" s="1"/>
      <c r="X210" s="1"/>
      <c r="Y210" s="1"/>
      <c r="Z210" s="52"/>
      <c r="AA210" s="1"/>
      <c r="AB210" s="1"/>
      <c r="AC210" s="1"/>
      <c r="AD210" s="1"/>
      <c r="AE210" s="221"/>
    </row>
    <row r="211" spans="1:31" x14ac:dyDescent="0.25">
      <c r="A211" s="108">
        <v>200</v>
      </c>
      <c r="B211" s="1"/>
      <c r="C211" s="1"/>
      <c r="D211" s="1"/>
      <c r="E211" s="1"/>
      <c r="F211" s="39"/>
      <c r="G211" s="1"/>
      <c r="H211" s="1"/>
      <c r="I211" s="1"/>
      <c r="J211" s="1"/>
      <c r="K211" s="43"/>
      <c r="L211" s="1"/>
      <c r="M211" s="1"/>
      <c r="N211" s="1"/>
      <c r="O211" s="1"/>
      <c r="P211" s="46"/>
      <c r="Q211" s="1"/>
      <c r="R211" s="1"/>
      <c r="S211" s="1"/>
      <c r="T211" s="1"/>
      <c r="U211" s="49"/>
      <c r="V211" s="1"/>
      <c r="W211" s="1"/>
      <c r="X211" s="1"/>
      <c r="Y211" s="1"/>
      <c r="Z211" s="52"/>
      <c r="AA211" s="1"/>
      <c r="AB211" s="1"/>
      <c r="AC211" s="1"/>
      <c r="AD211" s="1"/>
      <c r="AE211" s="221"/>
    </row>
    <row r="212" spans="1:31" x14ac:dyDescent="0.25">
      <c r="A212" s="108">
        <v>201</v>
      </c>
      <c r="B212" s="1"/>
      <c r="C212" s="1"/>
      <c r="D212" s="1"/>
      <c r="E212" s="1"/>
      <c r="F212" s="39"/>
      <c r="G212" s="1"/>
      <c r="H212" s="1"/>
      <c r="I212" s="1"/>
      <c r="J212" s="1"/>
      <c r="K212" s="43"/>
      <c r="L212" s="1"/>
      <c r="M212" s="1"/>
      <c r="N212" s="1"/>
      <c r="O212" s="1"/>
      <c r="P212" s="46"/>
      <c r="Q212" s="1"/>
      <c r="R212" s="1"/>
      <c r="S212" s="1"/>
      <c r="T212" s="1"/>
      <c r="U212" s="49"/>
      <c r="V212" s="1"/>
      <c r="W212" s="1"/>
      <c r="X212" s="1"/>
      <c r="Y212" s="1"/>
      <c r="Z212" s="52"/>
      <c r="AA212" s="1"/>
      <c r="AB212" s="1"/>
      <c r="AC212" s="1"/>
      <c r="AD212" s="1"/>
      <c r="AE212" s="221"/>
    </row>
    <row r="213" spans="1:31" x14ac:dyDescent="0.25">
      <c r="A213" s="108">
        <v>202</v>
      </c>
      <c r="B213" s="1"/>
      <c r="C213" s="1"/>
      <c r="D213" s="1"/>
      <c r="E213" s="1"/>
      <c r="F213" s="39"/>
      <c r="G213" s="1"/>
      <c r="H213" s="1"/>
      <c r="I213" s="1"/>
      <c r="J213" s="1"/>
      <c r="K213" s="43"/>
      <c r="L213" s="1"/>
      <c r="M213" s="1"/>
      <c r="N213" s="1"/>
      <c r="O213" s="1"/>
      <c r="P213" s="46"/>
      <c r="Q213" s="1"/>
      <c r="R213" s="1"/>
      <c r="S213" s="1"/>
      <c r="T213" s="1"/>
      <c r="U213" s="49"/>
      <c r="V213" s="1"/>
      <c r="W213" s="1"/>
      <c r="X213" s="1"/>
      <c r="Y213" s="1"/>
      <c r="Z213" s="52"/>
      <c r="AA213" s="1"/>
      <c r="AB213" s="1"/>
      <c r="AC213" s="1"/>
      <c r="AD213" s="1"/>
      <c r="AE213" s="221"/>
    </row>
    <row r="214" spans="1:31" x14ac:dyDescent="0.25">
      <c r="A214" s="108">
        <v>203</v>
      </c>
      <c r="B214" s="1"/>
      <c r="C214" s="1"/>
      <c r="D214" s="1"/>
      <c r="E214" s="1"/>
      <c r="F214" s="39"/>
      <c r="G214" s="1"/>
      <c r="H214" s="1"/>
      <c r="I214" s="1"/>
      <c r="J214" s="1"/>
      <c r="K214" s="43"/>
      <c r="L214" s="1"/>
      <c r="M214" s="1"/>
      <c r="N214" s="1"/>
      <c r="O214" s="1"/>
      <c r="P214" s="46"/>
      <c r="Q214" s="1"/>
      <c r="R214" s="1"/>
      <c r="S214" s="1"/>
      <c r="T214" s="1"/>
      <c r="U214" s="49"/>
      <c r="V214" s="1"/>
      <c r="W214" s="1"/>
      <c r="X214" s="1"/>
      <c r="Y214" s="1"/>
      <c r="Z214" s="52"/>
      <c r="AA214" s="1"/>
      <c r="AB214" s="1"/>
      <c r="AC214" s="1"/>
      <c r="AD214" s="1"/>
      <c r="AE214" s="221"/>
    </row>
    <row r="215" spans="1:31" x14ac:dyDescent="0.25">
      <c r="A215" s="108">
        <v>204</v>
      </c>
      <c r="B215" s="1"/>
      <c r="C215" s="1"/>
      <c r="D215" s="1"/>
      <c r="E215" s="1"/>
      <c r="F215" s="39"/>
      <c r="G215" s="1"/>
      <c r="H215" s="1"/>
      <c r="I215" s="1"/>
      <c r="J215" s="1"/>
      <c r="K215" s="43"/>
      <c r="L215" s="1"/>
      <c r="M215" s="1"/>
      <c r="N215" s="1"/>
      <c r="O215" s="1"/>
      <c r="P215" s="46"/>
      <c r="Q215" s="1"/>
      <c r="R215" s="1"/>
      <c r="S215" s="1"/>
      <c r="T215" s="1"/>
      <c r="U215" s="49"/>
      <c r="V215" s="1"/>
      <c r="W215" s="1"/>
      <c r="X215" s="1"/>
      <c r="Y215" s="1"/>
      <c r="Z215" s="52"/>
      <c r="AA215" s="1"/>
      <c r="AB215" s="1"/>
      <c r="AC215" s="1"/>
      <c r="AD215" s="1"/>
      <c r="AE215" s="221"/>
    </row>
    <row r="216" spans="1:31" x14ac:dyDescent="0.25">
      <c r="A216" s="108">
        <v>205</v>
      </c>
      <c r="B216" s="1"/>
      <c r="C216" s="1"/>
      <c r="D216" s="1"/>
      <c r="E216" s="1"/>
      <c r="F216" s="39"/>
      <c r="G216" s="1"/>
      <c r="H216" s="1"/>
      <c r="I216" s="1"/>
      <c r="J216" s="1"/>
      <c r="K216" s="43"/>
      <c r="L216" s="1"/>
      <c r="M216" s="1"/>
      <c r="N216" s="1"/>
      <c r="O216" s="1"/>
      <c r="P216" s="46"/>
      <c r="Q216" s="1"/>
      <c r="R216" s="1"/>
      <c r="S216" s="1"/>
      <c r="T216" s="1"/>
      <c r="U216" s="49"/>
      <c r="V216" s="1"/>
      <c r="W216" s="1"/>
      <c r="X216" s="1"/>
      <c r="Y216" s="1"/>
      <c r="Z216" s="52"/>
      <c r="AA216" s="1"/>
      <c r="AB216" s="1"/>
      <c r="AC216" s="1"/>
      <c r="AD216" s="1"/>
      <c r="AE216" s="221"/>
    </row>
    <row r="217" spans="1:31" x14ac:dyDescent="0.25">
      <c r="A217" s="108">
        <v>206</v>
      </c>
      <c r="B217" s="1"/>
      <c r="C217" s="1"/>
      <c r="D217" s="1"/>
      <c r="E217" s="1"/>
      <c r="F217" s="39"/>
      <c r="G217" s="1"/>
      <c r="H217" s="1"/>
      <c r="I217" s="1"/>
      <c r="J217" s="1"/>
      <c r="K217" s="43"/>
      <c r="L217" s="1"/>
      <c r="M217" s="1"/>
      <c r="N217" s="1"/>
      <c r="O217" s="1"/>
      <c r="P217" s="46"/>
      <c r="Q217" s="1"/>
      <c r="R217" s="1"/>
      <c r="S217" s="1"/>
      <c r="T217" s="1"/>
      <c r="U217" s="49"/>
      <c r="V217" s="1"/>
      <c r="W217" s="1"/>
      <c r="X217" s="1"/>
      <c r="Y217" s="1"/>
      <c r="Z217" s="52"/>
      <c r="AA217" s="1"/>
      <c r="AB217" s="1"/>
      <c r="AC217" s="1"/>
      <c r="AD217" s="1"/>
      <c r="AE217" s="221"/>
    </row>
    <row r="218" spans="1:31" x14ac:dyDescent="0.25">
      <c r="A218" s="108">
        <v>207</v>
      </c>
      <c r="B218" s="1"/>
      <c r="C218" s="1"/>
      <c r="D218" s="1"/>
      <c r="E218" s="1"/>
      <c r="F218" s="39"/>
      <c r="G218" s="1"/>
      <c r="H218" s="1"/>
      <c r="I218" s="1"/>
      <c r="J218" s="1"/>
      <c r="K218" s="43"/>
      <c r="L218" s="1"/>
      <c r="M218" s="1"/>
      <c r="N218" s="1"/>
      <c r="O218" s="1"/>
      <c r="P218" s="46"/>
      <c r="Q218" s="1"/>
      <c r="R218" s="1"/>
      <c r="S218" s="1"/>
      <c r="T218" s="1"/>
      <c r="U218" s="49"/>
      <c r="V218" s="1"/>
      <c r="W218" s="1"/>
      <c r="X218" s="1"/>
      <c r="Y218" s="1"/>
      <c r="Z218" s="52"/>
      <c r="AA218" s="1"/>
      <c r="AB218" s="1"/>
      <c r="AC218" s="1"/>
      <c r="AD218" s="1"/>
      <c r="AE218" s="221"/>
    </row>
    <row r="219" spans="1:31" x14ac:dyDescent="0.25">
      <c r="A219" s="108">
        <v>208</v>
      </c>
      <c r="B219" s="1"/>
      <c r="C219" s="1"/>
      <c r="D219" s="1"/>
      <c r="E219" s="1"/>
      <c r="F219" s="39"/>
      <c r="G219" s="1"/>
      <c r="H219" s="1"/>
      <c r="I219" s="1"/>
      <c r="J219" s="1"/>
      <c r="K219" s="43"/>
      <c r="L219" s="1"/>
      <c r="M219" s="1"/>
      <c r="N219" s="1"/>
      <c r="O219" s="1"/>
      <c r="P219" s="46"/>
      <c r="Q219" s="1"/>
      <c r="R219" s="1"/>
      <c r="S219" s="1"/>
      <c r="T219" s="1"/>
      <c r="U219" s="49"/>
      <c r="V219" s="1"/>
      <c r="W219" s="1"/>
      <c r="X219" s="1"/>
      <c r="Y219" s="1"/>
      <c r="Z219" s="52"/>
      <c r="AA219" s="1"/>
      <c r="AB219" s="1"/>
      <c r="AC219" s="1"/>
      <c r="AD219" s="1"/>
      <c r="AE219" s="221"/>
    </row>
    <row r="220" spans="1:31" x14ac:dyDescent="0.25">
      <c r="A220" s="108">
        <v>209</v>
      </c>
      <c r="B220" s="1"/>
      <c r="C220" s="1"/>
      <c r="D220" s="1"/>
      <c r="E220" s="1"/>
      <c r="F220" s="39"/>
      <c r="G220" s="1"/>
      <c r="H220" s="1"/>
      <c r="I220" s="1"/>
      <c r="J220" s="1"/>
      <c r="K220" s="43"/>
      <c r="L220" s="1"/>
      <c r="M220" s="1"/>
      <c r="N220" s="1"/>
      <c r="O220" s="1"/>
      <c r="P220" s="46"/>
      <c r="Q220" s="1"/>
      <c r="R220" s="1"/>
      <c r="S220" s="1"/>
      <c r="T220" s="1"/>
      <c r="U220" s="49"/>
      <c r="V220" s="1"/>
      <c r="W220" s="1"/>
      <c r="X220" s="1"/>
      <c r="Y220" s="1"/>
      <c r="Z220" s="52"/>
      <c r="AA220" s="1"/>
      <c r="AB220" s="1"/>
      <c r="AC220" s="1"/>
      <c r="AD220" s="1"/>
      <c r="AE220" s="221"/>
    </row>
    <row r="221" spans="1:31" x14ac:dyDescent="0.25">
      <c r="A221" s="108">
        <v>210</v>
      </c>
      <c r="B221" s="1"/>
      <c r="C221" s="1"/>
      <c r="D221" s="1"/>
      <c r="E221" s="1"/>
      <c r="F221" s="39"/>
      <c r="G221" s="1"/>
      <c r="H221" s="1"/>
      <c r="I221" s="1"/>
      <c r="J221" s="1"/>
      <c r="K221" s="43"/>
      <c r="L221" s="1"/>
      <c r="M221" s="1"/>
      <c r="N221" s="1"/>
      <c r="O221" s="1"/>
      <c r="P221" s="46"/>
      <c r="Q221" s="1"/>
      <c r="R221" s="1"/>
      <c r="S221" s="1"/>
      <c r="T221" s="1"/>
      <c r="U221" s="49"/>
      <c r="V221" s="1"/>
      <c r="W221" s="1"/>
      <c r="X221" s="1"/>
      <c r="Y221" s="1"/>
      <c r="Z221" s="52"/>
      <c r="AA221" s="1"/>
      <c r="AB221" s="1"/>
      <c r="AC221" s="1"/>
      <c r="AD221" s="1"/>
      <c r="AE221" s="221"/>
    </row>
    <row r="222" spans="1:31" x14ac:dyDescent="0.25">
      <c r="A222" s="108">
        <v>211</v>
      </c>
      <c r="B222" s="1"/>
      <c r="C222" s="1"/>
      <c r="D222" s="1"/>
      <c r="E222" s="1"/>
      <c r="F222" s="39"/>
      <c r="G222" s="1"/>
      <c r="H222" s="1"/>
      <c r="I222" s="1"/>
      <c r="J222" s="1"/>
      <c r="K222" s="43"/>
      <c r="L222" s="1"/>
      <c r="M222" s="1"/>
      <c r="N222" s="1"/>
      <c r="O222" s="1"/>
      <c r="P222" s="46"/>
      <c r="Q222" s="1"/>
      <c r="R222" s="1"/>
      <c r="S222" s="1"/>
      <c r="T222" s="1"/>
      <c r="U222" s="49"/>
      <c r="V222" s="1"/>
      <c r="W222" s="1"/>
      <c r="X222" s="1"/>
      <c r="Y222" s="1"/>
      <c r="Z222" s="52"/>
      <c r="AA222" s="1"/>
      <c r="AB222" s="1"/>
      <c r="AC222" s="1"/>
      <c r="AD222" s="1"/>
      <c r="AE222" s="221"/>
    </row>
    <row r="223" spans="1:31" x14ac:dyDescent="0.25">
      <c r="A223" s="108">
        <v>212</v>
      </c>
      <c r="B223" s="1"/>
      <c r="C223" s="1"/>
      <c r="D223" s="1"/>
      <c r="E223" s="1"/>
      <c r="F223" s="39"/>
      <c r="G223" s="1"/>
      <c r="H223" s="1"/>
      <c r="I223" s="1"/>
      <c r="J223" s="1"/>
      <c r="K223" s="43"/>
      <c r="L223" s="1"/>
      <c r="M223" s="1"/>
      <c r="N223" s="1"/>
      <c r="O223" s="1"/>
      <c r="P223" s="46"/>
      <c r="Q223" s="1"/>
      <c r="R223" s="1"/>
      <c r="S223" s="1"/>
      <c r="T223" s="1"/>
      <c r="U223" s="49"/>
      <c r="V223" s="1"/>
      <c r="W223" s="1"/>
      <c r="X223" s="1"/>
      <c r="Y223" s="1"/>
      <c r="Z223" s="52"/>
      <c r="AA223" s="1"/>
      <c r="AB223" s="1"/>
      <c r="AC223" s="1"/>
      <c r="AD223" s="1"/>
      <c r="AE223" s="221"/>
    </row>
    <row r="224" spans="1:31" x14ac:dyDescent="0.25">
      <c r="A224" s="108">
        <v>213</v>
      </c>
      <c r="B224" s="1"/>
      <c r="C224" s="1"/>
      <c r="D224" s="1"/>
      <c r="E224" s="1"/>
      <c r="F224" s="39"/>
      <c r="G224" s="1"/>
      <c r="H224" s="1"/>
      <c r="I224" s="1"/>
      <c r="J224" s="1"/>
      <c r="K224" s="43"/>
      <c r="L224" s="1"/>
      <c r="M224" s="1"/>
      <c r="N224" s="1"/>
      <c r="O224" s="1"/>
      <c r="P224" s="46"/>
      <c r="Q224" s="1"/>
      <c r="R224" s="1"/>
      <c r="S224" s="1"/>
      <c r="T224" s="1"/>
      <c r="U224" s="49"/>
      <c r="V224" s="1"/>
      <c r="W224" s="1"/>
      <c r="X224" s="1"/>
      <c r="Y224" s="1"/>
      <c r="Z224" s="52"/>
      <c r="AA224" s="1"/>
      <c r="AB224" s="1"/>
      <c r="AC224" s="1"/>
      <c r="AD224" s="1"/>
      <c r="AE224" s="221"/>
    </row>
    <row r="225" spans="1:31" x14ac:dyDescent="0.25">
      <c r="A225" s="108">
        <v>214</v>
      </c>
      <c r="B225" s="1"/>
      <c r="C225" s="1"/>
      <c r="D225" s="1"/>
      <c r="E225" s="1"/>
      <c r="F225" s="39"/>
      <c r="G225" s="1"/>
      <c r="H225" s="1"/>
      <c r="I225" s="1"/>
      <c r="J225" s="1"/>
      <c r="K225" s="43"/>
      <c r="L225" s="1"/>
      <c r="M225" s="1"/>
      <c r="N225" s="1"/>
      <c r="O225" s="1"/>
      <c r="P225" s="46"/>
      <c r="Q225" s="1"/>
      <c r="R225" s="1"/>
      <c r="S225" s="1"/>
      <c r="T225" s="1"/>
      <c r="U225" s="49"/>
      <c r="V225" s="1"/>
      <c r="W225" s="1"/>
      <c r="X225" s="1"/>
      <c r="Y225" s="1"/>
      <c r="Z225" s="52"/>
      <c r="AA225" s="1"/>
      <c r="AB225" s="1"/>
      <c r="AC225" s="1"/>
      <c r="AD225" s="1"/>
      <c r="AE225" s="221"/>
    </row>
    <row r="226" spans="1:31" x14ac:dyDescent="0.25">
      <c r="A226" s="108">
        <v>215</v>
      </c>
      <c r="B226" s="1"/>
      <c r="C226" s="1"/>
      <c r="D226" s="1"/>
      <c r="E226" s="1"/>
      <c r="F226" s="39"/>
      <c r="G226" s="1"/>
      <c r="H226" s="1"/>
      <c r="I226" s="1"/>
      <c r="J226" s="1"/>
      <c r="K226" s="43"/>
      <c r="L226" s="1"/>
      <c r="M226" s="1"/>
      <c r="N226" s="1"/>
      <c r="O226" s="1"/>
      <c r="P226" s="46"/>
      <c r="Q226" s="1"/>
      <c r="R226" s="1"/>
      <c r="S226" s="1"/>
      <c r="T226" s="1"/>
      <c r="U226" s="49"/>
      <c r="V226" s="1"/>
      <c r="W226" s="1"/>
      <c r="X226" s="1"/>
      <c r="Y226" s="1"/>
      <c r="Z226" s="52"/>
      <c r="AA226" s="1"/>
      <c r="AB226" s="1"/>
      <c r="AC226" s="1"/>
      <c r="AD226" s="1"/>
      <c r="AE226" s="221"/>
    </row>
    <row r="227" spans="1:31" x14ac:dyDescent="0.25">
      <c r="A227" s="108">
        <v>216</v>
      </c>
      <c r="B227" s="1"/>
      <c r="C227" s="1"/>
      <c r="D227" s="1"/>
      <c r="E227" s="1"/>
      <c r="F227" s="39"/>
      <c r="G227" s="1"/>
      <c r="H227" s="1"/>
      <c r="I227" s="1"/>
      <c r="J227" s="1"/>
      <c r="K227" s="43"/>
      <c r="L227" s="1"/>
      <c r="M227" s="1"/>
      <c r="N227" s="1"/>
      <c r="O227" s="1"/>
      <c r="P227" s="46"/>
      <c r="Q227" s="1"/>
      <c r="R227" s="1"/>
      <c r="S227" s="1"/>
      <c r="T227" s="1"/>
      <c r="U227" s="49"/>
      <c r="V227" s="1"/>
      <c r="W227" s="1"/>
      <c r="X227" s="1"/>
      <c r="Y227" s="1"/>
      <c r="Z227" s="52"/>
      <c r="AA227" s="1"/>
      <c r="AB227" s="1"/>
      <c r="AC227" s="1"/>
      <c r="AD227" s="1"/>
      <c r="AE227" s="221"/>
    </row>
    <row r="228" spans="1:31" x14ac:dyDescent="0.25">
      <c r="A228" s="108">
        <v>217</v>
      </c>
      <c r="B228" s="1"/>
      <c r="C228" s="1"/>
      <c r="D228" s="1"/>
      <c r="E228" s="1"/>
      <c r="F228" s="39"/>
      <c r="G228" s="1"/>
      <c r="H228" s="1"/>
      <c r="I228" s="1"/>
      <c r="J228" s="1"/>
      <c r="K228" s="43"/>
      <c r="L228" s="1"/>
      <c r="M228" s="1"/>
      <c r="N228" s="1"/>
      <c r="O228" s="1"/>
      <c r="P228" s="46"/>
      <c r="Q228" s="1"/>
      <c r="R228" s="1"/>
      <c r="S228" s="1"/>
      <c r="T228" s="1"/>
      <c r="U228" s="49"/>
      <c r="V228" s="1"/>
      <c r="W228" s="1"/>
      <c r="X228" s="1"/>
      <c r="Y228" s="1"/>
      <c r="Z228" s="52"/>
      <c r="AA228" s="1"/>
      <c r="AB228" s="1"/>
      <c r="AC228" s="1"/>
      <c r="AD228" s="1"/>
      <c r="AE228" s="221"/>
    </row>
    <row r="229" spans="1:31" x14ac:dyDescent="0.25">
      <c r="A229" s="108">
        <v>218</v>
      </c>
      <c r="B229" s="1"/>
      <c r="C229" s="1"/>
      <c r="D229" s="1"/>
      <c r="E229" s="1"/>
      <c r="F229" s="39"/>
      <c r="G229" s="1"/>
      <c r="H229" s="1"/>
      <c r="I229" s="1"/>
      <c r="J229" s="1"/>
      <c r="K229" s="43"/>
      <c r="L229" s="1"/>
      <c r="M229" s="1"/>
      <c r="N229" s="1"/>
      <c r="O229" s="1"/>
      <c r="P229" s="46"/>
      <c r="Q229" s="1"/>
      <c r="R229" s="1"/>
      <c r="S229" s="1"/>
      <c r="T229" s="1"/>
      <c r="U229" s="49"/>
      <c r="V229" s="1"/>
      <c r="W229" s="1"/>
      <c r="X229" s="1"/>
      <c r="Y229" s="1"/>
      <c r="Z229" s="52"/>
      <c r="AA229" s="1"/>
      <c r="AB229" s="1"/>
      <c r="AC229" s="1"/>
      <c r="AD229" s="1"/>
      <c r="AE229" s="221"/>
    </row>
    <row r="230" spans="1:31" x14ac:dyDescent="0.25">
      <c r="A230" s="108">
        <v>219</v>
      </c>
      <c r="B230" s="1"/>
      <c r="C230" s="1"/>
      <c r="D230" s="1"/>
      <c r="E230" s="1"/>
      <c r="F230" s="39"/>
      <c r="G230" s="1"/>
      <c r="H230" s="1"/>
      <c r="I230" s="1"/>
      <c r="J230" s="1"/>
      <c r="K230" s="43"/>
      <c r="L230" s="1"/>
      <c r="M230" s="1"/>
      <c r="N230" s="1"/>
      <c r="O230" s="1"/>
      <c r="P230" s="46"/>
      <c r="Q230" s="1"/>
      <c r="R230" s="1"/>
      <c r="S230" s="1"/>
      <c r="T230" s="1"/>
      <c r="U230" s="49"/>
      <c r="V230" s="1"/>
      <c r="W230" s="1"/>
      <c r="X230" s="1"/>
      <c r="Y230" s="1"/>
      <c r="Z230" s="52"/>
      <c r="AA230" s="1"/>
      <c r="AB230" s="1"/>
      <c r="AC230" s="1"/>
      <c r="AD230" s="1"/>
      <c r="AE230" s="221"/>
    </row>
    <row r="231" spans="1:31" x14ac:dyDescent="0.25">
      <c r="A231" s="108">
        <v>220</v>
      </c>
      <c r="B231" s="1"/>
      <c r="C231" s="1"/>
      <c r="D231" s="1"/>
      <c r="E231" s="1"/>
      <c r="F231" s="39"/>
      <c r="G231" s="1"/>
      <c r="H231" s="1"/>
      <c r="I231" s="1"/>
      <c r="J231" s="1"/>
      <c r="K231" s="43"/>
      <c r="L231" s="1"/>
      <c r="M231" s="1"/>
      <c r="N231" s="1"/>
      <c r="O231" s="1"/>
      <c r="P231" s="46"/>
      <c r="Q231" s="1"/>
      <c r="R231" s="1"/>
      <c r="S231" s="1"/>
      <c r="T231" s="1"/>
      <c r="U231" s="49"/>
      <c r="V231" s="1"/>
      <c r="W231" s="1"/>
      <c r="X231" s="1"/>
      <c r="Y231" s="1"/>
      <c r="Z231" s="52"/>
      <c r="AA231" s="1"/>
      <c r="AB231" s="1"/>
      <c r="AC231" s="1"/>
      <c r="AD231" s="1"/>
      <c r="AE231" s="221"/>
    </row>
    <row r="232" spans="1:31" x14ac:dyDescent="0.25">
      <c r="A232" s="108">
        <v>221</v>
      </c>
      <c r="B232" s="1"/>
      <c r="C232" s="1"/>
      <c r="D232" s="1"/>
      <c r="E232" s="1"/>
      <c r="F232" s="39"/>
      <c r="G232" s="1"/>
      <c r="H232" s="1"/>
      <c r="I232" s="1"/>
      <c r="J232" s="1"/>
      <c r="K232" s="43"/>
      <c r="L232" s="1"/>
      <c r="M232" s="1"/>
      <c r="N232" s="1"/>
      <c r="O232" s="1"/>
      <c r="P232" s="46"/>
      <c r="Q232" s="1"/>
      <c r="R232" s="1"/>
      <c r="S232" s="1"/>
      <c r="T232" s="1"/>
      <c r="U232" s="49"/>
      <c r="V232" s="1"/>
      <c r="W232" s="1"/>
      <c r="X232" s="1"/>
      <c r="Y232" s="1"/>
      <c r="Z232" s="52"/>
      <c r="AA232" s="1"/>
      <c r="AB232" s="1"/>
      <c r="AC232" s="1"/>
      <c r="AD232" s="1"/>
      <c r="AE232" s="221"/>
    </row>
    <row r="233" spans="1:31" x14ac:dyDescent="0.25">
      <c r="A233" s="108">
        <v>222</v>
      </c>
      <c r="B233" s="1"/>
      <c r="C233" s="1"/>
      <c r="D233" s="1"/>
      <c r="E233" s="1"/>
      <c r="F233" s="39"/>
      <c r="G233" s="1"/>
      <c r="H233" s="1"/>
      <c r="I233" s="1"/>
      <c r="J233" s="1"/>
      <c r="K233" s="43"/>
      <c r="L233" s="1"/>
      <c r="M233" s="1"/>
      <c r="N233" s="1"/>
      <c r="O233" s="1"/>
      <c r="P233" s="46"/>
      <c r="Q233" s="1"/>
      <c r="R233" s="1"/>
      <c r="S233" s="1"/>
      <c r="T233" s="1"/>
      <c r="U233" s="49"/>
      <c r="V233" s="1"/>
      <c r="W233" s="1"/>
      <c r="X233" s="1"/>
      <c r="Y233" s="1"/>
      <c r="Z233" s="52"/>
      <c r="AA233" s="1"/>
      <c r="AB233" s="1"/>
      <c r="AC233" s="1"/>
      <c r="AD233" s="1"/>
      <c r="AE233" s="221"/>
    </row>
    <row r="234" spans="1:31" x14ac:dyDescent="0.25">
      <c r="A234" s="108">
        <v>223</v>
      </c>
      <c r="B234" s="1"/>
      <c r="C234" s="1"/>
      <c r="D234" s="1"/>
      <c r="E234" s="1"/>
      <c r="F234" s="39"/>
      <c r="G234" s="1"/>
      <c r="H234" s="1"/>
      <c r="I234" s="1"/>
      <c r="J234" s="1"/>
      <c r="K234" s="43"/>
      <c r="L234" s="1"/>
      <c r="M234" s="1"/>
      <c r="N234" s="1"/>
      <c r="O234" s="1"/>
      <c r="P234" s="46"/>
      <c r="Q234" s="1"/>
      <c r="R234" s="1"/>
      <c r="S234" s="1"/>
      <c r="T234" s="1"/>
      <c r="U234" s="49"/>
      <c r="V234" s="1"/>
      <c r="W234" s="1"/>
      <c r="X234" s="1"/>
      <c r="Y234" s="1"/>
      <c r="Z234" s="52"/>
      <c r="AA234" s="1"/>
      <c r="AB234" s="1"/>
      <c r="AC234" s="1"/>
      <c r="AD234" s="1"/>
      <c r="AE234" s="221"/>
    </row>
    <row r="235" spans="1:31" x14ac:dyDescent="0.25">
      <c r="A235" s="108">
        <v>224</v>
      </c>
      <c r="B235" s="1"/>
      <c r="C235" s="1"/>
      <c r="D235" s="1"/>
      <c r="E235" s="1"/>
      <c r="F235" s="39"/>
      <c r="G235" s="1"/>
      <c r="H235" s="1"/>
      <c r="I235" s="1"/>
      <c r="J235" s="1"/>
      <c r="K235" s="43"/>
      <c r="L235" s="1"/>
      <c r="M235" s="1"/>
      <c r="N235" s="1"/>
      <c r="O235" s="1"/>
      <c r="P235" s="46"/>
      <c r="Q235" s="1"/>
      <c r="R235" s="1"/>
      <c r="S235" s="1"/>
      <c r="T235" s="1"/>
      <c r="U235" s="49"/>
      <c r="V235" s="1"/>
      <c r="W235" s="1"/>
      <c r="X235" s="1"/>
      <c r="Y235" s="1"/>
      <c r="Z235" s="52"/>
      <c r="AA235" s="1"/>
      <c r="AB235" s="1"/>
      <c r="AC235" s="1"/>
      <c r="AD235" s="1"/>
      <c r="AE235" s="221"/>
    </row>
    <row r="236" spans="1:31" x14ac:dyDescent="0.25">
      <c r="A236" s="108">
        <v>225</v>
      </c>
      <c r="B236" s="1"/>
      <c r="C236" s="1"/>
      <c r="D236" s="1"/>
      <c r="E236" s="1"/>
      <c r="F236" s="39"/>
      <c r="G236" s="1"/>
      <c r="H236" s="1"/>
      <c r="I236" s="1"/>
      <c r="J236" s="1"/>
      <c r="K236" s="43"/>
      <c r="L236" s="1"/>
      <c r="M236" s="1"/>
      <c r="N236" s="1"/>
      <c r="O236" s="1"/>
      <c r="P236" s="46"/>
      <c r="Q236" s="1"/>
      <c r="R236" s="1"/>
      <c r="S236" s="1"/>
      <c r="T236" s="1"/>
      <c r="U236" s="49"/>
      <c r="V236" s="1"/>
      <c r="W236" s="1"/>
      <c r="X236" s="1"/>
      <c r="Y236" s="1"/>
      <c r="Z236" s="52"/>
      <c r="AA236" s="1"/>
      <c r="AB236" s="1"/>
      <c r="AC236" s="1"/>
      <c r="AD236" s="1"/>
      <c r="AE236" s="221"/>
    </row>
    <row r="237" spans="1:31" x14ac:dyDescent="0.25">
      <c r="A237" s="108">
        <v>226</v>
      </c>
      <c r="B237" s="1"/>
      <c r="C237" s="1"/>
      <c r="D237" s="1"/>
      <c r="E237" s="1"/>
      <c r="F237" s="39"/>
      <c r="G237" s="1"/>
      <c r="H237" s="1"/>
      <c r="I237" s="1"/>
      <c r="J237" s="1"/>
      <c r="K237" s="43"/>
      <c r="L237" s="1"/>
      <c r="M237" s="1"/>
      <c r="N237" s="1"/>
      <c r="O237" s="1"/>
      <c r="P237" s="46"/>
      <c r="Q237" s="1"/>
      <c r="R237" s="1"/>
      <c r="S237" s="1"/>
      <c r="T237" s="1"/>
      <c r="U237" s="49"/>
      <c r="V237" s="1"/>
      <c r="W237" s="1"/>
      <c r="X237" s="1"/>
      <c r="Y237" s="1"/>
      <c r="Z237" s="52"/>
      <c r="AA237" s="1"/>
      <c r="AB237" s="1"/>
      <c r="AC237" s="1"/>
      <c r="AD237" s="1"/>
      <c r="AE237" s="221"/>
    </row>
    <row r="238" spans="1:31" x14ac:dyDescent="0.25">
      <c r="A238" s="108">
        <v>227</v>
      </c>
      <c r="B238" s="1"/>
      <c r="C238" s="1"/>
      <c r="D238" s="1"/>
      <c r="E238" s="1"/>
      <c r="F238" s="39"/>
      <c r="G238" s="1"/>
      <c r="H238" s="1"/>
      <c r="I238" s="1"/>
      <c r="J238" s="1"/>
      <c r="K238" s="43"/>
      <c r="L238" s="1"/>
      <c r="M238" s="1"/>
      <c r="N238" s="1"/>
      <c r="O238" s="1"/>
      <c r="P238" s="46"/>
      <c r="Q238" s="1"/>
      <c r="R238" s="1"/>
      <c r="S238" s="1"/>
      <c r="T238" s="1"/>
      <c r="U238" s="49"/>
      <c r="V238" s="1"/>
      <c r="W238" s="1"/>
      <c r="X238" s="1"/>
      <c r="Y238" s="1"/>
      <c r="Z238" s="52"/>
      <c r="AA238" s="1"/>
      <c r="AB238" s="1"/>
      <c r="AC238" s="1"/>
      <c r="AD238" s="1"/>
      <c r="AE238" s="221"/>
    </row>
    <row r="239" spans="1:31" x14ac:dyDescent="0.25">
      <c r="A239" s="108">
        <v>228</v>
      </c>
      <c r="B239" s="1"/>
      <c r="C239" s="1"/>
      <c r="D239" s="1"/>
      <c r="E239" s="1"/>
      <c r="F239" s="39"/>
      <c r="G239" s="1"/>
      <c r="H239" s="1"/>
      <c r="I239" s="1"/>
      <c r="J239" s="1"/>
      <c r="K239" s="43"/>
      <c r="L239" s="1"/>
      <c r="M239" s="1"/>
      <c r="N239" s="1"/>
      <c r="O239" s="1"/>
      <c r="P239" s="46"/>
      <c r="Q239" s="1"/>
      <c r="R239" s="1"/>
      <c r="S239" s="1"/>
      <c r="T239" s="1"/>
      <c r="U239" s="49"/>
      <c r="V239" s="1"/>
      <c r="W239" s="1"/>
      <c r="X239" s="1"/>
      <c r="Y239" s="1"/>
      <c r="Z239" s="52"/>
      <c r="AA239" s="1"/>
      <c r="AB239" s="1"/>
      <c r="AC239" s="1"/>
      <c r="AD239" s="1"/>
      <c r="AE239" s="221"/>
    </row>
    <row r="240" spans="1:31" x14ac:dyDescent="0.25">
      <c r="A240" s="108">
        <v>229</v>
      </c>
      <c r="B240" s="1"/>
      <c r="C240" s="1"/>
      <c r="D240" s="1"/>
      <c r="E240" s="1"/>
      <c r="F240" s="39"/>
      <c r="G240" s="1"/>
      <c r="H240" s="1"/>
      <c r="I240" s="1"/>
      <c r="J240" s="1"/>
      <c r="K240" s="43"/>
      <c r="L240" s="1"/>
      <c r="M240" s="1"/>
      <c r="N240" s="1"/>
      <c r="O240" s="1"/>
      <c r="P240" s="46"/>
      <c r="Q240" s="1"/>
      <c r="R240" s="1"/>
      <c r="S240" s="1"/>
      <c r="T240" s="1"/>
      <c r="U240" s="49"/>
      <c r="V240" s="1"/>
      <c r="W240" s="1"/>
      <c r="X240" s="1"/>
      <c r="Y240" s="1"/>
      <c r="Z240" s="52"/>
      <c r="AA240" s="1"/>
      <c r="AB240" s="1"/>
      <c r="AC240" s="1"/>
      <c r="AD240" s="1"/>
      <c r="AE240" s="221"/>
    </row>
    <row r="241" spans="1:31" x14ac:dyDescent="0.25">
      <c r="A241" s="108">
        <v>230</v>
      </c>
      <c r="B241" s="1"/>
      <c r="C241" s="1"/>
      <c r="D241" s="1"/>
      <c r="E241" s="1"/>
      <c r="F241" s="39"/>
      <c r="G241" s="1"/>
      <c r="H241" s="1"/>
      <c r="I241" s="1"/>
      <c r="J241" s="1"/>
      <c r="K241" s="43"/>
      <c r="L241" s="1"/>
      <c r="M241" s="1"/>
      <c r="N241" s="1"/>
      <c r="O241" s="1"/>
      <c r="P241" s="46"/>
      <c r="Q241" s="1"/>
      <c r="R241" s="1"/>
      <c r="S241" s="1"/>
      <c r="T241" s="1"/>
      <c r="U241" s="49"/>
      <c r="V241" s="1"/>
      <c r="W241" s="1"/>
      <c r="X241" s="1"/>
      <c r="Y241" s="1"/>
      <c r="Z241" s="52"/>
      <c r="AA241" s="1"/>
      <c r="AB241" s="1"/>
      <c r="AC241" s="1"/>
      <c r="AD241" s="1"/>
      <c r="AE241" s="221"/>
    </row>
    <row r="242" spans="1:31" x14ac:dyDescent="0.25">
      <c r="A242" s="108">
        <v>231</v>
      </c>
      <c r="B242" s="1"/>
      <c r="C242" s="1"/>
      <c r="D242" s="1"/>
      <c r="E242" s="1"/>
      <c r="F242" s="39"/>
      <c r="G242" s="1"/>
      <c r="H242" s="1"/>
      <c r="I242" s="1"/>
      <c r="J242" s="1"/>
      <c r="K242" s="43"/>
      <c r="L242" s="1"/>
      <c r="M242" s="1"/>
      <c r="N242" s="1"/>
      <c r="O242" s="1"/>
      <c r="P242" s="46"/>
      <c r="Q242" s="1"/>
      <c r="R242" s="1"/>
      <c r="S242" s="1"/>
      <c r="T242" s="1"/>
      <c r="U242" s="49"/>
      <c r="V242" s="1"/>
      <c r="W242" s="1"/>
      <c r="X242" s="1"/>
      <c r="Y242" s="1"/>
      <c r="Z242" s="52"/>
      <c r="AA242" s="1"/>
      <c r="AB242" s="1"/>
      <c r="AC242" s="1"/>
      <c r="AD242" s="1"/>
      <c r="AE242" s="221"/>
    </row>
    <row r="243" spans="1:31" x14ac:dyDescent="0.25">
      <c r="A243" s="108">
        <v>232</v>
      </c>
      <c r="B243" s="1"/>
      <c r="C243" s="1"/>
      <c r="D243" s="1"/>
      <c r="E243" s="1"/>
      <c r="F243" s="39"/>
      <c r="G243" s="1"/>
      <c r="H243" s="1"/>
      <c r="I243" s="1"/>
      <c r="J243" s="1"/>
      <c r="K243" s="43"/>
      <c r="L243" s="1"/>
      <c r="M243" s="1"/>
      <c r="N243" s="1"/>
      <c r="O243" s="1"/>
      <c r="P243" s="46"/>
      <c r="Q243" s="1"/>
      <c r="R243" s="1"/>
      <c r="S243" s="1"/>
      <c r="T243" s="1"/>
      <c r="U243" s="49"/>
      <c r="V243" s="1"/>
      <c r="W243" s="1"/>
      <c r="X243" s="1"/>
      <c r="Y243" s="1"/>
      <c r="Z243" s="52"/>
      <c r="AA243" s="1"/>
      <c r="AB243" s="1"/>
      <c r="AC243" s="1"/>
      <c r="AD243" s="1"/>
      <c r="AE243" s="221"/>
    </row>
    <row r="244" spans="1:31" x14ac:dyDescent="0.25">
      <c r="A244" s="108">
        <v>233</v>
      </c>
      <c r="B244" s="1"/>
      <c r="C244" s="1"/>
      <c r="D244" s="1"/>
      <c r="E244" s="1"/>
      <c r="F244" s="39"/>
      <c r="G244" s="1"/>
      <c r="H244" s="1"/>
      <c r="I244" s="1"/>
      <c r="J244" s="1"/>
      <c r="K244" s="43"/>
      <c r="L244" s="1"/>
      <c r="M244" s="1"/>
      <c r="N244" s="1"/>
      <c r="O244" s="1"/>
      <c r="P244" s="46"/>
      <c r="Q244" s="1"/>
      <c r="R244" s="1"/>
      <c r="S244" s="1"/>
      <c r="T244" s="1"/>
      <c r="U244" s="49"/>
      <c r="V244" s="1"/>
      <c r="W244" s="1"/>
      <c r="X244" s="1"/>
      <c r="Y244" s="1"/>
      <c r="Z244" s="52"/>
      <c r="AA244" s="1"/>
      <c r="AB244" s="1"/>
      <c r="AC244" s="1"/>
      <c r="AD244" s="1"/>
      <c r="AE244" s="221"/>
    </row>
    <row r="245" spans="1:31" x14ac:dyDescent="0.25">
      <c r="A245" s="108">
        <v>234</v>
      </c>
      <c r="B245" s="1"/>
      <c r="C245" s="1"/>
      <c r="D245" s="1"/>
      <c r="E245" s="1"/>
      <c r="F245" s="39"/>
      <c r="G245" s="1"/>
      <c r="H245" s="1"/>
      <c r="I245" s="1"/>
      <c r="J245" s="1"/>
      <c r="K245" s="43"/>
      <c r="L245" s="1"/>
      <c r="M245" s="1"/>
      <c r="N245" s="1"/>
      <c r="O245" s="1"/>
      <c r="P245" s="46"/>
      <c r="Q245" s="1"/>
      <c r="R245" s="1"/>
      <c r="S245" s="1"/>
      <c r="T245" s="1"/>
      <c r="U245" s="49"/>
      <c r="V245" s="1"/>
      <c r="W245" s="1"/>
      <c r="X245" s="1"/>
      <c r="Y245" s="1"/>
      <c r="Z245" s="52"/>
      <c r="AA245" s="1"/>
      <c r="AB245" s="1"/>
      <c r="AC245" s="1"/>
      <c r="AD245" s="1"/>
      <c r="AE245" s="221"/>
    </row>
    <row r="246" spans="1:31" x14ac:dyDescent="0.25">
      <c r="A246" s="108">
        <v>235</v>
      </c>
      <c r="B246" s="1"/>
      <c r="C246" s="1"/>
      <c r="D246" s="1"/>
      <c r="E246" s="1"/>
      <c r="F246" s="39"/>
      <c r="G246" s="1"/>
      <c r="H246" s="1"/>
      <c r="I246" s="1"/>
      <c r="J246" s="1"/>
      <c r="K246" s="43"/>
      <c r="L246" s="1"/>
      <c r="M246" s="1"/>
      <c r="N246" s="1"/>
      <c r="O246" s="1"/>
      <c r="P246" s="46"/>
      <c r="Q246" s="1"/>
      <c r="R246" s="1"/>
      <c r="S246" s="1"/>
      <c r="T246" s="1"/>
      <c r="U246" s="49"/>
      <c r="V246" s="1"/>
      <c r="W246" s="1"/>
      <c r="X246" s="1"/>
      <c r="Y246" s="1"/>
      <c r="Z246" s="52"/>
      <c r="AA246" s="1"/>
      <c r="AB246" s="1"/>
      <c r="AC246" s="1"/>
      <c r="AD246" s="1"/>
      <c r="AE246" s="221"/>
    </row>
    <row r="247" spans="1:31" x14ac:dyDescent="0.25">
      <c r="A247" s="108">
        <v>236</v>
      </c>
      <c r="B247" s="1"/>
      <c r="C247" s="1"/>
      <c r="D247" s="1"/>
      <c r="E247" s="1"/>
      <c r="F247" s="39"/>
      <c r="G247" s="1"/>
      <c r="H247" s="1"/>
      <c r="I247" s="1"/>
      <c r="J247" s="1"/>
      <c r="K247" s="43"/>
      <c r="L247" s="1"/>
      <c r="M247" s="1"/>
      <c r="N247" s="1"/>
      <c r="O247" s="1"/>
      <c r="P247" s="46"/>
      <c r="Q247" s="1"/>
      <c r="R247" s="1"/>
      <c r="S247" s="1"/>
      <c r="T247" s="1"/>
      <c r="U247" s="49"/>
      <c r="V247" s="1"/>
      <c r="W247" s="1"/>
      <c r="X247" s="1"/>
      <c r="Y247" s="1"/>
      <c r="Z247" s="52"/>
      <c r="AA247" s="1"/>
      <c r="AB247" s="1"/>
      <c r="AC247" s="1"/>
      <c r="AD247" s="1"/>
      <c r="AE247" s="221"/>
    </row>
    <row r="248" spans="1:31" x14ac:dyDescent="0.25">
      <c r="A248" s="108">
        <v>237</v>
      </c>
      <c r="B248" s="1"/>
      <c r="C248" s="1"/>
      <c r="D248" s="1"/>
      <c r="E248" s="1"/>
      <c r="F248" s="39"/>
      <c r="G248" s="1"/>
      <c r="H248" s="1"/>
      <c r="I248" s="1"/>
      <c r="J248" s="1"/>
      <c r="K248" s="43"/>
      <c r="L248" s="1"/>
      <c r="M248" s="1"/>
      <c r="N248" s="1"/>
      <c r="O248" s="1"/>
      <c r="P248" s="46"/>
      <c r="Q248" s="1"/>
      <c r="R248" s="1"/>
      <c r="S248" s="1"/>
      <c r="T248" s="1"/>
      <c r="U248" s="49"/>
      <c r="V248" s="1"/>
      <c r="W248" s="1"/>
      <c r="X248" s="1"/>
      <c r="Y248" s="1"/>
      <c r="Z248" s="52"/>
      <c r="AA248" s="1"/>
      <c r="AB248" s="1"/>
      <c r="AC248" s="1"/>
      <c r="AD248" s="1"/>
      <c r="AE248" s="221"/>
    </row>
    <row r="249" spans="1:31" x14ac:dyDescent="0.25">
      <c r="A249" s="108">
        <v>238</v>
      </c>
      <c r="B249" s="1"/>
      <c r="C249" s="1"/>
      <c r="D249" s="1"/>
      <c r="E249" s="1"/>
      <c r="F249" s="39"/>
      <c r="G249" s="1"/>
      <c r="H249" s="1"/>
      <c r="I249" s="1"/>
      <c r="J249" s="1"/>
      <c r="K249" s="43"/>
      <c r="L249" s="1"/>
      <c r="M249" s="1"/>
      <c r="N249" s="1"/>
      <c r="O249" s="1"/>
      <c r="P249" s="46"/>
      <c r="Q249" s="1"/>
      <c r="R249" s="1"/>
      <c r="S249" s="1"/>
      <c r="T249" s="1"/>
      <c r="U249" s="49"/>
      <c r="V249" s="1"/>
      <c r="W249" s="1"/>
      <c r="X249" s="1"/>
      <c r="Y249" s="1"/>
      <c r="Z249" s="52"/>
      <c r="AA249" s="1"/>
      <c r="AB249" s="1"/>
      <c r="AC249" s="1"/>
      <c r="AD249" s="1"/>
      <c r="AE249" s="221"/>
    </row>
    <row r="250" spans="1:31" x14ac:dyDescent="0.25">
      <c r="A250" s="108">
        <v>239</v>
      </c>
      <c r="B250" s="1"/>
      <c r="C250" s="1"/>
      <c r="D250" s="1"/>
      <c r="E250" s="1"/>
      <c r="F250" s="39"/>
      <c r="G250" s="1"/>
      <c r="H250" s="1"/>
      <c r="I250" s="1"/>
      <c r="J250" s="1"/>
      <c r="K250" s="43"/>
      <c r="L250" s="1"/>
      <c r="M250" s="1"/>
      <c r="N250" s="1"/>
      <c r="O250" s="1"/>
      <c r="P250" s="46"/>
      <c r="Q250" s="1"/>
      <c r="R250" s="1"/>
      <c r="S250" s="1"/>
      <c r="T250" s="1"/>
      <c r="U250" s="49"/>
      <c r="V250" s="1"/>
      <c r="W250" s="1"/>
      <c r="X250" s="1"/>
      <c r="Y250" s="1"/>
      <c r="Z250" s="52"/>
      <c r="AA250" s="1"/>
      <c r="AB250" s="1"/>
      <c r="AC250" s="1"/>
      <c r="AD250" s="1"/>
      <c r="AE250" s="221"/>
    </row>
    <row r="251" spans="1:31" x14ac:dyDescent="0.25">
      <c r="A251" s="108">
        <v>240</v>
      </c>
      <c r="B251" s="1"/>
      <c r="C251" s="1"/>
      <c r="D251" s="1"/>
      <c r="E251" s="1"/>
      <c r="F251" s="39"/>
      <c r="G251" s="1"/>
      <c r="H251" s="1"/>
      <c r="I251" s="1"/>
      <c r="J251" s="1"/>
      <c r="K251" s="43"/>
      <c r="L251" s="1"/>
      <c r="M251" s="1"/>
      <c r="N251" s="1"/>
      <c r="O251" s="1"/>
      <c r="P251" s="46"/>
      <c r="Q251" s="1"/>
      <c r="R251" s="1"/>
      <c r="S251" s="1"/>
      <c r="T251" s="1"/>
      <c r="U251" s="49"/>
      <c r="V251" s="1"/>
      <c r="W251" s="1"/>
      <c r="X251" s="1"/>
      <c r="Y251" s="1"/>
      <c r="Z251" s="52"/>
      <c r="AA251" s="1"/>
      <c r="AB251" s="1"/>
      <c r="AC251" s="1"/>
      <c r="AD251" s="1"/>
      <c r="AE251" s="221"/>
    </row>
    <row r="252" spans="1:31" x14ac:dyDescent="0.25">
      <c r="A252" s="108">
        <v>241</v>
      </c>
      <c r="B252" s="1"/>
      <c r="C252" s="1"/>
      <c r="D252" s="1"/>
      <c r="E252" s="1"/>
      <c r="F252" s="39"/>
      <c r="G252" s="1"/>
      <c r="H252" s="1"/>
      <c r="I252" s="1"/>
      <c r="J252" s="1"/>
      <c r="K252" s="43"/>
      <c r="L252" s="1"/>
      <c r="M252" s="1"/>
      <c r="N252" s="1"/>
      <c r="O252" s="1"/>
      <c r="P252" s="46"/>
      <c r="Q252" s="1"/>
      <c r="R252" s="1"/>
      <c r="S252" s="1"/>
      <c r="T252" s="1"/>
      <c r="U252" s="49"/>
      <c r="V252" s="1"/>
      <c r="W252" s="1"/>
      <c r="X252" s="1"/>
      <c r="Y252" s="1"/>
      <c r="Z252" s="52"/>
      <c r="AA252" s="1"/>
      <c r="AB252" s="1"/>
      <c r="AC252" s="1"/>
      <c r="AD252" s="1"/>
      <c r="AE252" s="221"/>
    </row>
    <row r="253" spans="1:31" x14ac:dyDescent="0.25">
      <c r="A253" s="108">
        <v>242</v>
      </c>
      <c r="B253" s="1"/>
      <c r="C253" s="1"/>
      <c r="D253" s="1"/>
      <c r="E253" s="1"/>
      <c r="F253" s="39"/>
      <c r="G253" s="1"/>
      <c r="H253" s="1"/>
      <c r="I253" s="1"/>
      <c r="J253" s="1"/>
      <c r="K253" s="43"/>
      <c r="L253" s="1"/>
      <c r="M253" s="1"/>
      <c r="N253" s="1"/>
      <c r="O253" s="1"/>
      <c r="P253" s="46"/>
      <c r="Q253" s="1"/>
      <c r="R253" s="1"/>
      <c r="S253" s="1"/>
      <c r="T253" s="1"/>
      <c r="U253" s="49"/>
      <c r="V253" s="1"/>
      <c r="W253" s="1"/>
      <c r="X253" s="1"/>
      <c r="Y253" s="1"/>
      <c r="Z253" s="52"/>
      <c r="AA253" s="1"/>
      <c r="AB253" s="1"/>
      <c r="AC253" s="1"/>
      <c r="AD253" s="1"/>
      <c r="AE253" s="221"/>
    </row>
    <row r="254" spans="1:31" x14ac:dyDescent="0.25">
      <c r="A254" s="108">
        <v>243</v>
      </c>
      <c r="B254" s="1"/>
      <c r="C254" s="1"/>
      <c r="D254" s="1"/>
      <c r="E254" s="1"/>
      <c r="F254" s="39"/>
      <c r="G254" s="1"/>
      <c r="H254" s="1"/>
      <c r="I254" s="1"/>
      <c r="J254" s="1"/>
      <c r="K254" s="43"/>
      <c r="L254" s="1"/>
      <c r="M254" s="1"/>
      <c r="N254" s="1"/>
      <c r="O254" s="1"/>
      <c r="P254" s="46"/>
      <c r="Q254" s="1"/>
      <c r="R254" s="1"/>
      <c r="S254" s="1"/>
      <c r="T254" s="1"/>
      <c r="U254" s="49"/>
      <c r="V254" s="1"/>
      <c r="W254" s="1"/>
      <c r="X254" s="1"/>
      <c r="Y254" s="1"/>
      <c r="Z254" s="52"/>
      <c r="AA254" s="1"/>
      <c r="AB254" s="1"/>
      <c r="AC254" s="1"/>
      <c r="AD254" s="1"/>
      <c r="AE254" s="221"/>
    </row>
    <row r="255" spans="1:31" x14ac:dyDescent="0.25">
      <c r="A255" s="108">
        <v>244</v>
      </c>
      <c r="B255" s="1"/>
      <c r="C255" s="1"/>
      <c r="D255" s="1"/>
      <c r="E255" s="1"/>
      <c r="F255" s="39"/>
      <c r="G255" s="1"/>
      <c r="H255" s="1"/>
      <c r="I255" s="1"/>
      <c r="J255" s="1"/>
      <c r="K255" s="43"/>
      <c r="L255" s="1"/>
      <c r="M255" s="1"/>
      <c r="N255" s="1"/>
      <c r="O255" s="1"/>
      <c r="P255" s="46"/>
      <c r="Q255" s="1"/>
      <c r="R255" s="1"/>
      <c r="S255" s="1"/>
      <c r="T255" s="1"/>
      <c r="U255" s="49"/>
      <c r="V255" s="1"/>
      <c r="W255" s="1"/>
      <c r="X255" s="1"/>
      <c r="Y255" s="1"/>
      <c r="Z255" s="52"/>
      <c r="AA255" s="1"/>
      <c r="AB255" s="1"/>
      <c r="AC255" s="1"/>
      <c r="AD255" s="1"/>
      <c r="AE255" s="221"/>
    </row>
    <row r="256" spans="1:31" x14ac:dyDescent="0.25">
      <c r="A256" s="108">
        <v>245</v>
      </c>
      <c r="B256" s="1"/>
      <c r="C256" s="1"/>
      <c r="D256" s="1"/>
      <c r="E256" s="1"/>
      <c r="F256" s="39"/>
      <c r="G256" s="1"/>
      <c r="H256" s="1"/>
      <c r="I256" s="1"/>
      <c r="J256" s="1"/>
      <c r="K256" s="43"/>
      <c r="L256" s="1"/>
      <c r="M256" s="1"/>
      <c r="N256" s="1"/>
      <c r="O256" s="1"/>
      <c r="P256" s="46"/>
      <c r="Q256" s="1"/>
      <c r="R256" s="1"/>
      <c r="S256" s="1"/>
      <c r="T256" s="1"/>
      <c r="U256" s="49"/>
      <c r="V256" s="1"/>
      <c r="W256" s="1"/>
      <c r="X256" s="1"/>
      <c r="Y256" s="1"/>
      <c r="Z256" s="52"/>
      <c r="AA256" s="1"/>
      <c r="AB256" s="1"/>
      <c r="AC256" s="1"/>
      <c r="AD256" s="1"/>
      <c r="AE256" s="221"/>
    </row>
    <row r="257" spans="1:31" x14ac:dyDescent="0.25">
      <c r="A257" s="108">
        <v>246</v>
      </c>
      <c r="B257" s="1"/>
      <c r="C257" s="1"/>
      <c r="D257" s="1"/>
      <c r="E257" s="1"/>
      <c r="F257" s="39"/>
      <c r="G257" s="1"/>
      <c r="H257" s="1"/>
      <c r="I257" s="1"/>
      <c r="J257" s="1"/>
      <c r="K257" s="43"/>
      <c r="L257" s="1"/>
      <c r="M257" s="1"/>
      <c r="N257" s="1"/>
      <c r="O257" s="1"/>
      <c r="P257" s="46"/>
      <c r="Q257" s="1"/>
      <c r="R257" s="1"/>
      <c r="S257" s="1"/>
      <c r="T257" s="1"/>
      <c r="U257" s="49"/>
      <c r="V257" s="1"/>
      <c r="W257" s="1"/>
      <c r="X257" s="1"/>
      <c r="Y257" s="1"/>
      <c r="Z257" s="52"/>
      <c r="AA257" s="1"/>
      <c r="AB257" s="1"/>
      <c r="AC257" s="1"/>
      <c r="AD257" s="1"/>
      <c r="AE257" s="221"/>
    </row>
    <row r="258" spans="1:31" x14ac:dyDescent="0.25">
      <c r="A258" s="108">
        <v>247</v>
      </c>
      <c r="B258" s="1"/>
      <c r="C258" s="1"/>
      <c r="D258" s="1"/>
      <c r="E258" s="1"/>
      <c r="F258" s="39"/>
      <c r="G258" s="1"/>
      <c r="H258" s="1"/>
      <c r="I258" s="1"/>
      <c r="J258" s="1"/>
      <c r="K258" s="43"/>
      <c r="L258" s="1"/>
      <c r="M258" s="1"/>
      <c r="N258" s="1"/>
      <c r="O258" s="1"/>
      <c r="P258" s="46"/>
      <c r="Q258" s="1"/>
      <c r="R258" s="1"/>
      <c r="S258" s="1"/>
      <c r="T258" s="1"/>
      <c r="U258" s="49"/>
      <c r="V258" s="1"/>
      <c r="W258" s="1"/>
      <c r="X258" s="1"/>
      <c r="Y258" s="1"/>
      <c r="Z258" s="52"/>
      <c r="AA258" s="1"/>
      <c r="AB258" s="1"/>
      <c r="AC258" s="1"/>
      <c r="AD258" s="1"/>
      <c r="AE258" s="221"/>
    </row>
    <row r="259" spans="1:31" x14ac:dyDescent="0.25">
      <c r="A259" s="108">
        <v>248</v>
      </c>
      <c r="B259" s="1"/>
      <c r="C259" s="1"/>
      <c r="D259" s="1"/>
      <c r="E259" s="1"/>
      <c r="F259" s="39"/>
      <c r="G259" s="1"/>
      <c r="H259" s="1"/>
      <c r="I259" s="1"/>
      <c r="J259" s="1"/>
      <c r="K259" s="43"/>
      <c r="L259" s="1"/>
      <c r="M259" s="1"/>
      <c r="N259" s="1"/>
      <c r="O259" s="1"/>
      <c r="P259" s="46"/>
      <c r="Q259" s="1"/>
      <c r="R259" s="1"/>
      <c r="S259" s="1"/>
      <c r="T259" s="1"/>
      <c r="U259" s="49"/>
      <c r="V259" s="1"/>
      <c r="W259" s="1"/>
      <c r="X259" s="1"/>
      <c r="Y259" s="1"/>
      <c r="Z259" s="52"/>
      <c r="AA259" s="1"/>
      <c r="AB259" s="1"/>
      <c r="AC259" s="1"/>
      <c r="AD259" s="1"/>
      <c r="AE259" s="221"/>
    </row>
    <row r="260" spans="1:31" x14ac:dyDescent="0.25">
      <c r="A260" s="108">
        <v>249</v>
      </c>
      <c r="B260" s="1"/>
      <c r="C260" s="1"/>
      <c r="D260" s="1"/>
      <c r="E260" s="1"/>
      <c r="F260" s="39"/>
      <c r="G260" s="1"/>
      <c r="H260" s="1"/>
      <c r="I260" s="1"/>
      <c r="J260" s="1"/>
      <c r="K260" s="43"/>
      <c r="L260" s="1"/>
      <c r="M260" s="1"/>
      <c r="N260" s="1"/>
      <c r="O260" s="1"/>
      <c r="P260" s="46"/>
      <c r="Q260" s="1"/>
      <c r="R260" s="1"/>
      <c r="S260" s="1"/>
      <c r="T260" s="1"/>
      <c r="U260" s="49"/>
      <c r="V260" s="1"/>
      <c r="W260" s="1"/>
      <c r="X260" s="1"/>
      <c r="Y260" s="1"/>
      <c r="Z260" s="52"/>
      <c r="AA260" s="1"/>
      <c r="AB260" s="1"/>
      <c r="AC260" s="1"/>
      <c r="AD260" s="1"/>
      <c r="AE260" s="221"/>
    </row>
    <row r="261" spans="1:31" x14ac:dyDescent="0.25">
      <c r="A261" s="108">
        <v>250</v>
      </c>
      <c r="B261" s="1"/>
      <c r="C261" s="1"/>
      <c r="D261" s="1"/>
      <c r="E261" s="1"/>
      <c r="F261" s="39"/>
      <c r="G261" s="1"/>
      <c r="H261" s="1"/>
      <c r="I261" s="1"/>
      <c r="J261" s="1"/>
      <c r="K261" s="43"/>
      <c r="L261" s="1"/>
      <c r="M261" s="1"/>
      <c r="N261" s="1"/>
      <c r="O261" s="1"/>
      <c r="P261" s="46"/>
      <c r="Q261" s="1"/>
      <c r="R261" s="1"/>
      <c r="S261" s="1"/>
      <c r="T261" s="1"/>
      <c r="U261" s="49"/>
      <c r="V261" s="1"/>
      <c r="W261" s="1"/>
      <c r="X261" s="1"/>
      <c r="Y261" s="1"/>
      <c r="Z261" s="52"/>
      <c r="AA261" s="1"/>
      <c r="AB261" s="1"/>
      <c r="AC261" s="1"/>
      <c r="AD261" s="1"/>
      <c r="AE261" s="221"/>
    </row>
    <row r="262" spans="1:31" ht="15.75" thickBot="1" x14ac:dyDescent="0.3">
      <c r="A262" s="109"/>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c r="AA262" s="109"/>
      <c r="AB262" s="109"/>
      <c r="AC262" s="109"/>
    </row>
  </sheetData>
  <sheetProtection sheet="1" objects="1" scenarios="1"/>
  <mergeCells count="6">
    <mergeCell ref="AA1:AD1"/>
    <mergeCell ref="B1:E1"/>
    <mergeCell ref="G1:J1"/>
    <mergeCell ref="L1:O1"/>
    <mergeCell ref="Q1:T1"/>
    <mergeCell ref="V1:Y1"/>
  </mergeCells>
  <pageMargins left="0.7" right="0.7" top="0.75" bottom="0.75" header="0.3" footer="0.3"/>
  <pageSetup scale="40" fitToHeight="3" orientation="landscape" verticalDpi="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FF00"/>
    <pageSetUpPr fitToPage="1"/>
  </sheetPr>
  <dimension ref="A1:N128"/>
  <sheetViews>
    <sheetView showZeros="0" zoomScaleNormal="100" workbookViewId="0">
      <pane xSplit="2" ySplit="8" topLeftCell="C9" activePane="bottomRight" state="frozen"/>
      <selection pane="topRight" activeCell="C1" sqref="C1"/>
      <selection pane="bottomLeft" activeCell="A10" sqref="A10"/>
      <selection pane="bottomRight"/>
    </sheetView>
  </sheetViews>
  <sheetFormatPr defaultColWidth="8.85546875" defaultRowHeight="15" x14ac:dyDescent="0.25"/>
  <cols>
    <col min="1" max="1" width="27.140625" style="637" customWidth="1"/>
    <col min="2" max="2" width="16.7109375" style="638" customWidth="1"/>
    <col min="3" max="3" width="9.42578125" style="7" bestFit="1" customWidth="1"/>
    <col min="4" max="8" width="8.85546875" style="7"/>
    <col min="9" max="13" width="10.140625" style="7" customWidth="1"/>
    <col min="14" max="16384" width="8.85546875" style="7"/>
  </cols>
  <sheetData>
    <row r="1" spans="1:14" ht="92.45" customHeight="1" thickBot="1" x14ac:dyDescent="0.3">
      <c r="A1" s="575" t="s">
        <v>120</v>
      </c>
      <c r="B1" s="576"/>
      <c r="C1" s="577" t="str">
        <f>IF(Height!B1&lt;&gt;"",Height!B1,"")</f>
        <v>Group 1</v>
      </c>
      <c r="D1" s="577" t="str">
        <f>IF(Height!G1&lt;&gt;"",Height!G1,"")</f>
        <v>Group 2</v>
      </c>
      <c r="E1" s="577" t="str">
        <f>IF(Height!L1&lt;&gt;"",Height!L1,"")</f>
        <v>Group 3</v>
      </c>
      <c r="F1" s="577" t="str">
        <f>IF(Height!Q1&lt;&gt;"",Height!Q1,"")</f>
        <v>Group 4</v>
      </c>
      <c r="G1" s="578" t="str">
        <f>IF(Height!V1&lt;&gt;"",Height!V1,"")</f>
        <v>Group 5</v>
      </c>
      <c r="H1" s="578" t="str">
        <f>IF(Height!AA1&lt;&gt;"",Height!AA1,"")</f>
        <v>Group 6</v>
      </c>
      <c r="I1" s="399"/>
      <c r="J1" s="399"/>
      <c r="K1" s="399"/>
      <c r="L1" s="399"/>
      <c r="M1" s="399"/>
      <c r="N1" s="399"/>
    </row>
    <row r="2" spans="1:14" ht="13.9" customHeight="1" x14ac:dyDescent="0.25">
      <c r="A2" s="1486" t="s">
        <v>114</v>
      </c>
      <c r="B2" s="579" t="s">
        <v>116</v>
      </c>
      <c r="C2" s="580">
        <f>IF(Height!$F$5="",0,Height!$F$5)</f>
        <v>0</v>
      </c>
      <c r="D2" s="581">
        <f>IF(Height!$K$5="",0,Height!$K$5)</f>
        <v>0</v>
      </c>
      <c r="E2" s="581">
        <f>IF(Height!$P$5="",0,Height!$P$5)</f>
        <v>0</v>
      </c>
      <c r="F2" s="581">
        <f>IF(Height!$U$5="",0,Height!$U$5)</f>
        <v>0</v>
      </c>
      <c r="G2" s="581">
        <f>IF(Height!$Z$5="",0,Height!$Z$5)</f>
        <v>0</v>
      </c>
      <c r="H2" s="635">
        <f>IF(Height!$AE$5="",0,Height!$AE$5)</f>
        <v>0</v>
      </c>
      <c r="I2" s="399"/>
      <c r="J2" s="399"/>
      <c r="K2" s="399"/>
      <c r="L2" s="399"/>
      <c r="M2" s="399"/>
      <c r="N2" s="399"/>
    </row>
    <row r="3" spans="1:14" x14ac:dyDescent="0.25">
      <c r="A3" s="1487"/>
      <c r="B3" s="582" t="s">
        <v>115</v>
      </c>
      <c r="C3" s="583" t="str">
        <f>IF(Height!$B$4="","",AVERAGE(Height!$B$4:$D$4))</f>
        <v/>
      </c>
      <c r="D3" s="584" t="str">
        <f>IF(Height!$G$4="","",AVERAGE(Height!$G$4:$J$4))</f>
        <v/>
      </c>
      <c r="E3" s="584" t="str">
        <f>IF(Height!$L$4="","",AVERAGE(Height!$L$4:$O$4))</f>
        <v/>
      </c>
      <c r="F3" s="584" t="str">
        <f>IF(Height!$Q$4="","",AVERAGE(Height!$Q$4:$T$4))</f>
        <v/>
      </c>
      <c r="G3" s="584" t="str">
        <f>IF(Height!$V$4="","",AVERAGE(Height!$V$4:$Y$4))</f>
        <v/>
      </c>
      <c r="H3" s="585" t="str">
        <f>IF(Height!$AA$4="","",AVERAGE(Height!$AA$4:$AD$4))</f>
        <v/>
      </c>
      <c r="I3" s="399"/>
      <c r="J3" s="399"/>
      <c r="K3" s="399"/>
      <c r="L3" s="399"/>
      <c r="M3" s="399"/>
      <c r="N3" s="399"/>
    </row>
    <row r="4" spans="1:14" ht="14.45" customHeight="1" x14ac:dyDescent="0.25">
      <c r="A4" s="1487"/>
      <c r="B4" s="582" t="s">
        <v>117</v>
      </c>
      <c r="C4" s="583" t="str">
        <f>IF(Pressure!$F$9="","",Pressure!$F$9)</f>
        <v/>
      </c>
      <c r="D4" s="584" t="str">
        <f>IF(Pressure!$K$9="","",Pressure!$K$9)</f>
        <v/>
      </c>
      <c r="E4" s="584" t="str">
        <f>IF(Pressure!$P$9="","",Pressure!$P$9)</f>
        <v/>
      </c>
      <c r="F4" s="584" t="str">
        <f>IF(Pressure!$U$9="","",Pressure!$U$9)</f>
        <v/>
      </c>
      <c r="G4" s="584" t="str">
        <f>IF(Pressure!$Z$9="","",Pressure!$Z$9)</f>
        <v/>
      </c>
      <c r="H4" s="585" t="str">
        <f>IF(Pressure!$AE$9="","",Pressure!$AE$9)</f>
        <v/>
      </c>
      <c r="I4" s="399"/>
      <c r="J4" s="399"/>
      <c r="K4" s="399"/>
      <c r="L4" s="399"/>
      <c r="M4" s="399"/>
      <c r="N4" s="399"/>
    </row>
    <row r="5" spans="1:14" x14ac:dyDescent="0.25">
      <c r="A5" s="1487"/>
      <c r="B5" s="582" t="s">
        <v>118</v>
      </c>
      <c r="C5" s="586" t="str">
        <f>IF(Angle!$F$9="","",Angle!$F$9)</f>
        <v/>
      </c>
      <c r="D5" s="587" t="str">
        <f>IF(Angle!$K$9="","",Angle!$K$9)</f>
        <v/>
      </c>
      <c r="E5" s="587" t="str">
        <f>IF(Angle!$P$9="","",Angle!$P$9)</f>
        <v/>
      </c>
      <c r="F5" s="587" t="str">
        <f>IF(Angle!$U$9="","",Angle!$U$9)</f>
        <v/>
      </c>
      <c r="G5" s="587" t="str">
        <f>IF(Angle!$Z$9="","",Angle!$Z$9)</f>
        <v/>
      </c>
      <c r="H5" s="588" t="str">
        <f>IF(Angle!$AE$9="","",Angle!$AE$9)</f>
        <v/>
      </c>
      <c r="I5" s="399"/>
      <c r="J5" s="399"/>
      <c r="K5" s="399"/>
      <c r="L5" s="399"/>
      <c r="M5" s="399"/>
      <c r="N5" s="399"/>
    </row>
    <row r="6" spans="1:14" ht="17.25" x14ac:dyDescent="0.3">
      <c r="A6" s="1487"/>
      <c r="B6" s="582" t="s">
        <v>107</v>
      </c>
      <c r="C6" s="589" t="str">
        <f>IF('%Gmm'!$F$7="","",'%Gmm'!$F$7)</f>
        <v/>
      </c>
      <c r="D6" s="590" t="str">
        <f>IF('%Gmm'!$K$7="","",'%Gmm'!$K$7)</f>
        <v/>
      </c>
      <c r="E6" s="590" t="str">
        <f>IF('%Gmm'!$P$7="","",'%Gmm'!$P$7)</f>
        <v/>
      </c>
      <c r="F6" s="590" t="str">
        <f>IF('%Gmm'!$U$7="","",'%Gmm'!$U$7)</f>
        <v/>
      </c>
      <c r="G6" s="590" t="str">
        <f>IF('%Gmm'!$Z$7="","",'%Gmm'!$Z$7)</f>
        <v/>
      </c>
      <c r="H6" s="591" t="str">
        <f>IF('%Gmm'!$AE$7="","",'%Gmm'!$AE$7)</f>
        <v/>
      </c>
      <c r="I6" s="399"/>
      <c r="J6" s="399"/>
      <c r="K6" s="399"/>
      <c r="L6" s="399"/>
      <c r="M6" s="399"/>
      <c r="N6" s="399"/>
    </row>
    <row r="7" spans="1:14" ht="15" customHeight="1" x14ac:dyDescent="0.3">
      <c r="A7" s="1487"/>
      <c r="B7" s="582" t="s">
        <v>108</v>
      </c>
      <c r="C7" s="589" t="str">
        <f>IF('%Gmm'!$F$8="","",'%Gmm'!$F$8)</f>
        <v/>
      </c>
      <c r="D7" s="590" t="str">
        <f>IF('%Gmm'!$K$8="","",'%Gmm'!$K$8)</f>
        <v/>
      </c>
      <c r="E7" s="590" t="str">
        <f>IF('%Gmm'!$P$8="","",'%Gmm'!$P$8)</f>
        <v/>
      </c>
      <c r="F7" s="590" t="str">
        <f>IF('%Gmm'!$U$8="","",'%Gmm'!$U$8)</f>
        <v/>
      </c>
      <c r="G7" s="590" t="str">
        <f>IF('%Gmm'!$Z$8="","",'%Gmm'!$Z$8)</f>
        <v/>
      </c>
      <c r="H7" s="591" t="str">
        <f>IF('%Gmm'!$AE$8="","",'%Gmm'!$AE$8)</f>
        <v/>
      </c>
      <c r="I7" s="399"/>
      <c r="J7" s="399"/>
      <c r="K7" s="399"/>
      <c r="L7" s="399"/>
      <c r="M7" s="399"/>
      <c r="N7" s="399"/>
    </row>
    <row r="8" spans="1:14" ht="15" customHeight="1" thickBot="1" x14ac:dyDescent="0.3">
      <c r="A8" s="1488"/>
      <c r="B8" s="592" t="s">
        <v>119</v>
      </c>
      <c r="C8" s="1430" t="str">
        <f t="shared" ref="C8:H8" si="0">IF(C7="","",(1-C7/C6))</f>
        <v/>
      </c>
      <c r="D8" s="1431" t="str">
        <f t="shared" si="0"/>
        <v/>
      </c>
      <c r="E8" s="1431" t="str">
        <f t="shared" si="0"/>
        <v/>
      </c>
      <c r="F8" s="1431" t="str">
        <f t="shared" si="0"/>
        <v/>
      </c>
      <c r="G8" s="1431" t="str">
        <f t="shared" si="0"/>
        <v/>
      </c>
      <c r="H8" s="1432" t="str">
        <f t="shared" si="0"/>
        <v/>
      </c>
      <c r="I8" s="399"/>
      <c r="J8" s="399"/>
      <c r="K8" s="399"/>
      <c r="L8" s="399"/>
      <c r="M8" s="399"/>
      <c r="N8" s="399"/>
    </row>
    <row r="9" spans="1:14" ht="15" customHeight="1" x14ac:dyDescent="0.25">
      <c r="A9" s="596"/>
      <c r="B9" s="597"/>
      <c r="C9" s="598"/>
      <c r="D9" s="598"/>
      <c r="E9" s="598"/>
      <c r="F9" s="598"/>
      <c r="G9" s="598"/>
      <c r="H9" s="596"/>
      <c r="I9" s="399"/>
      <c r="J9" s="399"/>
      <c r="K9" s="399"/>
      <c r="L9" s="399"/>
      <c r="M9" s="399"/>
      <c r="N9" s="399"/>
    </row>
    <row r="10" spans="1:14" ht="15" customHeight="1" thickBot="1" x14ac:dyDescent="0.3">
      <c r="A10" s="596"/>
      <c r="B10" s="598"/>
      <c r="C10" s="598"/>
      <c r="D10" s="598"/>
      <c r="E10" s="598"/>
      <c r="F10" s="598"/>
      <c r="G10" s="598"/>
      <c r="H10" s="596"/>
      <c r="I10" s="399"/>
      <c r="J10" s="399"/>
      <c r="K10" s="399"/>
      <c r="L10" s="399"/>
      <c r="M10" s="399"/>
      <c r="N10" s="399"/>
    </row>
    <row r="11" spans="1:14" ht="15.6" customHeight="1" x14ac:dyDescent="0.25">
      <c r="A11" s="1480" t="s">
        <v>70</v>
      </c>
      <c r="B11" s="599" t="s">
        <v>65</v>
      </c>
      <c r="C11" s="600" t="str">
        <f>IF('%Gmm'!$B$8="","",'%Gmm'!$B$8)</f>
        <v/>
      </c>
      <c r="D11" s="601" t="str">
        <f>IF('%Gmm'!$G$8="","",'%Gmm'!$G$8)</f>
        <v/>
      </c>
      <c r="E11" s="601" t="str">
        <f>IF('%Gmm'!$L$8="","",'%Gmm'!$L$8)</f>
        <v/>
      </c>
      <c r="F11" s="601" t="str">
        <f>IF('%Gmm'!$Q$8="","",'%Gmm'!$Q$8)</f>
        <v/>
      </c>
      <c r="G11" s="601" t="str">
        <f>IF('%Gmm'!$V$8="","",'%Gmm'!$V$8)</f>
        <v/>
      </c>
      <c r="H11" s="602" t="str">
        <f>IF('%Gmm'!$AA$8="","",'%Gmm'!$AA$8)</f>
        <v/>
      </c>
      <c r="I11" s="399"/>
      <c r="J11" s="399"/>
      <c r="K11" s="399"/>
      <c r="L11" s="399"/>
      <c r="M11" s="399"/>
      <c r="N11" s="399"/>
    </row>
    <row r="12" spans="1:14" x14ac:dyDescent="0.25">
      <c r="A12" s="1481"/>
      <c r="B12" s="603" t="s">
        <v>66</v>
      </c>
      <c r="C12" s="589" t="str">
        <f>IF('%Gmm'!$C$8="","",'%Gmm'!$C$8)</f>
        <v/>
      </c>
      <c r="D12" s="590" t="str">
        <f>IF('%Gmm'!$H$8="","",'%Gmm'!$H$8)</f>
        <v/>
      </c>
      <c r="E12" s="590" t="str">
        <f>IF('%Gmm'!$M$8="","",'%Gmm'!$M$8)</f>
        <v/>
      </c>
      <c r="F12" s="590" t="str">
        <f>IF('%Gmm'!$R$8="","",'%Gmm'!$R$8)</f>
        <v/>
      </c>
      <c r="G12" s="590" t="str">
        <f>IF('%Gmm'!$W$8="","",'%Gmm'!$W$8)</f>
        <v/>
      </c>
      <c r="H12" s="591" t="str">
        <f>IF('%Gmm'!$AB$8="","",'%Gmm'!$AB$8)</f>
        <v/>
      </c>
      <c r="I12" s="399"/>
      <c r="J12" s="399"/>
      <c r="K12" s="399"/>
      <c r="L12" s="399"/>
      <c r="M12" s="399"/>
      <c r="N12" s="399"/>
    </row>
    <row r="13" spans="1:14" x14ac:dyDescent="0.25">
      <c r="A13" s="1481"/>
      <c r="B13" s="603" t="s">
        <v>67</v>
      </c>
      <c r="C13" s="589" t="str">
        <f>IF('%Gmm'!$D$8="","",'%Gmm'!$D$8)</f>
        <v/>
      </c>
      <c r="D13" s="590" t="str">
        <f>IF('%Gmm'!$I$8="","",'%Gmm'!$I$8)</f>
        <v/>
      </c>
      <c r="E13" s="590" t="str">
        <f>IF('%Gmm'!$N$8="","",'%Gmm'!$N$8)</f>
        <v/>
      </c>
      <c r="F13" s="590" t="str">
        <f>IF('%Gmm'!$S$8="","",'%Gmm'!$S$8)</f>
        <v/>
      </c>
      <c r="G13" s="590" t="str">
        <f>IF('%Gmm'!$X$8="","",'%Gmm'!$X$8)</f>
        <v/>
      </c>
      <c r="H13" s="591" t="str">
        <f>IF('%Gmm'!$AC$8="","",'%Gmm'!$AC$8)</f>
        <v/>
      </c>
      <c r="I13" s="399"/>
      <c r="J13" s="399"/>
      <c r="K13" s="399"/>
      <c r="L13" s="399"/>
      <c r="M13" s="399"/>
      <c r="N13" s="399"/>
    </row>
    <row r="14" spans="1:14" ht="15.75" thickBot="1" x14ac:dyDescent="0.3">
      <c r="A14" s="1481"/>
      <c r="B14" s="604" t="s">
        <v>68</v>
      </c>
      <c r="C14" s="593" t="str">
        <f>IF('%Gmm'!$E$8="","",'%Gmm'!$E$8)</f>
        <v/>
      </c>
      <c r="D14" s="594" t="str">
        <f>IF('%Gmm'!$J$8="","",'%Gmm'!$J$8)</f>
        <v/>
      </c>
      <c r="E14" s="594" t="str">
        <f>IF('%Gmm'!$O$8="","",'%Gmm'!$O$8)</f>
        <v/>
      </c>
      <c r="F14" s="594" t="str">
        <f>IF('%Gmm'!$T$8="","",'%Gmm'!$T$8)</f>
        <v/>
      </c>
      <c r="G14" s="594" t="str">
        <f>IF('%Gmm'!$Y$8="","",'%Gmm'!$Y$8)</f>
        <v/>
      </c>
      <c r="H14" s="595" t="str">
        <f>IF('%Gmm'!AD$8="","",'%Gmm'!$AD$8)</f>
        <v/>
      </c>
      <c r="I14" s="399"/>
      <c r="J14" s="399"/>
      <c r="K14" s="399"/>
      <c r="L14" s="399"/>
      <c r="M14" s="399"/>
      <c r="N14" s="399"/>
    </row>
    <row r="15" spans="1:14" x14ac:dyDescent="0.25">
      <c r="A15" s="1481"/>
      <c r="B15" s="579" t="s">
        <v>60</v>
      </c>
      <c r="C15" s="589" t="str">
        <f t="shared" ref="C15:H15" si="1">IF(COUNT(C11:C14)&gt;0,AVERAGE(C11:C14),"")</f>
        <v/>
      </c>
      <c r="D15" s="590" t="str">
        <f t="shared" si="1"/>
        <v/>
      </c>
      <c r="E15" s="590" t="str">
        <f t="shared" si="1"/>
        <v/>
      </c>
      <c r="F15" s="590" t="str">
        <f t="shared" si="1"/>
        <v/>
      </c>
      <c r="G15" s="590" t="str">
        <f t="shared" si="1"/>
        <v/>
      </c>
      <c r="H15" s="591" t="str">
        <f t="shared" si="1"/>
        <v/>
      </c>
      <c r="I15" s="399"/>
      <c r="J15" s="399"/>
      <c r="K15" s="399"/>
      <c r="L15" s="399"/>
      <c r="M15" s="399"/>
      <c r="N15" s="399"/>
    </row>
    <row r="16" spans="1:14" x14ac:dyDescent="0.25">
      <c r="A16" s="1481"/>
      <c r="B16" s="582" t="s">
        <v>57</v>
      </c>
      <c r="C16" s="589" t="str">
        <f t="shared" ref="C16:H16" si="2">IF(COUNT(C11:C14)&gt;1,STDEV(C11:C14),"")</f>
        <v/>
      </c>
      <c r="D16" s="590" t="str">
        <f t="shared" si="2"/>
        <v/>
      </c>
      <c r="E16" s="590" t="str">
        <f t="shared" si="2"/>
        <v/>
      </c>
      <c r="F16" s="590" t="str">
        <f t="shared" si="2"/>
        <v/>
      </c>
      <c r="G16" s="590" t="str">
        <f t="shared" si="2"/>
        <v/>
      </c>
      <c r="H16" s="591" t="str">
        <f t="shared" si="2"/>
        <v/>
      </c>
      <c r="I16" s="399"/>
      <c r="J16" s="399"/>
      <c r="K16" s="399"/>
      <c r="L16" s="399"/>
      <c r="M16" s="399"/>
      <c r="N16" s="399"/>
    </row>
    <row r="17" spans="1:14" x14ac:dyDescent="0.25">
      <c r="A17" s="1481"/>
      <c r="B17" s="582" t="s">
        <v>58</v>
      </c>
      <c r="C17" s="589" t="str">
        <f t="shared" ref="C17:H17" si="3">IF(OR(C16="",C16=0),"",100*C16/C15)</f>
        <v/>
      </c>
      <c r="D17" s="590" t="str">
        <f t="shared" si="3"/>
        <v/>
      </c>
      <c r="E17" s="590" t="str">
        <f t="shared" si="3"/>
        <v/>
      </c>
      <c r="F17" s="590" t="str">
        <f t="shared" si="3"/>
        <v/>
      </c>
      <c r="G17" s="590" t="str">
        <f t="shared" si="3"/>
        <v/>
      </c>
      <c r="H17" s="591" t="str">
        <f t="shared" si="3"/>
        <v/>
      </c>
      <c r="I17" s="399"/>
      <c r="J17" s="399"/>
      <c r="K17" s="399"/>
      <c r="L17" s="399"/>
      <c r="M17" s="399"/>
      <c r="N17" s="399"/>
    </row>
    <row r="18" spans="1:14" ht="15.75" thickBot="1" x14ac:dyDescent="0.3">
      <c r="A18" s="1482"/>
      <c r="B18" s="592" t="s">
        <v>59</v>
      </c>
      <c r="C18" s="593" t="str">
        <f t="shared" ref="C18:H18" si="4">IF(OR(C16="",C16=0),"",CONFIDENCE(0.05,C16,4))</f>
        <v/>
      </c>
      <c r="D18" s="594" t="str">
        <f t="shared" si="4"/>
        <v/>
      </c>
      <c r="E18" s="594" t="str">
        <f t="shared" si="4"/>
        <v/>
      </c>
      <c r="F18" s="594" t="str">
        <f t="shared" si="4"/>
        <v/>
      </c>
      <c r="G18" s="594" t="str">
        <f t="shared" si="4"/>
        <v/>
      </c>
      <c r="H18" s="595" t="str">
        <f t="shared" si="4"/>
        <v/>
      </c>
      <c r="I18" s="399"/>
      <c r="J18" s="399"/>
      <c r="K18" s="399"/>
      <c r="L18" s="399"/>
      <c r="M18" s="399"/>
      <c r="N18" s="399"/>
    </row>
    <row r="19" spans="1:14" x14ac:dyDescent="0.25">
      <c r="A19" s="596"/>
      <c r="B19" s="597"/>
      <c r="C19" s="399"/>
      <c r="D19" s="399"/>
      <c r="E19" s="399"/>
      <c r="F19" s="399"/>
      <c r="G19" s="399"/>
      <c r="H19" s="399"/>
      <c r="I19" s="399"/>
      <c r="J19" s="399"/>
      <c r="K19" s="399"/>
      <c r="L19" s="399"/>
      <c r="M19" s="399"/>
      <c r="N19" s="399"/>
    </row>
    <row r="20" spans="1:14" ht="15.75" thickBot="1" x14ac:dyDescent="0.3">
      <c r="A20" s="605"/>
      <c r="B20" s="605"/>
      <c r="C20" s="411"/>
      <c r="D20" s="411"/>
      <c r="E20" s="411"/>
      <c r="F20" s="411"/>
      <c r="G20" s="411"/>
      <c r="H20" s="411"/>
      <c r="I20" s="411"/>
      <c r="J20" s="411"/>
      <c r="K20" s="411"/>
      <c r="L20" s="411"/>
      <c r="M20" s="411"/>
      <c r="N20" s="411"/>
    </row>
    <row r="21" spans="1:14" x14ac:dyDescent="0.25">
      <c r="A21" s="596"/>
      <c r="B21" s="597"/>
      <c r="C21" s="399"/>
      <c r="D21" s="399"/>
      <c r="E21" s="399"/>
      <c r="F21" s="399"/>
      <c r="G21" s="399"/>
      <c r="H21" s="399"/>
      <c r="I21" s="399"/>
      <c r="J21" s="399"/>
      <c r="K21" s="399"/>
      <c r="L21" s="399"/>
      <c r="M21" s="399"/>
      <c r="N21" s="399"/>
    </row>
    <row r="22" spans="1:14" ht="15.75" thickBot="1" x14ac:dyDescent="0.3">
      <c r="A22" s="596"/>
      <c r="B22" s="597"/>
      <c r="C22" s="399"/>
      <c r="D22" s="399"/>
      <c r="E22" s="399"/>
      <c r="F22" s="399"/>
      <c r="G22" s="399"/>
      <c r="H22" s="399"/>
      <c r="I22" s="399"/>
      <c r="J22" s="399"/>
      <c r="K22" s="399"/>
      <c r="L22" s="399"/>
      <c r="M22" s="399"/>
      <c r="N22" s="399"/>
    </row>
    <row r="23" spans="1:14" x14ac:dyDescent="0.25">
      <c r="A23" s="1480" t="s">
        <v>101</v>
      </c>
      <c r="B23" s="599" t="s">
        <v>65</v>
      </c>
      <c r="C23" s="606" t="str">
        <f>IF('%Gmm'!$B$9="","",'%Gmm'!$B$9)</f>
        <v/>
      </c>
      <c r="D23" s="607" t="str">
        <f>IF('%Gmm'!$G$9="","",'%Gmm'!$G$9)</f>
        <v/>
      </c>
      <c r="E23" s="607" t="str">
        <f>IF('%Gmm'!$L$9="","",'%Gmm'!$L$9)</f>
        <v/>
      </c>
      <c r="F23" s="607" t="str">
        <f>IF('%Gmm'!$Q$9="","",'%Gmm'!$Q$9)</f>
        <v/>
      </c>
      <c r="G23" s="607" t="str">
        <f>IF('%Gmm'!$V$9="","",'%Gmm'!$V$9)</f>
        <v/>
      </c>
      <c r="H23" s="623" t="str">
        <f>IF('%Gmm'!$AA$9="","",'%Gmm'!$AA$9)</f>
        <v/>
      </c>
      <c r="I23" s="399"/>
      <c r="J23" s="399"/>
      <c r="K23" s="399"/>
      <c r="L23" s="399"/>
      <c r="M23" s="399"/>
      <c r="N23" s="399"/>
    </row>
    <row r="24" spans="1:14" x14ac:dyDescent="0.25">
      <c r="A24" s="1481"/>
      <c r="B24" s="603" t="s">
        <v>66</v>
      </c>
      <c r="C24" s="608" t="str">
        <f>IF('%Gmm'!$C$9="","",'%Gmm'!$C$9)</f>
        <v/>
      </c>
      <c r="D24" s="609" t="str">
        <f>IF('%Gmm'!$H$9="","",'%Gmm'!$H$9)</f>
        <v/>
      </c>
      <c r="E24" s="609" t="str">
        <f>IF('%Gmm'!$M$9="","",'%Gmm'!$M$9)</f>
        <v/>
      </c>
      <c r="F24" s="609" t="str">
        <f>IF('%Gmm'!$R$9="","",'%Gmm'!$R$9)</f>
        <v/>
      </c>
      <c r="G24" s="609" t="str">
        <f>IF('%Gmm'!$W$9="","",'%Gmm'!$W$9)</f>
        <v/>
      </c>
      <c r="H24" s="624" t="str">
        <f>IF('%Gmm'!$AB$9="","",'%Gmm'!$AB$9)</f>
        <v/>
      </c>
      <c r="I24" s="399"/>
      <c r="J24" s="399"/>
      <c r="K24" s="399"/>
      <c r="L24" s="399"/>
      <c r="M24" s="399"/>
      <c r="N24" s="399"/>
    </row>
    <row r="25" spans="1:14" x14ac:dyDescent="0.25">
      <c r="A25" s="1481"/>
      <c r="B25" s="603" t="s">
        <v>67</v>
      </c>
      <c r="C25" s="608" t="str">
        <f>IF('%Gmm'!$D$9="","",'%Gmm'!$D$9)</f>
        <v/>
      </c>
      <c r="D25" s="609" t="str">
        <f>IF('%Gmm'!$I$9="","",'%Gmm'!$I$9)</f>
        <v/>
      </c>
      <c r="E25" s="609" t="str">
        <f>IF('%Gmm'!$N$9="","",'%Gmm'!$N$9)</f>
        <v/>
      </c>
      <c r="F25" s="609" t="str">
        <f>IF('%Gmm'!$S$9="","",'%Gmm'!$S$9)</f>
        <v/>
      </c>
      <c r="G25" s="609" t="str">
        <f>IF('%Gmm'!$X$9="","",'%Gmm'!$X$9)</f>
        <v/>
      </c>
      <c r="H25" s="624" t="str">
        <f>IF('%Gmm'!$AC$9="","",'%Gmm'!$AC$9)</f>
        <v/>
      </c>
      <c r="I25" s="399"/>
      <c r="J25" s="399"/>
      <c r="K25" s="399"/>
      <c r="L25" s="399"/>
      <c r="M25" s="399"/>
      <c r="N25" s="399"/>
    </row>
    <row r="26" spans="1:14" ht="15.75" thickBot="1" x14ac:dyDescent="0.3">
      <c r="A26" s="1481"/>
      <c r="B26" s="604" t="s">
        <v>68</v>
      </c>
      <c r="C26" s="610" t="str">
        <f>IF('%Gmm'!$E$9="","",'%Gmm'!$E$9)</f>
        <v/>
      </c>
      <c r="D26" s="611" t="str">
        <f>IF('%Gmm'!$J$9="","",'%Gmm'!$J$9)</f>
        <v/>
      </c>
      <c r="E26" s="611" t="str">
        <f>IF('%Gmm'!$O$9="","",'%Gmm'!$O$9)</f>
        <v/>
      </c>
      <c r="F26" s="611" t="str">
        <f>IF('%Gmm'!$T$9="","",'%Gmm'!$T$9)</f>
        <v/>
      </c>
      <c r="G26" s="611" t="str">
        <f>IF('%Gmm'!$Y$9="","",'%Gmm'!$Y$9)</f>
        <v/>
      </c>
      <c r="H26" s="625" t="str">
        <f>IF('%Gmm'!AD$9="","",'%Gmm'!$AD$9)</f>
        <v/>
      </c>
      <c r="I26" s="399"/>
      <c r="J26" s="399"/>
      <c r="K26" s="399"/>
      <c r="L26" s="399"/>
      <c r="M26" s="399"/>
      <c r="N26" s="399"/>
    </row>
    <row r="27" spans="1:14" x14ac:dyDescent="0.25">
      <c r="A27" s="1481"/>
      <c r="B27" s="579" t="s">
        <v>60</v>
      </c>
      <c r="C27" s="608" t="str">
        <f t="shared" ref="C27:H27" si="5">IF(COUNT(C23:C26)&gt;0,AVERAGE(C23:C26),"")</f>
        <v/>
      </c>
      <c r="D27" s="609" t="str">
        <f t="shared" si="5"/>
        <v/>
      </c>
      <c r="E27" s="609" t="str">
        <f t="shared" si="5"/>
        <v/>
      </c>
      <c r="F27" s="609" t="str">
        <f t="shared" si="5"/>
        <v/>
      </c>
      <c r="G27" s="609" t="str">
        <f t="shared" si="5"/>
        <v/>
      </c>
      <c r="H27" s="624" t="str">
        <f t="shared" si="5"/>
        <v/>
      </c>
      <c r="I27" s="399"/>
      <c r="J27" s="399"/>
      <c r="K27" s="399"/>
      <c r="L27" s="399"/>
      <c r="M27" s="399"/>
      <c r="N27" s="399"/>
    </row>
    <row r="28" spans="1:14" x14ac:dyDescent="0.25">
      <c r="A28" s="1481"/>
      <c r="B28" s="582" t="s">
        <v>57</v>
      </c>
      <c r="C28" s="589" t="str">
        <f t="shared" ref="C28:H28" si="6">IF(COUNT(C23:C26)&gt;1,STDEV(C23:C26),"")</f>
        <v/>
      </c>
      <c r="D28" s="590" t="str">
        <f t="shared" si="6"/>
        <v/>
      </c>
      <c r="E28" s="590" t="str">
        <f t="shared" si="6"/>
        <v/>
      </c>
      <c r="F28" s="590" t="str">
        <f t="shared" si="6"/>
        <v/>
      </c>
      <c r="G28" s="590" t="str">
        <f t="shared" si="6"/>
        <v/>
      </c>
      <c r="H28" s="591" t="str">
        <f t="shared" si="6"/>
        <v/>
      </c>
      <c r="I28" s="399"/>
      <c r="J28" s="399"/>
      <c r="K28" s="399"/>
      <c r="L28" s="399"/>
      <c r="M28" s="399"/>
      <c r="N28" s="399"/>
    </row>
    <row r="29" spans="1:14" x14ac:dyDescent="0.25">
      <c r="A29" s="1481"/>
      <c r="B29" s="582" t="s">
        <v>58</v>
      </c>
      <c r="C29" s="589" t="str">
        <f t="shared" ref="C29:H29" si="7">IF(OR(C28="",C28=0),"",100*C28/C27)</f>
        <v/>
      </c>
      <c r="D29" s="590" t="str">
        <f t="shared" si="7"/>
        <v/>
      </c>
      <c r="E29" s="590" t="str">
        <f t="shared" si="7"/>
        <v/>
      </c>
      <c r="F29" s="590" t="str">
        <f t="shared" si="7"/>
        <v/>
      </c>
      <c r="G29" s="590" t="str">
        <f t="shared" si="7"/>
        <v/>
      </c>
      <c r="H29" s="591" t="str">
        <f t="shared" si="7"/>
        <v/>
      </c>
      <c r="I29" s="399"/>
      <c r="J29" s="399"/>
      <c r="K29" s="399"/>
      <c r="L29" s="399"/>
      <c r="M29" s="399"/>
      <c r="N29" s="399"/>
    </row>
    <row r="30" spans="1:14" ht="14.45" customHeight="1" thickBot="1" x14ac:dyDescent="0.3">
      <c r="A30" s="1482"/>
      <c r="B30" s="592" t="s">
        <v>59</v>
      </c>
      <c r="C30" s="593" t="str">
        <f t="shared" ref="C30:H30" si="8">IF(OR(C28="",C28=0),"",CONFIDENCE(0.05,C28,4))</f>
        <v/>
      </c>
      <c r="D30" s="594" t="str">
        <f t="shared" si="8"/>
        <v/>
      </c>
      <c r="E30" s="594" t="str">
        <f t="shared" si="8"/>
        <v/>
      </c>
      <c r="F30" s="594" t="str">
        <f t="shared" si="8"/>
        <v/>
      </c>
      <c r="G30" s="594" t="str">
        <f t="shared" si="8"/>
        <v/>
      </c>
      <c r="H30" s="595" t="str">
        <f t="shared" si="8"/>
        <v/>
      </c>
      <c r="I30" s="399"/>
      <c r="J30" s="399"/>
      <c r="K30" s="399"/>
      <c r="L30" s="399"/>
      <c r="M30" s="399"/>
      <c r="N30" s="399"/>
    </row>
    <row r="31" spans="1:14" x14ac:dyDescent="0.25">
      <c r="A31" s="596"/>
      <c r="B31" s="597"/>
      <c r="C31" s="399"/>
      <c r="D31" s="399"/>
      <c r="E31" s="399"/>
      <c r="F31" s="399"/>
      <c r="G31" s="399"/>
      <c r="H31" s="399"/>
      <c r="I31" s="399"/>
      <c r="J31" s="399"/>
      <c r="K31" s="399"/>
      <c r="L31" s="399"/>
      <c r="M31" s="399"/>
      <c r="N31" s="399"/>
    </row>
    <row r="32" spans="1:14" ht="15.75" thickBot="1" x14ac:dyDescent="0.3">
      <c r="A32" s="605"/>
      <c r="B32" s="605"/>
      <c r="C32" s="411"/>
      <c r="D32" s="411"/>
      <c r="E32" s="411"/>
      <c r="F32" s="411"/>
      <c r="G32" s="411"/>
      <c r="H32" s="411"/>
      <c r="I32" s="411"/>
      <c r="J32" s="411"/>
      <c r="K32" s="411"/>
      <c r="L32" s="411"/>
      <c r="M32" s="411"/>
      <c r="N32" s="411"/>
    </row>
    <row r="33" spans="1:14" x14ac:dyDescent="0.25">
      <c r="A33" s="596"/>
      <c r="B33" s="597"/>
      <c r="C33" s="399"/>
      <c r="D33" s="399"/>
      <c r="E33" s="399"/>
      <c r="F33" s="399"/>
      <c r="G33" s="399"/>
      <c r="H33" s="399"/>
      <c r="I33" s="399"/>
      <c r="J33" s="399"/>
      <c r="K33" s="399"/>
      <c r="L33" s="399"/>
      <c r="M33" s="399"/>
      <c r="N33" s="399"/>
    </row>
    <row r="34" spans="1:14" ht="14.45" customHeight="1" thickBot="1" x14ac:dyDescent="0.3">
      <c r="A34" s="596"/>
      <c r="B34" s="597"/>
      <c r="C34" s="399"/>
      <c r="D34" s="399"/>
      <c r="E34" s="399"/>
      <c r="F34" s="399"/>
      <c r="G34" s="399"/>
      <c r="H34" s="399"/>
      <c r="I34" s="399"/>
      <c r="J34" s="399"/>
      <c r="K34" s="399"/>
      <c r="L34" s="399"/>
      <c r="M34" s="399"/>
      <c r="N34" s="399"/>
    </row>
    <row r="35" spans="1:14" ht="16.899999999999999" customHeight="1" x14ac:dyDescent="0.25">
      <c r="A35" s="1483" t="s">
        <v>112</v>
      </c>
      <c r="B35" s="599" t="s">
        <v>65</v>
      </c>
      <c r="C35" s="612" t="str">
        <f>IF('%Gmm'!B6="","",'%Gmm'!B6)</f>
        <v/>
      </c>
      <c r="D35" s="613" t="str">
        <f>IF('%Gmm'!G6="","",'%Gmm'!G6)</f>
        <v/>
      </c>
      <c r="E35" s="613" t="str">
        <f>IF('%Gmm'!L6="","",'%Gmm'!L6)</f>
        <v/>
      </c>
      <c r="F35" s="613" t="str">
        <f>IF('%Gmm'!Q6="","",'%Gmm'!Q6)</f>
        <v/>
      </c>
      <c r="G35" s="613" t="str">
        <f>IF('%Gmm'!V6=0,"",'%Gmm'!V6)</f>
        <v/>
      </c>
      <c r="H35" s="614" t="str">
        <f>IF('%Gmm'!$AA$6=0,"",'%Gmm'!$AA$6)</f>
        <v/>
      </c>
      <c r="I35" s="399"/>
      <c r="J35" s="399"/>
      <c r="K35" s="399"/>
      <c r="L35" s="399"/>
      <c r="M35" s="399"/>
      <c r="N35" s="399"/>
    </row>
    <row r="36" spans="1:14" x14ac:dyDescent="0.25">
      <c r="A36" s="1484"/>
      <c r="B36" s="603" t="s">
        <v>66</v>
      </c>
      <c r="C36" s="615" t="str">
        <f>IF('%Gmm'!C6="","",'%Gmm'!C6)</f>
        <v/>
      </c>
      <c r="D36" s="616" t="str">
        <f>IF('%Gmm'!H6="","",'%Gmm'!H6)</f>
        <v/>
      </c>
      <c r="E36" s="616" t="str">
        <f>IF('%Gmm'!M6="","",'%Gmm'!M6)</f>
        <v/>
      </c>
      <c r="F36" s="616" t="str">
        <f>IF('%Gmm'!R6="","",'%Gmm'!R6)</f>
        <v/>
      </c>
      <c r="G36" s="616" t="str">
        <f>IF('%Gmm'!W6="","",'%Gmm'!W6)</f>
        <v/>
      </c>
      <c r="H36" s="617" t="str">
        <f>IF('%Gmm'!$AB$6="","",'%Gmm'!$AB$6)</f>
        <v/>
      </c>
      <c r="I36" s="399"/>
      <c r="J36" s="399"/>
      <c r="K36" s="399"/>
      <c r="L36" s="399"/>
      <c r="M36" s="399"/>
      <c r="N36" s="399"/>
    </row>
    <row r="37" spans="1:14" x14ac:dyDescent="0.25">
      <c r="A37" s="1484"/>
      <c r="B37" s="603" t="s">
        <v>67</v>
      </c>
      <c r="C37" s="583" t="str">
        <f>IF('%Gmm'!D6="","",'%Gmm'!D6)</f>
        <v/>
      </c>
      <c r="D37" s="616" t="str">
        <f>IF('%Gmm'!I6="","",'%Gmm'!I6)</f>
        <v/>
      </c>
      <c r="E37" s="616" t="str">
        <f>IF('%Gmm'!N6="","",'%Gmm'!N6)</f>
        <v/>
      </c>
      <c r="F37" s="616" t="str">
        <f>IF('%Gmm'!S6="","",'%Gmm'!S6)</f>
        <v/>
      </c>
      <c r="G37" s="616" t="str">
        <f>IF('%Gmm'!X6="","",'%Gmm'!X6)</f>
        <v/>
      </c>
      <c r="H37" s="617" t="str">
        <f>IF('%Gmm'!$AC$6="","",'%Gmm'!$AC$6)</f>
        <v/>
      </c>
      <c r="I37" s="399"/>
      <c r="J37" s="399"/>
      <c r="K37" s="399"/>
      <c r="L37" s="399"/>
      <c r="M37" s="399"/>
      <c r="N37" s="399"/>
    </row>
    <row r="38" spans="1:14" ht="15.75" thickBot="1" x14ac:dyDescent="0.3">
      <c r="A38" s="1484"/>
      <c r="B38" s="604" t="s">
        <v>68</v>
      </c>
      <c r="C38" s="618" t="str">
        <f>IF('%Gmm'!E6="","",'%Gmm'!E6)</f>
        <v/>
      </c>
      <c r="D38" s="619" t="str">
        <f>IF('%Gmm'!J6="","",'%Gmm'!J6)</f>
        <v/>
      </c>
      <c r="E38" s="619" t="str">
        <f>IF('%Gmm'!O6="","",'%Gmm'!O6)</f>
        <v/>
      </c>
      <c r="F38" s="619" t="str">
        <f>IF('%Gmm'!T6="","",'%Gmm'!T6)</f>
        <v/>
      </c>
      <c r="G38" s="619" t="str">
        <f>IF('%Gmm'!Y6="","",'%Gmm'!Y6)</f>
        <v/>
      </c>
      <c r="H38" s="620" t="str">
        <f>IF('%Gmm'!$AD$6="","",'%Gmm'!$AD$6)</f>
        <v/>
      </c>
      <c r="I38" s="399"/>
      <c r="J38" s="399"/>
      <c r="K38" s="399"/>
      <c r="L38" s="399"/>
      <c r="M38" s="399"/>
      <c r="N38" s="399"/>
    </row>
    <row r="39" spans="1:14" x14ac:dyDescent="0.25">
      <c r="A39" s="1484"/>
      <c r="B39" s="579" t="s">
        <v>60</v>
      </c>
      <c r="C39" s="580" t="str">
        <f t="shared" ref="C39:H39" si="9">IF(COUNT(C35:C38)&gt;0,AVERAGE(C35:C38),"")</f>
        <v/>
      </c>
      <c r="D39" s="581" t="str">
        <f t="shared" si="9"/>
        <v/>
      </c>
      <c r="E39" s="581" t="str">
        <f t="shared" si="9"/>
        <v/>
      </c>
      <c r="F39" s="581" t="str">
        <f t="shared" si="9"/>
        <v/>
      </c>
      <c r="G39" s="581" t="str">
        <f t="shared" si="9"/>
        <v/>
      </c>
      <c r="H39" s="614" t="str">
        <f t="shared" si="9"/>
        <v/>
      </c>
      <c r="I39" s="399"/>
      <c r="J39" s="399"/>
      <c r="K39" s="399"/>
      <c r="L39" s="399"/>
      <c r="M39" s="399"/>
      <c r="N39" s="399"/>
    </row>
    <row r="40" spans="1:14" x14ac:dyDescent="0.25">
      <c r="A40" s="1484"/>
      <c r="B40" s="582" t="s">
        <v>57</v>
      </c>
      <c r="C40" s="583" t="str">
        <f t="shared" ref="C40:H40" si="10">IF(COUNT(C35:C38)&gt;1,STDEV(C35:C38),"")</f>
        <v/>
      </c>
      <c r="D40" s="584" t="str">
        <f t="shared" si="10"/>
        <v/>
      </c>
      <c r="E40" s="584" t="str">
        <f t="shared" si="10"/>
        <v/>
      </c>
      <c r="F40" s="584" t="str">
        <f t="shared" si="10"/>
        <v/>
      </c>
      <c r="G40" s="584" t="str">
        <f t="shared" si="10"/>
        <v/>
      </c>
      <c r="H40" s="617" t="str">
        <f t="shared" si="10"/>
        <v/>
      </c>
      <c r="I40" s="399"/>
      <c r="J40" s="399"/>
      <c r="K40" s="399"/>
      <c r="L40" s="399"/>
      <c r="M40" s="399"/>
      <c r="N40" s="399"/>
    </row>
    <row r="41" spans="1:14" x14ac:dyDescent="0.25">
      <c r="A41" s="1484"/>
      <c r="B41" s="582" t="s">
        <v>58</v>
      </c>
      <c r="C41" s="583" t="str">
        <f t="shared" ref="C41:H41" si="11">IF(OR(C40="",C40=0),"",100*C40/C39)</f>
        <v/>
      </c>
      <c r="D41" s="584" t="str">
        <f t="shared" si="11"/>
        <v/>
      </c>
      <c r="E41" s="584" t="str">
        <f t="shared" si="11"/>
        <v/>
      </c>
      <c r="F41" s="584" t="str">
        <f t="shared" si="11"/>
        <v/>
      </c>
      <c r="G41" s="584" t="str">
        <f t="shared" si="11"/>
        <v/>
      </c>
      <c r="H41" s="617" t="str">
        <f t="shared" si="11"/>
        <v/>
      </c>
      <c r="I41" s="399"/>
      <c r="J41" s="399"/>
      <c r="K41" s="399"/>
      <c r="L41" s="399"/>
      <c r="M41" s="399"/>
      <c r="N41" s="399"/>
    </row>
    <row r="42" spans="1:14" ht="15.75" thickBot="1" x14ac:dyDescent="0.3">
      <c r="A42" s="1485"/>
      <c r="B42" s="592" t="s">
        <v>59</v>
      </c>
      <c r="C42" s="618" t="str">
        <f t="shared" ref="C42:H42" si="12">IF(OR(C40="",C40=0),"",CONFIDENCE(0.05,C40,4))</f>
        <v/>
      </c>
      <c r="D42" s="621" t="str">
        <f t="shared" si="12"/>
        <v/>
      </c>
      <c r="E42" s="621" t="str">
        <f t="shared" si="12"/>
        <v/>
      </c>
      <c r="F42" s="621" t="str">
        <f t="shared" si="12"/>
        <v/>
      </c>
      <c r="G42" s="621" t="str">
        <f t="shared" si="12"/>
        <v/>
      </c>
      <c r="H42" s="620" t="str">
        <f t="shared" si="12"/>
        <v/>
      </c>
      <c r="I42" s="399"/>
      <c r="J42" s="399"/>
      <c r="K42" s="399"/>
      <c r="L42" s="399"/>
      <c r="M42" s="399"/>
      <c r="N42" s="399"/>
    </row>
    <row r="43" spans="1:14" x14ac:dyDescent="0.25">
      <c r="A43" s="596"/>
      <c r="B43" s="622"/>
      <c r="C43" s="596"/>
      <c r="D43" s="596"/>
      <c r="E43" s="596"/>
      <c r="F43" s="596"/>
      <c r="G43" s="596"/>
      <c r="H43" s="399"/>
      <c r="I43" s="399"/>
      <c r="J43" s="399"/>
      <c r="K43" s="399"/>
      <c r="L43" s="399"/>
      <c r="M43" s="399"/>
      <c r="N43" s="399"/>
    </row>
    <row r="44" spans="1:14" ht="15.75" thickBot="1" x14ac:dyDescent="0.3">
      <c r="A44" s="605"/>
      <c r="B44" s="605"/>
      <c r="C44" s="411"/>
      <c r="D44" s="411"/>
      <c r="E44" s="411"/>
      <c r="F44" s="411"/>
      <c r="G44" s="411"/>
      <c r="H44" s="411"/>
      <c r="I44" s="411"/>
      <c r="J44" s="411"/>
      <c r="K44" s="411"/>
      <c r="L44" s="411"/>
      <c r="M44" s="411"/>
      <c r="N44" s="411"/>
    </row>
    <row r="45" spans="1:14" x14ac:dyDescent="0.25">
      <c r="A45" s="596"/>
      <c r="B45" s="597"/>
      <c r="C45" s="399"/>
      <c r="D45" s="399"/>
      <c r="E45" s="399"/>
      <c r="F45" s="399"/>
      <c r="G45" s="399"/>
      <c r="H45" s="399"/>
      <c r="I45" s="399"/>
      <c r="J45" s="399"/>
      <c r="K45" s="399"/>
      <c r="L45" s="399"/>
      <c r="M45" s="399"/>
      <c r="N45" s="399"/>
    </row>
    <row r="46" spans="1:14" ht="15.75" thickBot="1" x14ac:dyDescent="0.3">
      <c r="A46" s="596"/>
      <c r="B46" s="597"/>
      <c r="C46" s="399"/>
      <c r="D46" s="399"/>
      <c r="E46" s="399"/>
      <c r="F46" s="399"/>
      <c r="G46" s="399"/>
      <c r="H46" s="399"/>
      <c r="I46" s="399"/>
      <c r="J46" s="399"/>
      <c r="K46" s="399"/>
      <c r="L46" s="399"/>
      <c r="M46" s="399"/>
      <c r="N46" s="399"/>
    </row>
    <row r="47" spans="1:14" ht="14.45" customHeight="1" x14ac:dyDescent="0.25">
      <c r="A47" s="1480" t="s">
        <v>109</v>
      </c>
      <c r="B47" s="599" t="s">
        <v>65</v>
      </c>
      <c r="C47" s="606" t="str">
        <f>IF('Resistive Effort (w)'!$B$8="","",'Resistive Effort (w)'!$B$8)</f>
        <v/>
      </c>
      <c r="D47" s="607" t="str">
        <f>IF('Resistive Effort (w)'!$G$8="","",'Resistive Effort (w)'!$G$8)</f>
        <v/>
      </c>
      <c r="E47" s="607" t="str">
        <f>IF('Resistive Effort (w)'!$L$8="","",'Resistive Effort (w)'!$L$8)</f>
        <v/>
      </c>
      <c r="F47" s="607" t="str">
        <f>IF('Resistive Effort (w)'!$Q$8="","",'Resistive Effort (w)'!$Q$8)</f>
        <v/>
      </c>
      <c r="G47" s="607" t="str">
        <f>IF('Resistive Effort (w)'!$V$8="","",'Resistive Effort (w)'!$V$8)</f>
        <v/>
      </c>
      <c r="H47" s="623" t="str">
        <f>IF('Resistive Effort (w)'!$AA$8="","",'Resistive Effort (w)'!$AA$8)</f>
        <v/>
      </c>
      <c r="I47" s="399"/>
      <c r="J47" s="399"/>
      <c r="K47" s="399"/>
      <c r="L47" s="399"/>
      <c r="M47" s="399"/>
      <c r="N47" s="399"/>
    </row>
    <row r="48" spans="1:14" x14ac:dyDescent="0.25">
      <c r="A48" s="1481"/>
      <c r="B48" s="603" t="s">
        <v>66</v>
      </c>
      <c r="C48" s="608" t="str">
        <f>IF('Resistive Effort (w)'!$C$8="","",'Resistive Effort (w)'!$C$8)</f>
        <v/>
      </c>
      <c r="D48" s="609" t="str">
        <f>IF('Resistive Effort (w)'!$H$8="","",'Resistive Effort (w)'!$H$8)</f>
        <v/>
      </c>
      <c r="E48" s="609" t="str">
        <f>IF('Resistive Effort (w)'!$M$8="","",'Resistive Effort (w)'!$M$8)</f>
        <v/>
      </c>
      <c r="F48" s="609" t="str">
        <f>IF('Resistive Effort (w)'!$R$8="","",'Resistive Effort (w)'!$R$8)</f>
        <v/>
      </c>
      <c r="G48" s="609" t="str">
        <f>IF('Resistive Effort (w)'!$W$8="","",'Resistive Effort (w)'!$W$8)</f>
        <v/>
      </c>
      <c r="H48" s="624" t="str">
        <f>IF('Resistive Effort (w)'!$AB$8="","",'Resistive Effort (w)'!$AB$8)</f>
        <v/>
      </c>
      <c r="I48" s="399"/>
      <c r="J48" s="399"/>
      <c r="K48" s="399"/>
      <c r="L48" s="399"/>
      <c r="M48" s="399"/>
      <c r="N48" s="399"/>
    </row>
    <row r="49" spans="1:14" x14ac:dyDescent="0.25">
      <c r="A49" s="1481"/>
      <c r="B49" s="603" t="s">
        <v>67</v>
      </c>
      <c r="C49" s="608" t="str">
        <f>IF('Resistive Effort (w)'!$D$8="","",'Resistive Effort (w)'!$D$8)</f>
        <v/>
      </c>
      <c r="D49" s="609" t="str">
        <f>IF('Resistive Effort (w)'!$I$8="","",'Resistive Effort (w)'!$I$8)</f>
        <v/>
      </c>
      <c r="E49" s="609" t="str">
        <f>IF('Resistive Effort (w)'!$N$8="","",'Resistive Effort (w)'!$N$8)</f>
        <v/>
      </c>
      <c r="F49" s="609" t="str">
        <f>IF('Resistive Effort (w)'!$S$8="","",'Resistive Effort (w)'!$S$8)</f>
        <v/>
      </c>
      <c r="G49" s="609" t="str">
        <f>IF('Resistive Effort (w)'!$X$8="","",'Resistive Effort (w)'!$X$8)</f>
        <v/>
      </c>
      <c r="H49" s="624" t="str">
        <f>IF('Resistive Effort (w)'!$AC$8="","",'Resistive Effort (w)'!$AC$8)</f>
        <v/>
      </c>
      <c r="I49" s="399"/>
      <c r="J49" s="399"/>
      <c r="K49" s="399"/>
      <c r="L49" s="399"/>
      <c r="M49" s="399"/>
      <c r="N49" s="399"/>
    </row>
    <row r="50" spans="1:14" ht="15.75" thickBot="1" x14ac:dyDescent="0.3">
      <c r="A50" s="1481"/>
      <c r="B50" s="604" t="s">
        <v>68</v>
      </c>
      <c r="C50" s="610" t="str">
        <f>IF('Resistive Effort (w)'!$E$8="","",'Resistive Effort (w)'!$E$8)</f>
        <v/>
      </c>
      <c r="D50" s="611" t="str">
        <f>IF('Resistive Effort (w)'!$J$8="","",'Resistive Effort (w)'!$J$8)</f>
        <v/>
      </c>
      <c r="E50" s="611" t="str">
        <f>IF('Resistive Effort (w)'!$O$8="","",'Resistive Effort (w)'!$O$8)</f>
        <v/>
      </c>
      <c r="F50" s="611" t="str">
        <f>IF('Resistive Effort (w)'!$T$8="","",'Resistive Effort (w)'!$T$8)</f>
        <v/>
      </c>
      <c r="G50" s="611" t="str">
        <f>IF('Resistive Effort (w)'!$Y$8="","",'Resistive Effort (w)'!$Y$8)</f>
        <v/>
      </c>
      <c r="H50" s="625" t="str">
        <f>IF('Resistive Effort (w)'!$AD$8="","",'Resistive Effort (w)'!$AD$8)</f>
        <v/>
      </c>
      <c r="I50" s="399"/>
      <c r="J50" s="399"/>
      <c r="K50" s="399"/>
      <c r="L50" s="399"/>
      <c r="M50" s="399"/>
      <c r="N50" s="399"/>
    </row>
    <row r="51" spans="1:14" x14ac:dyDescent="0.25">
      <c r="A51" s="1481"/>
      <c r="B51" s="579" t="s">
        <v>60</v>
      </c>
      <c r="C51" s="608" t="str">
        <f t="shared" ref="C51:H51" si="13">IF(COUNT(C47:C50)&gt;0,AVERAGE(C47:C50),"")</f>
        <v/>
      </c>
      <c r="D51" s="609" t="str">
        <f t="shared" si="13"/>
        <v/>
      </c>
      <c r="E51" s="609" t="str">
        <f t="shared" si="13"/>
        <v/>
      </c>
      <c r="F51" s="609" t="str">
        <f t="shared" si="13"/>
        <v/>
      </c>
      <c r="G51" s="609" t="str">
        <f t="shared" si="13"/>
        <v/>
      </c>
      <c r="H51" s="624" t="str">
        <f t="shared" si="13"/>
        <v/>
      </c>
      <c r="I51" s="399"/>
      <c r="J51" s="399"/>
      <c r="K51" s="399"/>
      <c r="L51" s="399"/>
      <c r="M51" s="399"/>
      <c r="N51" s="399"/>
    </row>
    <row r="52" spans="1:14" x14ac:dyDescent="0.25">
      <c r="A52" s="1481"/>
      <c r="B52" s="582" t="s">
        <v>57</v>
      </c>
      <c r="C52" s="608" t="str">
        <f t="shared" ref="C52:H52" si="14">IF(COUNT(C47:C50)&gt;1,STDEV(C47:C50),"")</f>
        <v/>
      </c>
      <c r="D52" s="609" t="str">
        <f t="shared" si="14"/>
        <v/>
      </c>
      <c r="E52" s="609" t="str">
        <f t="shared" si="14"/>
        <v/>
      </c>
      <c r="F52" s="609" t="str">
        <f t="shared" si="14"/>
        <v/>
      </c>
      <c r="G52" s="609" t="str">
        <f t="shared" si="14"/>
        <v/>
      </c>
      <c r="H52" s="624" t="str">
        <f t="shared" si="14"/>
        <v/>
      </c>
      <c r="I52" s="399"/>
      <c r="J52" s="399"/>
      <c r="K52" s="399"/>
      <c r="L52" s="399"/>
      <c r="M52" s="399"/>
      <c r="N52" s="399"/>
    </row>
    <row r="53" spans="1:14" x14ac:dyDescent="0.25">
      <c r="A53" s="1481"/>
      <c r="B53" s="582" t="s">
        <v>58</v>
      </c>
      <c r="C53" s="608" t="str">
        <f t="shared" ref="C53:H53" si="15">IF(OR(C52="",C52=0),"",100*C52/C51)</f>
        <v/>
      </c>
      <c r="D53" s="609" t="str">
        <f t="shared" si="15"/>
        <v/>
      </c>
      <c r="E53" s="609" t="str">
        <f t="shared" si="15"/>
        <v/>
      </c>
      <c r="F53" s="609" t="str">
        <f t="shared" si="15"/>
        <v/>
      </c>
      <c r="G53" s="609" t="str">
        <f t="shared" si="15"/>
        <v/>
      </c>
      <c r="H53" s="624" t="str">
        <f t="shared" si="15"/>
        <v/>
      </c>
      <c r="I53" s="399"/>
      <c r="J53" s="399"/>
      <c r="K53" s="399"/>
      <c r="L53" s="399"/>
      <c r="M53" s="399"/>
      <c r="N53" s="399"/>
    </row>
    <row r="54" spans="1:14" ht="15.75" thickBot="1" x14ac:dyDescent="0.3">
      <c r="A54" s="1482"/>
      <c r="B54" s="592" t="s">
        <v>59</v>
      </c>
      <c r="C54" s="610" t="str">
        <f t="shared" ref="C54:H54" si="16">IF(OR(C52="",C52=0),"",CONFIDENCE(0.05,C52,4))</f>
        <v/>
      </c>
      <c r="D54" s="611" t="str">
        <f t="shared" si="16"/>
        <v/>
      </c>
      <c r="E54" s="611" t="str">
        <f t="shared" si="16"/>
        <v/>
      </c>
      <c r="F54" s="611" t="str">
        <f t="shared" si="16"/>
        <v/>
      </c>
      <c r="G54" s="611" t="str">
        <f t="shared" si="16"/>
        <v/>
      </c>
      <c r="H54" s="625" t="str">
        <f t="shared" si="16"/>
        <v/>
      </c>
      <c r="I54" s="399"/>
      <c r="J54" s="399"/>
      <c r="K54" s="399"/>
      <c r="L54" s="399"/>
      <c r="M54" s="399"/>
      <c r="N54" s="399"/>
    </row>
    <row r="55" spans="1:14" x14ac:dyDescent="0.25">
      <c r="A55" s="596"/>
      <c r="B55" s="622"/>
      <c r="C55" s="596"/>
      <c r="D55" s="596"/>
      <c r="E55" s="596"/>
      <c r="F55" s="596"/>
      <c r="G55" s="596"/>
      <c r="H55" s="399"/>
      <c r="I55" s="399"/>
      <c r="J55" s="399"/>
      <c r="K55" s="399"/>
      <c r="L55" s="399"/>
      <c r="M55" s="399"/>
      <c r="N55" s="399"/>
    </row>
    <row r="56" spans="1:14" ht="15.75" thickBot="1" x14ac:dyDescent="0.3">
      <c r="A56" s="605"/>
      <c r="B56" s="605"/>
      <c r="C56" s="411"/>
      <c r="D56" s="411"/>
      <c r="E56" s="411"/>
      <c r="F56" s="411"/>
      <c r="G56" s="411"/>
      <c r="H56" s="411"/>
      <c r="I56" s="411"/>
      <c r="J56" s="411"/>
      <c r="K56" s="411"/>
      <c r="L56" s="411"/>
      <c r="M56" s="411"/>
      <c r="N56" s="411"/>
    </row>
    <row r="57" spans="1:14" x14ac:dyDescent="0.25">
      <c r="A57" s="596"/>
      <c r="B57" s="597" t="str">
        <f>""</f>
        <v/>
      </c>
      <c r="C57" s="399"/>
      <c r="D57" s="399"/>
      <c r="E57" s="399"/>
      <c r="F57" s="399"/>
      <c r="G57" s="399"/>
      <c r="H57" s="399"/>
      <c r="I57" s="399"/>
      <c r="J57" s="399"/>
      <c r="K57" s="399"/>
      <c r="L57" s="399"/>
      <c r="M57" s="399"/>
      <c r="N57" s="399"/>
    </row>
    <row r="58" spans="1:14" ht="15.75" thickBot="1" x14ac:dyDescent="0.3">
      <c r="A58" s="596"/>
      <c r="B58" s="597"/>
      <c r="C58" s="399"/>
      <c r="D58" s="399"/>
      <c r="E58" s="399"/>
      <c r="F58" s="399"/>
      <c r="G58" s="399"/>
      <c r="H58" s="399"/>
      <c r="I58" s="399"/>
      <c r="J58" s="399"/>
      <c r="K58" s="399"/>
      <c r="L58" s="399"/>
      <c r="M58" s="399"/>
      <c r="N58" s="399"/>
    </row>
    <row r="59" spans="1:14" ht="13.9" customHeight="1" x14ac:dyDescent="0.25">
      <c r="A59" s="1480" t="s">
        <v>110</v>
      </c>
      <c r="B59" s="599" t="s">
        <v>65</v>
      </c>
      <c r="C59" s="606" t="str">
        <f>IF('Resistive Effort (w)'!$B$9="","",'Resistive Effort (w)'!$B$9)</f>
        <v/>
      </c>
      <c r="D59" s="607" t="str">
        <f>IF('Resistive Effort (w)'!$G$9="","",'Resistive Effort (w)'!$G$9)</f>
        <v/>
      </c>
      <c r="E59" s="607" t="str">
        <f>IF('Resistive Effort (w)'!$L$9="","",'Resistive Effort (w)'!$L$9)</f>
        <v/>
      </c>
      <c r="F59" s="607" t="str">
        <f>IF('Resistive Effort (w)'!$Q$9="","",'Resistive Effort (w)'!$Q$9)</f>
        <v/>
      </c>
      <c r="G59" s="607" t="str">
        <f>IF('Resistive Effort (w)'!$V$9="","",'Resistive Effort (w)'!$V$9)</f>
        <v/>
      </c>
      <c r="H59" s="623" t="str">
        <f>IF('Resistive Effort (w)'!$AA$9="","",'Resistive Effort (w)'!$AA$9)</f>
        <v/>
      </c>
      <c r="I59" s="399"/>
      <c r="J59" s="399"/>
      <c r="K59" s="399"/>
      <c r="L59" s="399"/>
      <c r="M59" s="399"/>
      <c r="N59" s="399"/>
    </row>
    <row r="60" spans="1:14" x14ac:dyDescent="0.25">
      <c r="A60" s="1481"/>
      <c r="B60" s="603" t="s">
        <v>66</v>
      </c>
      <c r="C60" s="608" t="str">
        <f>IF('Resistive Effort (w)'!$C$9="","",'Resistive Effort (w)'!$C$9)</f>
        <v/>
      </c>
      <c r="D60" s="609" t="str">
        <f>IF('Resistive Effort (w)'!$H$9="","",'Resistive Effort (w)'!$H$9)</f>
        <v/>
      </c>
      <c r="E60" s="609" t="str">
        <f>IF('Resistive Effort (w)'!$M$9="","",'Resistive Effort (w)'!$M$9)</f>
        <v/>
      </c>
      <c r="F60" s="609" t="str">
        <f>IF('Resistive Effort (w)'!$R$9="","",'Resistive Effort (w)'!$R$9)</f>
        <v/>
      </c>
      <c r="G60" s="609" t="str">
        <f>IF('Resistive Effort (w)'!$W$9="","",'Resistive Effort (w)'!$W$9)</f>
        <v/>
      </c>
      <c r="H60" s="624" t="str">
        <f>IF('Resistive Effort (w)'!$AB$9="","",'Resistive Effort (w)'!$AB$9)</f>
        <v/>
      </c>
      <c r="I60" s="399"/>
      <c r="J60" s="399"/>
      <c r="K60" s="399"/>
      <c r="L60" s="399"/>
      <c r="M60" s="399"/>
      <c r="N60" s="399"/>
    </row>
    <row r="61" spans="1:14" x14ac:dyDescent="0.25">
      <c r="A61" s="1481"/>
      <c r="B61" s="603" t="s">
        <v>67</v>
      </c>
      <c r="C61" s="608" t="str">
        <f>IF('Resistive Effort (w)'!$D$9="","",'Resistive Effort (w)'!$D$9)</f>
        <v/>
      </c>
      <c r="D61" s="609" t="str">
        <f>IF('Resistive Effort (w)'!$I$9="","",'Resistive Effort (w)'!$I$9)</f>
        <v/>
      </c>
      <c r="E61" s="609" t="str">
        <f>IF('Resistive Effort (w)'!$N$9="","",'Resistive Effort (w)'!$N$9)</f>
        <v/>
      </c>
      <c r="F61" s="609" t="str">
        <f>IF('Resistive Effort (w)'!$S$9="","",'Resistive Effort (w)'!$S$9)</f>
        <v/>
      </c>
      <c r="G61" s="609" t="str">
        <f>IF('Resistive Effort (w)'!$X$9="","",'Resistive Effort (w)'!$X$9)</f>
        <v/>
      </c>
      <c r="H61" s="624" t="str">
        <f>IF('Resistive Effort (w)'!$AC$9="","",'Resistive Effort (w)'!$AC$9)</f>
        <v/>
      </c>
      <c r="I61" s="399"/>
      <c r="J61" s="399"/>
      <c r="K61" s="399"/>
      <c r="L61" s="399"/>
      <c r="M61" s="399"/>
      <c r="N61" s="399"/>
    </row>
    <row r="62" spans="1:14" ht="15.75" thickBot="1" x14ac:dyDescent="0.3">
      <c r="A62" s="1481"/>
      <c r="B62" s="604" t="s">
        <v>68</v>
      </c>
      <c r="C62" s="610" t="str">
        <f>IF('Resistive Effort (w)'!$E$9="","",'Resistive Effort (w)'!$E$9)</f>
        <v/>
      </c>
      <c r="D62" s="611" t="str">
        <f>IF('Resistive Effort (w)'!$J$9="","",'Resistive Effort (w)'!$J$9)</f>
        <v/>
      </c>
      <c r="E62" s="611" t="str">
        <f>IF('Resistive Effort (w)'!$O$9="","",'Resistive Effort (w)'!$O$9)</f>
        <v/>
      </c>
      <c r="F62" s="611" t="str">
        <f>IF('Resistive Effort (w)'!$T$9="","",'Resistive Effort (w)'!$T$9)</f>
        <v/>
      </c>
      <c r="G62" s="611" t="str">
        <f>IF('Resistive Effort (w)'!$Y$9="","",'Resistive Effort (w)'!$Y$9)</f>
        <v/>
      </c>
      <c r="H62" s="625" t="str">
        <f>IF('Resistive Effort (w)'!$AD$9="","",'Resistive Effort (w)'!$AD$9)</f>
        <v/>
      </c>
      <c r="I62" s="399"/>
      <c r="J62" s="399"/>
      <c r="K62" s="399"/>
      <c r="L62" s="399"/>
      <c r="M62" s="399"/>
      <c r="N62" s="399"/>
    </row>
    <row r="63" spans="1:14" x14ac:dyDescent="0.25">
      <c r="A63" s="1481"/>
      <c r="B63" s="579" t="s">
        <v>60</v>
      </c>
      <c r="C63" s="608" t="str">
        <f t="shared" ref="C63:H63" si="17">IF(COUNT(C59:C62)&gt;0,AVERAGE(C59:C62),"")</f>
        <v/>
      </c>
      <c r="D63" s="609" t="str">
        <f t="shared" si="17"/>
        <v/>
      </c>
      <c r="E63" s="609" t="str">
        <f t="shared" si="17"/>
        <v/>
      </c>
      <c r="F63" s="609" t="str">
        <f t="shared" si="17"/>
        <v/>
      </c>
      <c r="G63" s="609" t="str">
        <f t="shared" si="17"/>
        <v/>
      </c>
      <c r="H63" s="624" t="str">
        <f t="shared" si="17"/>
        <v/>
      </c>
      <c r="I63" s="399"/>
      <c r="J63" s="399"/>
      <c r="K63" s="399"/>
      <c r="L63" s="399"/>
      <c r="M63" s="399"/>
      <c r="N63" s="399"/>
    </row>
    <row r="64" spans="1:14" x14ac:dyDescent="0.25">
      <c r="A64" s="1481"/>
      <c r="B64" s="582" t="s">
        <v>57</v>
      </c>
      <c r="C64" s="608" t="str">
        <f t="shared" ref="C64:H64" si="18">IF(COUNT(C59:C62)&gt;1,STDEV(C59:C62),"")</f>
        <v/>
      </c>
      <c r="D64" s="609" t="str">
        <f t="shared" si="18"/>
        <v/>
      </c>
      <c r="E64" s="609" t="str">
        <f t="shared" si="18"/>
        <v/>
      </c>
      <c r="F64" s="609" t="str">
        <f t="shared" si="18"/>
        <v/>
      </c>
      <c r="G64" s="609" t="str">
        <f t="shared" si="18"/>
        <v/>
      </c>
      <c r="H64" s="624" t="str">
        <f t="shared" si="18"/>
        <v/>
      </c>
      <c r="I64" s="399"/>
      <c r="J64" s="399"/>
      <c r="K64" s="399"/>
      <c r="L64" s="399"/>
      <c r="M64" s="399"/>
      <c r="N64" s="399"/>
    </row>
    <row r="65" spans="1:14" x14ac:dyDescent="0.25">
      <c r="A65" s="1481"/>
      <c r="B65" s="582" t="s">
        <v>58</v>
      </c>
      <c r="C65" s="608" t="str">
        <f t="shared" ref="C65:H65" si="19">IF(OR(C64="",C64=0),"",100*C64/C63)</f>
        <v/>
      </c>
      <c r="D65" s="609" t="str">
        <f t="shared" si="19"/>
        <v/>
      </c>
      <c r="E65" s="609" t="str">
        <f t="shared" si="19"/>
        <v/>
      </c>
      <c r="F65" s="609" t="str">
        <f t="shared" si="19"/>
        <v/>
      </c>
      <c r="G65" s="609" t="str">
        <f t="shared" si="19"/>
        <v/>
      </c>
      <c r="H65" s="624" t="str">
        <f t="shared" si="19"/>
        <v/>
      </c>
      <c r="I65" s="399"/>
      <c r="J65" s="399"/>
      <c r="K65" s="399"/>
      <c r="L65" s="399"/>
      <c r="M65" s="399"/>
      <c r="N65" s="399"/>
    </row>
    <row r="66" spans="1:14" ht="15.75" thickBot="1" x14ac:dyDescent="0.3">
      <c r="A66" s="1482"/>
      <c r="B66" s="592" t="s">
        <v>59</v>
      </c>
      <c r="C66" s="610" t="str">
        <f t="shared" ref="C66:H66" si="20">IF(OR(C64="",C64=0),"",CONFIDENCE(0.05,C64,4))</f>
        <v/>
      </c>
      <c r="D66" s="611" t="str">
        <f t="shared" si="20"/>
        <v/>
      </c>
      <c r="E66" s="611" t="str">
        <f t="shared" si="20"/>
        <v/>
      </c>
      <c r="F66" s="611" t="str">
        <f t="shared" si="20"/>
        <v/>
      </c>
      <c r="G66" s="611" t="str">
        <f t="shared" si="20"/>
        <v/>
      </c>
      <c r="H66" s="625" t="str">
        <f t="shared" si="20"/>
        <v/>
      </c>
      <c r="I66" s="399"/>
      <c r="J66" s="399"/>
      <c r="K66" s="399"/>
      <c r="L66" s="399"/>
      <c r="M66" s="399"/>
      <c r="N66" s="399"/>
    </row>
    <row r="67" spans="1:14" x14ac:dyDescent="0.25">
      <c r="A67" s="596"/>
      <c r="B67" s="622"/>
      <c r="C67" s="596"/>
      <c r="D67" s="596"/>
      <c r="E67" s="596"/>
      <c r="F67" s="596"/>
      <c r="G67" s="596"/>
      <c r="H67" s="596"/>
      <c r="I67" s="399"/>
      <c r="J67" s="399"/>
      <c r="K67" s="399"/>
      <c r="L67" s="399"/>
      <c r="M67" s="399"/>
      <c r="N67" s="399"/>
    </row>
    <row r="68" spans="1:14" ht="15.75" thickBot="1" x14ac:dyDescent="0.3">
      <c r="A68" s="605"/>
      <c r="B68" s="605"/>
      <c r="C68" s="411"/>
      <c r="D68" s="411"/>
      <c r="E68" s="411"/>
      <c r="F68" s="411"/>
      <c r="G68" s="411"/>
      <c r="H68" s="411"/>
      <c r="I68" s="411"/>
      <c r="J68" s="411"/>
      <c r="K68" s="411"/>
      <c r="L68" s="411"/>
      <c r="M68" s="411"/>
      <c r="N68" s="411"/>
    </row>
    <row r="69" spans="1:14" x14ac:dyDescent="0.25">
      <c r="A69" s="596"/>
      <c r="B69" s="597"/>
      <c r="C69" s="399"/>
      <c r="D69" s="399"/>
      <c r="E69" s="399"/>
      <c r="F69" s="399"/>
      <c r="G69" s="399"/>
      <c r="H69" s="399"/>
      <c r="I69" s="399"/>
      <c r="J69" s="399"/>
      <c r="K69" s="399"/>
      <c r="L69" s="399"/>
      <c r="M69" s="399"/>
      <c r="N69" s="399"/>
    </row>
    <row r="70" spans="1:14" ht="15.75" thickBot="1" x14ac:dyDescent="0.3">
      <c r="A70" s="596"/>
      <c r="B70" s="597"/>
      <c r="C70" s="399"/>
      <c r="D70" s="399"/>
      <c r="E70" s="399"/>
      <c r="F70" s="399"/>
      <c r="G70" s="399"/>
      <c r="H70" s="399"/>
      <c r="I70" s="399"/>
      <c r="J70" s="399"/>
      <c r="K70" s="399"/>
      <c r="L70" s="399"/>
      <c r="M70" s="399"/>
      <c r="N70" s="399"/>
    </row>
    <row r="71" spans="1:14" ht="13.9" customHeight="1" x14ac:dyDescent="0.25">
      <c r="A71" s="1480" t="s">
        <v>113</v>
      </c>
      <c r="B71" s="599" t="s">
        <v>65</v>
      </c>
      <c r="C71" s="626" t="str">
        <f>IF('Normalized Sg'!$B$7="","",'Normalized Sg'!$B$7)</f>
        <v/>
      </c>
      <c r="D71" s="627" t="str">
        <f>IF('Normalized Sg'!$G$7="","",'Normalized Sg'!$G$7)</f>
        <v/>
      </c>
      <c r="E71" s="627" t="str">
        <f>IF('Normalized Sg'!$L$7="","",'Normalized Sg'!$L$7)</f>
        <v/>
      </c>
      <c r="F71" s="627" t="str">
        <f>IF('Normalized Sg'!$Q$7="","",'Normalized Sg'!$Q$7)</f>
        <v/>
      </c>
      <c r="G71" s="627" t="str">
        <f>IF('Normalized Sg'!$V$7="","",'Normalized Sg'!$V$7)</f>
        <v/>
      </c>
      <c r="H71" s="628" t="str">
        <f>IF('Normalized Sg'!$AA$7="","",'Normalized Sg'!$AA$7)</f>
        <v/>
      </c>
      <c r="I71" s="399"/>
      <c r="J71" s="399"/>
      <c r="K71" s="399"/>
      <c r="L71" s="399"/>
      <c r="M71" s="399"/>
      <c r="N71" s="399"/>
    </row>
    <row r="72" spans="1:14" x14ac:dyDescent="0.25">
      <c r="A72" s="1481"/>
      <c r="B72" s="603" t="s">
        <v>66</v>
      </c>
      <c r="C72" s="629" t="str">
        <f>IF('Normalized Sg'!$C$7="","",'Normalized Sg'!$C$7)</f>
        <v/>
      </c>
      <c r="D72" s="630" t="str">
        <f>IF('Normalized Sg'!$H$7="","",'Normalized Sg'!$H$7)</f>
        <v/>
      </c>
      <c r="E72" s="630" t="str">
        <f>IF('Normalized Sg'!$M$7="","",'Normalized Sg'!$M$7)</f>
        <v/>
      </c>
      <c r="F72" s="630" t="str">
        <f>IF('Normalized Sg'!$R$7="","",'Normalized Sg'!$R$7)</f>
        <v/>
      </c>
      <c r="G72" s="630" t="str">
        <f>IF('Normalized Sg'!$W$7="","",'Normalized Sg'!$W$7)</f>
        <v/>
      </c>
      <c r="H72" s="631" t="str">
        <f>IF('Normalized Sg'!$AB$7="","",'Normalized Sg'!$AB$7)</f>
        <v/>
      </c>
      <c r="I72" s="399"/>
      <c r="J72" s="399"/>
      <c r="K72" s="399"/>
      <c r="L72" s="399"/>
      <c r="M72" s="399"/>
      <c r="N72" s="399"/>
    </row>
    <row r="73" spans="1:14" x14ac:dyDescent="0.25">
      <c r="A73" s="1481"/>
      <c r="B73" s="603" t="s">
        <v>67</v>
      </c>
      <c r="C73" s="629" t="str">
        <f>IF('Normalized Sg'!$D$7="","",'Normalized Sg'!$D$7)</f>
        <v/>
      </c>
      <c r="D73" s="630" t="str">
        <f>IF('Normalized Sg'!$I$7="","",'Normalized Sg'!$I$7)</f>
        <v/>
      </c>
      <c r="E73" s="630" t="str">
        <f>IF('Normalized Sg'!$N$7="","",'Normalized Sg'!$N$7)</f>
        <v/>
      </c>
      <c r="F73" s="630" t="str">
        <f>IF('Normalized Sg'!$S$7="","",'Normalized Sg'!$S$7)</f>
        <v/>
      </c>
      <c r="G73" s="630" t="str">
        <f>IF('Normalized Sg'!$X$7="","",'Normalized Sg'!$X$7)</f>
        <v/>
      </c>
      <c r="H73" s="631" t="str">
        <f>IF('Normalized Sg'!$AC$7="","",'Normalized Sg'!$AC$7)</f>
        <v/>
      </c>
      <c r="I73" s="399"/>
      <c r="J73" s="399"/>
      <c r="K73" s="399"/>
      <c r="L73" s="399"/>
      <c r="M73" s="399"/>
      <c r="N73" s="399"/>
    </row>
    <row r="74" spans="1:14" ht="15.75" thickBot="1" x14ac:dyDescent="0.3">
      <c r="A74" s="1481"/>
      <c r="B74" s="604" t="s">
        <v>68</v>
      </c>
      <c r="C74" s="632" t="str">
        <f>IF('Normalized Sg'!$E$7="","",'Normalized Sg'!$E$7)</f>
        <v/>
      </c>
      <c r="D74" s="633" t="str">
        <f>IF('Normalized Sg'!$J$7="","",'Normalized Sg'!$J$7)</f>
        <v/>
      </c>
      <c r="E74" s="633" t="str">
        <f>IF('Normalized Sg'!$O$7="","",'Normalized Sg'!$O$7)</f>
        <v/>
      </c>
      <c r="F74" s="633" t="str">
        <f>IF('Normalized Sg'!$T$7="","",'Normalized Sg'!$T$7)</f>
        <v/>
      </c>
      <c r="G74" s="633" t="str">
        <f>IF('Normalized Sg'!$Y$7="","",'Normalized Sg'!$Y$7)</f>
        <v/>
      </c>
      <c r="H74" s="634" t="str">
        <f>IF('Normalized Sg'!$AD$7="","",'Normalized Sg'!$AD$7)</f>
        <v/>
      </c>
      <c r="I74" s="399"/>
      <c r="J74" s="399"/>
      <c r="K74" s="399"/>
      <c r="L74" s="399"/>
      <c r="M74" s="399"/>
      <c r="N74" s="399"/>
    </row>
    <row r="75" spans="1:14" x14ac:dyDescent="0.25">
      <c r="A75" s="1481"/>
      <c r="B75" s="579" t="s">
        <v>60</v>
      </c>
      <c r="C75" s="626" t="str">
        <f t="shared" ref="C75:H75" si="21">IF(COUNT(C71:C74)&gt;0,AVERAGE(C71:C74),"")</f>
        <v/>
      </c>
      <c r="D75" s="627" t="str">
        <f t="shared" si="21"/>
        <v/>
      </c>
      <c r="E75" s="627" t="str">
        <f t="shared" si="21"/>
        <v/>
      </c>
      <c r="F75" s="627" t="str">
        <f t="shared" si="21"/>
        <v/>
      </c>
      <c r="G75" s="627" t="str">
        <f t="shared" si="21"/>
        <v/>
      </c>
      <c r="H75" s="628" t="str">
        <f t="shared" si="21"/>
        <v/>
      </c>
      <c r="I75" s="399"/>
      <c r="J75" s="399"/>
      <c r="K75" s="399"/>
      <c r="L75" s="399"/>
      <c r="M75" s="399"/>
      <c r="N75" s="399"/>
    </row>
    <row r="76" spans="1:14" x14ac:dyDescent="0.25">
      <c r="A76" s="1481"/>
      <c r="B76" s="582" t="s">
        <v>57</v>
      </c>
      <c r="C76" s="629" t="str">
        <f t="shared" ref="C76:H76" si="22">IF(COUNT(C71:C74)&gt;1,STDEV(C71:C74),"")</f>
        <v/>
      </c>
      <c r="D76" s="630" t="str">
        <f t="shared" si="22"/>
        <v/>
      </c>
      <c r="E76" s="630" t="str">
        <f t="shared" si="22"/>
        <v/>
      </c>
      <c r="F76" s="630" t="str">
        <f t="shared" si="22"/>
        <v/>
      </c>
      <c r="G76" s="630" t="str">
        <f t="shared" si="22"/>
        <v/>
      </c>
      <c r="H76" s="631" t="str">
        <f t="shared" si="22"/>
        <v/>
      </c>
      <c r="I76" s="399"/>
      <c r="J76" s="399"/>
      <c r="K76" s="399"/>
      <c r="L76" s="399"/>
      <c r="M76" s="399"/>
      <c r="N76" s="399"/>
    </row>
    <row r="77" spans="1:14" x14ac:dyDescent="0.25">
      <c r="A77" s="1481"/>
      <c r="B77" s="582" t="s">
        <v>58</v>
      </c>
      <c r="C77" s="629" t="str">
        <f t="shared" ref="C77:H77" si="23">IF(OR(C76="",C76=0),"",100*C76/C75)</f>
        <v/>
      </c>
      <c r="D77" s="630" t="str">
        <f t="shared" si="23"/>
        <v/>
      </c>
      <c r="E77" s="630" t="str">
        <f t="shared" si="23"/>
        <v/>
      </c>
      <c r="F77" s="630" t="str">
        <f t="shared" si="23"/>
        <v/>
      </c>
      <c r="G77" s="630" t="str">
        <f t="shared" si="23"/>
        <v/>
      </c>
      <c r="H77" s="631" t="str">
        <f t="shared" si="23"/>
        <v/>
      </c>
      <c r="I77" s="399"/>
      <c r="J77" s="399"/>
      <c r="K77" s="399"/>
      <c r="L77" s="399"/>
      <c r="M77" s="399"/>
      <c r="N77" s="399"/>
    </row>
    <row r="78" spans="1:14" ht="15.75" thickBot="1" x14ac:dyDescent="0.3">
      <c r="A78" s="1482"/>
      <c r="B78" s="592" t="s">
        <v>59</v>
      </c>
      <c r="C78" s="632" t="str">
        <f t="shared" ref="C78:H78" si="24">IF(OR(C76="",C76=0),"",CONFIDENCE(0.05,C76,4))</f>
        <v/>
      </c>
      <c r="D78" s="633" t="str">
        <f t="shared" si="24"/>
        <v/>
      </c>
      <c r="E78" s="633" t="str">
        <f t="shared" si="24"/>
        <v/>
      </c>
      <c r="F78" s="633" t="str">
        <f t="shared" si="24"/>
        <v/>
      </c>
      <c r="G78" s="633" t="str">
        <f t="shared" si="24"/>
        <v/>
      </c>
      <c r="H78" s="634" t="str">
        <f t="shared" si="24"/>
        <v/>
      </c>
      <c r="I78" s="399"/>
      <c r="J78" s="399"/>
      <c r="K78" s="399"/>
      <c r="L78" s="399"/>
      <c r="M78" s="399"/>
      <c r="N78" s="399"/>
    </row>
    <row r="79" spans="1:14" x14ac:dyDescent="0.25">
      <c r="A79" s="596"/>
      <c r="B79" s="622"/>
      <c r="C79" s="596"/>
      <c r="D79" s="596"/>
      <c r="E79" s="596"/>
      <c r="F79" s="596"/>
      <c r="G79" s="596"/>
      <c r="H79" s="596"/>
      <c r="I79" s="399"/>
      <c r="J79" s="399"/>
      <c r="K79" s="399"/>
      <c r="L79" s="399"/>
      <c r="M79" s="399"/>
      <c r="N79" s="399"/>
    </row>
    <row r="80" spans="1:14" ht="15.75" thickBot="1" x14ac:dyDescent="0.3">
      <c r="A80" s="605"/>
      <c r="B80" s="605"/>
      <c r="C80" s="411"/>
      <c r="D80" s="411"/>
      <c r="E80" s="411"/>
      <c r="F80" s="411"/>
      <c r="G80" s="411"/>
      <c r="H80" s="411"/>
      <c r="I80" s="411"/>
      <c r="J80" s="411"/>
      <c r="K80" s="411"/>
      <c r="L80" s="411"/>
      <c r="M80" s="411"/>
      <c r="N80" s="411"/>
    </row>
    <row r="81" spans="1:14" x14ac:dyDescent="0.25">
      <c r="A81" s="596"/>
      <c r="B81" s="597"/>
      <c r="C81" s="399"/>
      <c r="D81" s="399"/>
      <c r="E81" s="399"/>
      <c r="F81" s="399"/>
      <c r="G81" s="399"/>
      <c r="H81" s="399"/>
      <c r="I81" s="399"/>
      <c r="J81" s="399"/>
      <c r="K81" s="399"/>
      <c r="L81" s="399"/>
      <c r="M81" s="399"/>
      <c r="N81" s="399"/>
    </row>
    <row r="82" spans="1:14" ht="15.75" thickBot="1" x14ac:dyDescent="0.3">
      <c r="A82" s="596"/>
      <c r="B82" s="597"/>
      <c r="C82" s="399"/>
      <c r="D82" s="399"/>
      <c r="E82" s="399"/>
      <c r="F82" s="399"/>
      <c r="G82" s="399"/>
      <c r="H82" s="399"/>
      <c r="I82" s="399"/>
      <c r="J82" s="399"/>
      <c r="K82" s="399"/>
      <c r="L82" s="399"/>
      <c r="M82" s="399"/>
      <c r="N82" s="399"/>
    </row>
    <row r="83" spans="1:14" ht="13.9" customHeight="1" x14ac:dyDescent="0.25">
      <c r="A83" s="1480" t="s">
        <v>106</v>
      </c>
      <c r="B83" s="599" t="s">
        <v>65</v>
      </c>
      <c r="C83" s="606" t="str">
        <f>IF('%Gmm'!$B$4="","",'%Gmm'!$B$4)</f>
        <v/>
      </c>
      <c r="D83" s="607" t="str">
        <f>IF('%Gmm'!$G$4="","",'%Gmm'!$G$4)</f>
        <v/>
      </c>
      <c r="E83" s="607" t="str">
        <f>IF('%Gmm'!$L$4="","",'%Gmm'!$L$4)</f>
        <v/>
      </c>
      <c r="F83" s="607" t="str">
        <f>IF('%Gmm'!$Q$4="","",'%Gmm'!$Q$4)</f>
        <v/>
      </c>
      <c r="G83" s="607" t="str">
        <f>IF('%Gmm'!$V$4="","",'%Gmm'!$V$4)</f>
        <v/>
      </c>
      <c r="H83" s="623" t="str">
        <f>IF('%Gmm'!$AA$4="","",'%Gmm'!$AA$4)</f>
        <v/>
      </c>
      <c r="I83" s="399"/>
      <c r="J83" s="399"/>
      <c r="K83" s="399"/>
      <c r="L83" s="399"/>
      <c r="M83" s="399"/>
      <c r="N83" s="399"/>
    </row>
    <row r="84" spans="1:14" x14ac:dyDescent="0.25">
      <c r="A84" s="1481"/>
      <c r="B84" s="603" t="s">
        <v>66</v>
      </c>
      <c r="C84" s="608" t="str">
        <f>IF('%Gmm'!$C$4="","",'%Gmm'!$C$4)</f>
        <v/>
      </c>
      <c r="D84" s="609" t="str">
        <f>IF('%Gmm'!$H$4="","",'%Gmm'!$H$4)</f>
        <v/>
      </c>
      <c r="E84" s="609" t="str">
        <f>IF('%Gmm'!$M$4="","",'%Gmm'!$M$4)</f>
        <v/>
      </c>
      <c r="F84" s="609" t="str">
        <f>IF('%Gmm'!$R$4="","",'%Gmm'!$R$4)</f>
        <v/>
      </c>
      <c r="G84" s="609" t="str">
        <f>IF('%Gmm'!$W$4="","",'%Gmm'!$W$4)</f>
        <v/>
      </c>
      <c r="H84" s="624" t="str">
        <f>IF('%Gmm'!$AB$4="","",'%Gmm'!$AB$4)</f>
        <v/>
      </c>
      <c r="I84" s="399"/>
      <c r="J84" s="399"/>
      <c r="K84" s="399"/>
      <c r="L84" s="399"/>
      <c r="M84" s="399"/>
      <c r="N84" s="399"/>
    </row>
    <row r="85" spans="1:14" x14ac:dyDescent="0.25">
      <c r="A85" s="1481"/>
      <c r="B85" s="603" t="s">
        <v>67</v>
      </c>
      <c r="C85" s="608" t="str">
        <f>IF('%Gmm'!$D$4="","",'%Gmm'!$D$4)</f>
        <v/>
      </c>
      <c r="D85" s="609" t="str">
        <f>IF('%Gmm'!$I$4="","",'%Gmm'!$I$4)</f>
        <v/>
      </c>
      <c r="E85" s="609" t="str">
        <f>IF('%Gmm'!$N$4="","",'%Gmm'!$N$4)</f>
        <v/>
      </c>
      <c r="F85" s="609" t="str">
        <f>IF('%Gmm'!$S$4="","",'%Gmm'!$S$4)</f>
        <v/>
      </c>
      <c r="G85" s="609" t="str">
        <f>IF('%Gmm'!$X$4="","",'%Gmm'!$X$4)</f>
        <v/>
      </c>
      <c r="H85" s="624" t="str">
        <f>IF('%Gmm'!$AC$4="","",'%Gmm'!$AC$4)</f>
        <v/>
      </c>
      <c r="I85" s="399"/>
      <c r="J85" s="399"/>
      <c r="K85" s="399"/>
      <c r="L85" s="399"/>
      <c r="M85" s="399"/>
      <c r="N85" s="399"/>
    </row>
    <row r="86" spans="1:14" ht="15.75" thickBot="1" x14ac:dyDescent="0.3">
      <c r="A86" s="1481"/>
      <c r="B86" s="604" t="s">
        <v>68</v>
      </c>
      <c r="C86" s="610" t="str">
        <f>IF('%Gmm'!$E$4="","",'%Gmm'!$E$4)</f>
        <v/>
      </c>
      <c r="D86" s="611" t="str">
        <f>IF('%Gmm'!$J$4="","",'%Gmm'!$J$4)</f>
        <v/>
      </c>
      <c r="E86" s="611" t="str">
        <f>IF('%Gmm'!$O$4="","",'%Gmm'!$O$4)</f>
        <v/>
      </c>
      <c r="F86" s="611" t="str">
        <f>IF('%Gmm'!$T$4="","",'%Gmm'!$T$4)</f>
        <v/>
      </c>
      <c r="G86" s="611" t="str">
        <f>IF('%Gmm'!$Y$4="","",'%Gmm'!$Y$4)</f>
        <v/>
      </c>
      <c r="H86" s="625" t="str">
        <f>IF('%Gmm'!$AD$4="","",'%Gmm'!$AD$4)</f>
        <v/>
      </c>
      <c r="I86" s="399"/>
      <c r="J86" s="399"/>
      <c r="K86" s="399"/>
      <c r="L86" s="399"/>
      <c r="M86" s="399"/>
      <c r="N86" s="399"/>
    </row>
    <row r="87" spans="1:14" x14ac:dyDescent="0.25">
      <c r="A87" s="1481"/>
      <c r="B87" s="579" t="s">
        <v>60</v>
      </c>
      <c r="C87" s="608" t="str">
        <f t="shared" ref="C87:H87" si="25">IF(COUNT(C83:C86)&gt;0,AVERAGE(C83:C86),"")</f>
        <v/>
      </c>
      <c r="D87" s="609" t="str">
        <f t="shared" si="25"/>
        <v/>
      </c>
      <c r="E87" s="609" t="str">
        <f t="shared" si="25"/>
        <v/>
      </c>
      <c r="F87" s="609" t="str">
        <f t="shared" si="25"/>
        <v/>
      </c>
      <c r="G87" s="609" t="str">
        <f t="shared" si="25"/>
        <v/>
      </c>
      <c r="H87" s="624" t="str">
        <f t="shared" si="25"/>
        <v/>
      </c>
      <c r="I87" s="399"/>
      <c r="J87" s="399"/>
      <c r="K87" s="399"/>
      <c r="L87" s="399"/>
      <c r="M87" s="399"/>
      <c r="N87" s="399"/>
    </row>
    <row r="88" spans="1:14" x14ac:dyDescent="0.25">
      <c r="A88" s="1481"/>
      <c r="B88" s="582" t="s">
        <v>57</v>
      </c>
      <c r="C88" s="608" t="str">
        <f t="shared" ref="C88:H88" si="26">IF(COUNT(C83:C86)&gt;1,STDEV(C83:C86),"")</f>
        <v/>
      </c>
      <c r="D88" s="609" t="str">
        <f t="shared" si="26"/>
        <v/>
      </c>
      <c r="E88" s="609" t="str">
        <f t="shared" si="26"/>
        <v/>
      </c>
      <c r="F88" s="609" t="str">
        <f t="shared" si="26"/>
        <v/>
      </c>
      <c r="G88" s="609" t="str">
        <f t="shared" si="26"/>
        <v/>
      </c>
      <c r="H88" s="624" t="str">
        <f t="shared" si="26"/>
        <v/>
      </c>
      <c r="I88" s="399"/>
      <c r="J88" s="399"/>
      <c r="K88" s="399"/>
      <c r="L88" s="399"/>
      <c r="M88" s="399"/>
      <c r="N88" s="399"/>
    </row>
    <row r="89" spans="1:14" x14ac:dyDescent="0.25">
      <c r="A89" s="1481"/>
      <c r="B89" s="582" t="s">
        <v>58</v>
      </c>
      <c r="C89" s="608" t="str">
        <f t="shared" ref="C89:H89" si="27">IF(OR(C88="",C88=0),"",100*C88/C87)</f>
        <v/>
      </c>
      <c r="D89" s="609" t="str">
        <f t="shared" si="27"/>
        <v/>
      </c>
      <c r="E89" s="609" t="str">
        <f t="shared" si="27"/>
        <v/>
      </c>
      <c r="F89" s="609" t="str">
        <f t="shared" si="27"/>
        <v/>
      </c>
      <c r="G89" s="609" t="str">
        <f t="shared" si="27"/>
        <v/>
      </c>
      <c r="H89" s="624" t="str">
        <f t="shared" si="27"/>
        <v/>
      </c>
      <c r="I89" s="399"/>
      <c r="J89" s="399"/>
      <c r="K89" s="399"/>
      <c r="L89" s="399"/>
      <c r="M89" s="399"/>
      <c r="N89" s="399"/>
    </row>
    <row r="90" spans="1:14" ht="15.75" thickBot="1" x14ac:dyDescent="0.3">
      <c r="A90" s="1482"/>
      <c r="B90" s="592" t="s">
        <v>59</v>
      </c>
      <c r="C90" s="610" t="str">
        <f t="shared" ref="C90:H90" si="28">IF(OR(C88="",C88=0),"",CONFIDENCE(0.05,C88,4))</f>
        <v/>
      </c>
      <c r="D90" s="611" t="str">
        <f t="shared" si="28"/>
        <v/>
      </c>
      <c r="E90" s="611" t="str">
        <f t="shared" si="28"/>
        <v/>
      </c>
      <c r="F90" s="611" t="str">
        <f t="shared" si="28"/>
        <v/>
      </c>
      <c r="G90" s="611" t="str">
        <f t="shared" si="28"/>
        <v/>
      </c>
      <c r="H90" s="625" t="str">
        <f t="shared" si="28"/>
        <v/>
      </c>
      <c r="I90" s="399"/>
      <c r="J90" s="399"/>
      <c r="K90" s="399"/>
      <c r="L90" s="399"/>
      <c r="M90" s="399"/>
      <c r="N90" s="399"/>
    </row>
    <row r="91" spans="1:14" x14ac:dyDescent="0.25">
      <c r="A91" s="596"/>
      <c r="B91" s="597"/>
      <c r="C91" s="399"/>
      <c r="D91" s="399"/>
      <c r="E91" s="399"/>
      <c r="F91" s="399"/>
      <c r="G91" s="399"/>
      <c r="H91" s="399"/>
      <c r="I91" s="399"/>
      <c r="J91" s="399"/>
      <c r="K91" s="399"/>
      <c r="L91" s="399"/>
      <c r="M91" s="399"/>
      <c r="N91" s="399"/>
    </row>
    <row r="92" spans="1:14" ht="15.75" thickBot="1" x14ac:dyDescent="0.3">
      <c r="A92" s="605"/>
      <c r="B92" s="605"/>
      <c r="C92" s="411"/>
      <c r="D92" s="411"/>
      <c r="E92" s="411"/>
      <c r="F92" s="411"/>
      <c r="G92" s="411"/>
      <c r="H92" s="411"/>
      <c r="I92" s="411"/>
      <c r="J92" s="411"/>
      <c r="K92" s="411"/>
      <c r="L92" s="411"/>
      <c r="M92" s="411"/>
      <c r="N92" s="411"/>
    </row>
    <row r="93" spans="1:14" x14ac:dyDescent="0.25">
      <c r="A93" s="596"/>
      <c r="B93" s="597"/>
      <c r="C93" s="399"/>
      <c r="D93" s="399"/>
      <c r="E93" s="399"/>
      <c r="F93" s="399"/>
      <c r="G93" s="399"/>
      <c r="H93" s="399"/>
      <c r="I93" s="399"/>
      <c r="J93" s="399"/>
      <c r="K93" s="399"/>
      <c r="L93" s="399"/>
      <c r="M93" s="399"/>
      <c r="N93" s="399"/>
    </row>
    <row r="94" spans="1:14" ht="15.75" thickBot="1" x14ac:dyDescent="0.3">
      <c r="A94" s="596"/>
      <c r="B94" s="597"/>
      <c r="C94" s="399"/>
      <c r="D94" s="399"/>
      <c r="E94" s="399"/>
      <c r="F94" s="399"/>
      <c r="G94" s="399"/>
      <c r="H94" s="399"/>
      <c r="I94" s="399"/>
      <c r="J94" s="399"/>
      <c r="K94" s="399"/>
      <c r="L94" s="399"/>
      <c r="M94" s="399"/>
      <c r="N94" s="399"/>
    </row>
    <row r="95" spans="1:14" ht="15.6" customHeight="1" x14ac:dyDescent="0.25">
      <c r="A95" s="1480" t="s">
        <v>69</v>
      </c>
      <c r="B95" s="599" t="s">
        <v>65</v>
      </c>
      <c r="C95" s="580" t="str">
        <f>IF(Height!$B$6="","",Height!$B$6)</f>
        <v/>
      </c>
      <c r="D95" s="581" t="str">
        <f>IF(Height!$G$6="","",Height!$G$6)</f>
        <v/>
      </c>
      <c r="E95" s="581" t="str">
        <f>IF(Height!$L$6="","",Height!$L$6)</f>
        <v/>
      </c>
      <c r="F95" s="581" t="str">
        <f>IF(Height!$Q$6="","",Height!$Q$6)</f>
        <v/>
      </c>
      <c r="G95" s="581" t="str">
        <f>IF(Height!$V$6="","",Height!$V$6)</f>
        <v/>
      </c>
      <c r="H95" s="635" t="str">
        <f>IF(Height!$AA$6="","",Height!$AA$6)</f>
        <v/>
      </c>
      <c r="I95" s="399"/>
      <c r="J95" s="399"/>
      <c r="K95" s="399"/>
      <c r="L95" s="399"/>
      <c r="M95" s="399"/>
      <c r="N95" s="399"/>
    </row>
    <row r="96" spans="1:14" x14ac:dyDescent="0.25">
      <c r="A96" s="1481"/>
      <c r="B96" s="603" t="s">
        <v>66</v>
      </c>
      <c r="C96" s="583" t="str">
        <f>IF(Height!$C$6="","",Height!$C$6)</f>
        <v/>
      </c>
      <c r="D96" s="584" t="str">
        <f>IF(Height!$H$6="","",Height!$H$6)</f>
        <v/>
      </c>
      <c r="E96" s="584" t="str">
        <f>IF(Height!$M$6="","",Height!$M$6)</f>
        <v/>
      </c>
      <c r="F96" s="584" t="str">
        <f>IF(Height!$R$6="","",Height!$R$6)</f>
        <v/>
      </c>
      <c r="G96" s="584" t="str">
        <f>IF(Height!$W$6="","",Height!$W$6)</f>
        <v/>
      </c>
      <c r="H96" s="585" t="str">
        <f>IF(Height!$AB$6="","",Height!$AB$6)</f>
        <v/>
      </c>
      <c r="I96" s="399"/>
      <c r="J96" s="399"/>
      <c r="K96" s="399"/>
      <c r="L96" s="399"/>
      <c r="M96" s="399"/>
      <c r="N96" s="399"/>
    </row>
    <row r="97" spans="1:14" x14ac:dyDescent="0.25">
      <c r="A97" s="1481"/>
      <c r="B97" s="603" t="s">
        <v>67</v>
      </c>
      <c r="C97" s="583" t="str">
        <f>IF(Height!$D$6="","",Height!$D$6)</f>
        <v/>
      </c>
      <c r="D97" s="584" t="str">
        <f>IF(Height!$I$6="","",Height!$I$6)</f>
        <v/>
      </c>
      <c r="E97" s="584" t="str">
        <f>IF(Height!$N$6="","",Height!$N$6)</f>
        <v/>
      </c>
      <c r="F97" s="584" t="str">
        <f>IF(Height!$S$6="","",Height!$S$6)</f>
        <v/>
      </c>
      <c r="G97" s="584" t="str">
        <f>IF(Height!$X$6="","",Height!$X$6)</f>
        <v/>
      </c>
      <c r="H97" s="585" t="str">
        <f>IF(Height!$AC$6="","",Height!$AC$6)</f>
        <v/>
      </c>
      <c r="I97" s="399"/>
      <c r="J97" s="399"/>
      <c r="K97" s="399"/>
      <c r="L97" s="399"/>
      <c r="M97" s="399"/>
      <c r="N97" s="399"/>
    </row>
    <row r="98" spans="1:14" ht="15.75" thickBot="1" x14ac:dyDescent="0.3">
      <c r="A98" s="1481"/>
      <c r="B98" s="604" t="s">
        <v>68</v>
      </c>
      <c r="C98" s="618" t="str">
        <f>IF(Height!$E$6="","",Height!$E$6)</f>
        <v/>
      </c>
      <c r="D98" s="621" t="str">
        <f>IF(Height!$J$6="","",Height!$J$6)</f>
        <v/>
      </c>
      <c r="E98" s="621" t="str">
        <f>IF(Height!$O$6="","",Height!$O$6)</f>
        <v/>
      </c>
      <c r="F98" s="621" t="str">
        <f>IF(Height!$T$6="","",Height!$T$6)</f>
        <v/>
      </c>
      <c r="G98" s="621" t="str">
        <f>IF(Height!$Y$6="","",Height!$Y$6)</f>
        <v/>
      </c>
      <c r="H98" s="636" t="str">
        <f>IF(Height!$AD$6="","",Height!$AD$6)</f>
        <v/>
      </c>
      <c r="I98" s="399"/>
      <c r="J98" s="399"/>
      <c r="K98" s="399"/>
      <c r="L98" s="399"/>
      <c r="M98" s="399"/>
      <c r="N98" s="399"/>
    </row>
    <row r="99" spans="1:14" x14ac:dyDescent="0.25">
      <c r="A99" s="1481"/>
      <c r="B99" s="579" t="s">
        <v>60</v>
      </c>
      <c r="C99" s="580" t="str">
        <f t="shared" ref="C99:H99" si="29">IF(COUNT(C95:C98)&gt;0,AVERAGE(C95:C98),"")</f>
        <v/>
      </c>
      <c r="D99" s="581" t="str">
        <f t="shared" si="29"/>
        <v/>
      </c>
      <c r="E99" s="581" t="str">
        <f t="shared" si="29"/>
        <v/>
      </c>
      <c r="F99" s="581" t="str">
        <f t="shared" si="29"/>
        <v/>
      </c>
      <c r="G99" s="581" t="str">
        <f t="shared" si="29"/>
        <v/>
      </c>
      <c r="H99" s="635" t="str">
        <f t="shared" si="29"/>
        <v/>
      </c>
      <c r="I99" s="399"/>
      <c r="J99" s="399"/>
      <c r="K99" s="399"/>
      <c r="L99" s="399"/>
      <c r="M99" s="399"/>
      <c r="N99" s="399"/>
    </row>
    <row r="100" spans="1:14" x14ac:dyDescent="0.25">
      <c r="A100" s="1481"/>
      <c r="B100" s="582" t="s">
        <v>57</v>
      </c>
      <c r="C100" s="583" t="str">
        <f t="shared" ref="C100:H100" si="30">IF(COUNT(C95:C98)&gt;1,STDEV(C95:C98),"")</f>
        <v/>
      </c>
      <c r="D100" s="584" t="str">
        <f t="shared" si="30"/>
        <v/>
      </c>
      <c r="E100" s="584" t="str">
        <f t="shared" si="30"/>
        <v/>
      </c>
      <c r="F100" s="584" t="str">
        <f t="shared" si="30"/>
        <v/>
      </c>
      <c r="G100" s="584" t="str">
        <f t="shared" si="30"/>
        <v/>
      </c>
      <c r="H100" s="585" t="str">
        <f t="shared" si="30"/>
        <v/>
      </c>
      <c r="I100" s="399"/>
      <c r="J100" s="399"/>
      <c r="K100" s="399"/>
      <c r="L100" s="399"/>
      <c r="M100" s="399"/>
      <c r="N100" s="399"/>
    </row>
    <row r="101" spans="1:14" x14ac:dyDescent="0.25">
      <c r="A101" s="1481"/>
      <c r="B101" s="582" t="s">
        <v>58</v>
      </c>
      <c r="C101" s="583" t="str">
        <f t="shared" ref="C101:H101" si="31">IF(OR(C100="",C100=0),"",100*C100/C99)</f>
        <v/>
      </c>
      <c r="D101" s="584" t="str">
        <f t="shared" si="31"/>
        <v/>
      </c>
      <c r="E101" s="584" t="str">
        <f t="shared" si="31"/>
        <v/>
      </c>
      <c r="F101" s="584" t="str">
        <f t="shared" si="31"/>
        <v/>
      </c>
      <c r="G101" s="584" t="str">
        <f t="shared" si="31"/>
        <v/>
      </c>
      <c r="H101" s="585" t="str">
        <f t="shared" si="31"/>
        <v/>
      </c>
      <c r="I101" s="399"/>
      <c r="J101" s="399"/>
      <c r="K101" s="399"/>
      <c r="L101" s="399"/>
      <c r="M101" s="399"/>
      <c r="N101" s="399"/>
    </row>
    <row r="102" spans="1:14" ht="15.75" thickBot="1" x14ac:dyDescent="0.3">
      <c r="A102" s="1482"/>
      <c r="B102" s="592" t="s">
        <v>59</v>
      </c>
      <c r="C102" s="618" t="str">
        <f t="shared" ref="C102:H102" si="32">IF(OR(C100="",C100=0),"",CONFIDENCE(0.05,C100,4))</f>
        <v/>
      </c>
      <c r="D102" s="621" t="str">
        <f t="shared" si="32"/>
        <v/>
      </c>
      <c r="E102" s="621" t="str">
        <f t="shared" si="32"/>
        <v/>
      </c>
      <c r="F102" s="621" t="str">
        <f t="shared" si="32"/>
        <v/>
      </c>
      <c r="G102" s="621" t="str">
        <f t="shared" si="32"/>
        <v/>
      </c>
      <c r="H102" s="636" t="str">
        <f t="shared" si="32"/>
        <v/>
      </c>
      <c r="I102" s="399"/>
      <c r="J102" s="399"/>
      <c r="K102" s="399"/>
      <c r="L102" s="399"/>
      <c r="M102" s="399"/>
      <c r="N102" s="399"/>
    </row>
    <row r="103" spans="1:14" x14ac:dyDescent="0.25">
      <c r="A103" s="596"/>
      <c r="B103" s="597"/>
      <c r="C103" s="399"/>
      <c r="D103" s="399"/>
      <c r="E103" s="399"/>
      <c r="F103" s="399"/>
      <c r="G103" s="399"/>
      <c r="H103" s="399"/>
      <c r="I103" s="399"/>
      <c r="J103" s="399"/>
      <c r="K103" s="399"/>
      <c r="L103" s="399"/>
      <c r="M103" s="399"/>
      <c r="N103" s="399"/>
    </row>
    <row r="104" spans="1:14" ht="15.75" thickBot="1" x14ac:dyDescent="0.3">
      <c r="A104" s="605"/>
      <c r="B104" s="605"/>
      <c r="C104" s="411"/>
      <c r="D104" s="411"/>
      <c r="E104" s="411"/>
      <c r="F104" s="411"/>
      <c r="G104" s="411"/>
      <c r="H104" s="411"/>
      <c r="I104" s="411"/>
      <c r="J104" s="411"/>
      <c r="K104" s="411"/>
      <c r="L104" s="411"/>
      <c r="M104" s="411"/>
      <c r="N104" s="411"/>
    </row>
    <row r="105" spans="1:14" x14ac:dyDescent="0.25">
      <c r="A105" s="596"/>
      <c r="B105" s="597"/>
      <c r="C105" s="399"/>
      <c r="D105" s="399"/>
      <c r="E105" s="399"/>
      <c r="F105" s="399"/>
      <c r="G105" s="399"/>
      <c r="H105" s="399"/>
      <c r="I105" s="399"/>
      <c r="J105" s="399"/>
      <c r="K105" s="399"/>
      <c r="L105" s="399"/>
      <c r="M105" s="399"/>
      <c r="N105" s="399"/>
    </row>
    <row r="106" spans="1:14" ht="15.75" thickBot="1" x14ac:dyDescent="0.3">
      <c r="A106" s="596"/>
      <c r="B106" s="597"/>
      <c r="C106" s="399"/>
      <c r="D106" s="399"/>
      <c r="E106" s="399"/>
      <c r="F106" s="399"/>
      <c r="G106" s="399"/>
      <c r="H106" s="399"/>
      <c r="I106" s="399"/>
      <c r="J106" s="399"/>
      <c r="K106" s="399"/>
      <c r="L106" s="399"/>
      <c r="M106" s="399"/>
      <c r="N106" s="399"/>
    </row>
    <row r="107" spans="1:14" ht="13.9" customHeight="1" x14ac:dyDescent="0.25">
      <c r="A107" s="1480" t="s">
        <v>133</v>
      </c>
      <c r="B107" s="599" t="s">
        <v>65</v>
      </c>
      <c r="C107" s="606" t="str">
        <f>IF(Pressure!$B$7="","",Pressure!$B$7)</f>
        <v/>
      </c>
      <c r="D107" s="607" t="str">
        <f>IF(Pressure!$G$7="","",Pressure!$G$7)</f>
        <v/>
      </c>
      <c r="E107" s="607" t="str">
        <f>IF(Pressure!$L$7="","",Pressure!$L$7)</f>
        <v/>
      </c>
      <c r="F107" s="607" t="str">
        <f>IF(Pressure!$Q$7="","",Pressure!$Q$7)</f>
        <v/>
      </c>
      <c r="G107" s="607" t="str">
        <f>IF(Pressure!$V$7="","",Pressure!$V$7)</f>
        <v/>
      </c>
      <c r="H107" s="623" t="str">
        <f>IF(Pressure!$AA$7="","",Pressure!$AA$7)</f>
        <v/>
      </c>
      <c r="I107" s="399"/>
      <c r="J107" s="399"/>
      <c r="K107" s="399"/>
      <c r="L107" s="399"/>
      <c r="M107" s="399"/>
      <c r="N107" s="399"/>
    </row>
    <row r="108" spans="1:14" x14ac:dyDescent="0.25">
      <c r="A108" s="1481"/>
      <c r="B108" s="603" t="s">
        <v>66</v>
      </c>
      <c r="C108" s="608" t="str">
        <f>IF(Pressure!$C$7="","",Pressure!$C$7)</f>
        <v/>
      </c>
      <c r="D108" s="609" t="str">
        <f>IF(Pressure!$H$7="","",Pressure!$H$7)</f>
        <v/>
      </c>
      <c r="E108" s="609" t="str">
        <f>IF(Pressure!$M$7="","",Pressure!$M$7)</f>
        <v/>
      </c>
      <c r="F108" s="609" t="str">
        <f>IF(Pressure!$R$7="","",Pressure!$R$7)</f>
        <v/>
      </c>
      <c r="G108" s="609" t="str">
        <f>IF(Pressure!$W$7="","",Pressure!$W$7)</f>
        <v/>
      </c>
      <c r="H108" s="624" t="str">
        <f>IF(Pressure!$AB$7="","",Pressure!$AB$7)</f>
        <v/>
      </c>
      <c r="I108" s="399"/>
      <c r="J108" s="399"/>
      <c r="K108" s="399"/>
      <c r="L108" s="399"/>
      <c r="M108" s="399"/>
      <c r="N108" s="399"/>
    </row>
    <row r="109" spans="1:14" x14ac:dyDescent="0.25">
      <c r="A109" s="1481"/>
      <c r="B109" s="603" t="s">
        <v>67</v>
      </c>
      <c r="C109" s="608" t="str">
        <f>IF(Pressure!$D$7="","",Pressure!$D$7)</f>
        <v/>
      </c>
      <c r="D109" s="609" t="str">
        <f>IF(Pressure!$I$7="","",Pressure!$I$7)</f>
        <v/>
      </c>
      <c r="E109" s="609" t="str">
        <f>IF(Pressure!$N$7="","",Pressure!$N$7)</f>
        <v/>
      </c>
      <c r="F109" s="609" t="str">
        <f>IF(Pressure!$S$7="","",Pressure!$S$7)</f>
        <v/>
      </c>
      <c r="G109" s="609" t="str">
        <f>IF(Pressure!$X$7="","",Pressure!$X$7)</f>
        <v/>
      </c>
      <c r="H109" s="624" t="str">
        <f>IF(Pressure!$AC$7="","",Pressure!$AC$7)</f>
        <v/>
      </c>
      <c r="I109" s="399"/>
      <c r="J109" s="399"/>
      <c r="K109" s="399"/>
      <c r="L109" s="399"/>
      <c r="M109" s="399"/>
      <c r="N109" s="399"/>
    </row>
    <row r="110" spans="1:14" ht="15.75" thickBot="1" x14ac:dyDescent="0.3">
      <c r="A110" s="1481"/>
      <c r="B110" s="604" t="s">
        <v>68</v>
      </c>
      <c r="C110" s="610" t="str">
        <f>IF(Pressure!$E$7="","",Pressure!$E$7)</f>
        <v/>
      </c>
      <c r="D110" s="611" t="str">
        <f>IF(Pressure!$J$7="","",Pressure!$J$7)</f>
        <v/>
      </c>
      <c r="E110" s="611" t="str">
        <f>IF(Pressure!$O$7="","",Pressure!$O$7)</f>
        <v/>
      </c>
      <c r="F110" s="611" t="str">
        <f>IF(Pressure!$T$7="","",Pressure!$T$7)</f>
        <v/>
      </c>
      <c r="G110" s="611" t="str">
        <f>IF(Pressure!$Y$7="","",Pressure!$Y$7)</f>
        <v/>
      </c>
      <c r="H110" s="625" t="str">
        <f>IF(Pressure!$AD$7="","",Pressure!$AD$7)</f>
        <v/>
      </c>
      <c r="I110" s="399"/>
      <c r="J110" s="399"/>
      <c r="K110" s="399"/>
      <c r="L110" s="399"/>
      <c r="M110" s="399"/>
      <c r="N110" s="399"/>
    </row>
    <row r="111" spans="1:14" x14ac:dyDescent="0.25">
      <c r="A111" s="1481"/>
      <c r="B111" s="599" t="s">
        <v>60</v>
      </c>
      <c r="C111" s="608" t="str">
        <f t="shared" ref="C111:H111" si="33">IF(COUNT(C107:C110)&gt;0,AVERAGE(C107:C110),"")</f>
        <v/>
      </c>
      <c r="D111" s="609" t="str">
        <f t="shared" si="33"/>
        <v/>
      </c>
      <c r="E111" s="609" t="str">
        <f t="shared" si="33"/>
        <v/>
      </c>
      <c r="F111" s="609" t="str">
        <f t="shared" si="33"/>
        <v/>
      </c>
      <c r="G111" s="609" t="str">
        <f t="shared" si="33"/>
        <v/>
      </c>
      <c r="H111" s="624" t="str">
        <f t="shared" si="33"/>
        <v/>
      </c>
      <c r="I111" s="399"/>
      <c r="J111" s="399"/>
      <c r="K111" s="399"/>
      <c r="L111" s="399"/>
      <c r="M111" s="399"/>
      <c r="N111" s="399"/>
    </row>
    <row r="112" spans="1:14" x14ac:dyDescent="0.25">
      <c r="A112" s="1481"/>
      <c r="B112" s="603" t="s">
        <v>57</v>
      </c>
      <c r="C112" s="608" t="str">
        <f t="shared" ref="C112:H112" si="34">IF(COUNT(C107:C110)&gt;1,STDEV(C107:C110),"")</f>
        <v/>
      </c>
      <c r="D112" s="609" t="str">
        <f t="shared" si="34"/>
        <v/>
      </c>
      <c r="E112" s="609" t="str">
        <f t="shared" si="34"/>
        <v/>
      </c>
      <c r="F112" s="609" t="str">
        <f t="shared" si="34"/>
        <v/>
      </c>
      <c r="G112" s="609" t="str">
        <f t="shared" si="34"/>
        <v/>
      </c>
      <c r="H112" s="624" t="str">
        <f t="shared" si="34"/>
        <v/>
      </c>
      <c r="I112" s="399"/>
      <c r="J112" s="399"/>
      <c r="K112" s="399"/>
      <c r="L112" s="399"/>
      <c r="M112" s="399"/>
      <c r="N112" s="399"/>
    </row>
    <row r="113" spans="1:14" x14ac:dyDescent="0.25">
      <c r="A113" s="1481"/>
      <c r="B113" s="603" t="s">
        <v>58</v>
      </c>
      <c r="C113" s="608" t="str">
        <f t="shared" ref="C113:H113" si="35">IF(OR(C112="",C112=0),"",100*C112/C111)</f>
        <v/>
      </c>
      <c r="D113" s="609" t="str">
        <f t="shared" si="35"/>
        <v/>
      </c>
      <c r="E113" s="609" t="str">
        <f t="shared" si="35"/>
        <v/>
      </c>
      <c r="F113" s="609" t="str">
        <f t="shared" si="35"/>
        <v/>
      </c>
      <c r="G113" s="609" t="str">
        <f t="shared" si="35"/>
        <v/>
      </c>
      <c r="H113" s="624" t="str">
        <f t="shared" si="35"/>
        <v/>
      </c>
      <c r="I113" s="399"/>
      <c r="J113" s="399"/>
      <c r="K113" s="399"/>
      <c r="L113" s="399"/>
      <c r="M113" s="399"/>
      <c r="N113" s="399"/>
    </row>
    <row r="114" spans="1:14" ht="15.75" thickBot="1" x14ac:dyDescent="0.3">
      <c r="A114" s="1482"/>
      <c r="B114" s="604" t="s">
        <v>59</v>
      </c>
      <c r="C114" s="610" t="str">
        <f t="shared" ref="C114:H114" si="36">IF(OR(C112="",C112=0),"",CONFIDENCE(0.05,C112,4))</f>
        <v/>
      </c>
      <c r="D114" s="611" t="str">
        <f t="shared" si="36"/>
        <v/>
      </c>
      <c r="E114" s="611" t="str">
        <f t="shared" si="36"/>
        <v/>
      </c>
      <c r="F114" s="611" t="str">
        <f t="shared" si="36"/>
        <v/>
      </c>
      <c r="G114" s="611" t="str">
        <f t="shared" si="36"/>
        <v/>
      </c>
      <c r="H114" s="625" t="str">
        <f t="shared" si="36"/>
        <v/>
      </c>
      <c r="I114" s="399"/>
      <c r="J114" s="399"/>
      <c r="K114" s="399"/>
      <c r="L114" s="399"/>
      <c r="M114" s="399"/>
      <c r="N114" s="399"/>
    </row>
    <row r="115" spans="1:14" x14ac:dyDescent="0.25">
      <c r="A115" s="596"/>
      <c r="B115" s="597"/>
      <c r="C115" s="399"/>
      <c r="D115" s="399"/>
      <c r="E115" s="399"/>
      <c r="F115" s="399"/>
      <c r="G115" s="399"/>
      <c r="H115" s="399"/>
      <c r="I115" s="399"/>
      <c r="J115" s="399"/>
      <c r="K115" s="399"/>
      <c r="L115" s="399"/>
      <c r="M115" s="399"/>
      <c r="N115" s="399"/>
    </row>
    <row r="116" spans="1:14" ht="15.75" thickBot="1" x14ac:dyDescent="0.3">
      <c r="A116" s="605"/>
      <c r="B116" s="605"/>
      <c r="C116" s="411"/>
      <c r="D116" s="411"/>
      <c r="E116" s="411"/>
      <c r="F116" s="411"/>
      <c r="G116" s="411"/>
      <c r="H116" s="411"/>
      <c r="I116" s="411"/>
      <c r="J116" s="411"/>
      <c r="K116" s="411"/>
      <c r="L116" s="411"/>
      <c r="M116" s="411"/>
      <c r="N116" s="411"/>
    </row>
    <row r="117" spans="1:14" x14ac:dyDescent="0.25">
      <c r="A117" s="596"/>
      <c r="B117" s="597"/>
      <c r="C117" s="399"/>
      <c r="D117" s="399"/>
      <c r="E117" s="399"/>
      <c r="F117" s="399"/>
      <c r="G117" s="399"/>
      <c r="H117" s="399"/>
      <c r="I117" s="399"/>
      <c r="J117" s="399"/>
      <c r="K117" s="399"/>
      <c r="L117" s="399"/>
      <c r="M117" s="399"/>
      <c r="N117" s="399"/>
    </row>
    <row r="118" spans="1:14" ht="15.75" thickBot="1" x14ac:dyDescent="0.3">
      <c r="A118" s="596"/>
      <c r="B118" s="597"/>
      <c r="C118" s="399"/>
      <c r="D118" s="399"/>
      <c r="E118" s="399"/>
      <c r="F118" s="399"/>
      <c r="G118" s="399"/>
      <c r="H118" s="399"/>
      <c r="I118" s="399"/>
      <c r="J118" s="399"/>
      <c r="K118" s="399"/>
      <c r="L118" s="399"/>
      <c r="M118" s="399"/>
      <c r="N118" s="399"/>
    </row>
    <row r="119" spans="1:14" ht="15" customHeight="1" x14ac:dyDescent="0.25">
      <c r="A119" s="1480" t="s">
        <v>134</v>
      </c>
      <c r="B119" s="599" t="s">
        <v>65</v>
      </c>
      <c r="C119" s="606" t="str">
        <f>IF(Pressure!$B$8="","",Pressure!$B$8)</f>
        <v/>
      </c>
      <c r="D119" s="607" t="str">
        <f>IF(Pressure!$G$8="","",Pressure!$G$8)</f>
        <v/>
      </c>
      <c r="E119" s="607" t="str">
        <f>IF(Pressure!$L$8="","",Pressure!$L$8)</f>
        <v/>
      </c>
      <c r="F119" s="607" t="str">
        <f>IF(Pressure!$Q$8="","",Pressure!$Q$8)</f>
        <v/>
      </c>
      <c r="G119" s="607" t="str">
        <f>IF(Pressure!$V$8="","",Pressure!$V$8)</f>
        <v/>
      </c>
      <c r="H119" s="623" t="str">
        <f>IF(Pressure!$AA$8="","",Pressure!$AA$8)</f>
        <v/>
      </c>
      <c r="I119" s="399"/>
      <c r="J119" s="399"/>
      <c r="K119" s="399"/>
      <c r="L119" s="399"/>
      <c r="M119" s="399"/>
      <c r="N119" s="399"/>
    </row>
    <row r="120" spans="1:14" x14ac:dyDescent="0.25">
      <c r="A120" s="1481"/>
      <c r="B120" s="603" t="s">
        <v>66</v>
      </c>
      <c r="C120" s="608" t="str">
        <f>IF(Pressure!$C$8="","",Pressure!$C$8)</f>
        <v/>
      </c>
      <c r="D120" s="609" t="str">
        <f>IF(Pressure!$H$8="","",Pressure!$H$8)</f>
        <v/>
      </c>
      <c r="E120" s="609" t="str">
        <f>IF(Pressure!$M$8="","",Pressure!$M$8)</f>
        <v/>
      </c>
      <c r="F120" s="609" t="str">
        <f>IF(Pressure!$R$8="","",Pressure!$R$8)</f>
        <v/>
      </c>
      <c r="G120" s="609" t="str">
        <f>IF(Pressure!$W$8="","",Pressure!$W$8)</f>
        <v/>
      </c>
      <c r="H120" s="624" t="str">
        <f>IF(Pressure!$AB$8="","",Pressure!$AB$8)</f>
        <v/>
      </c>
      <c r="I120" s="399"/>
      <c r="J120" s="399"/>
      <c r="K120" s="399"/>
      <c r="L120" s="399"/>
      <c r="M120" s="399"/>
      <c r="N120" s="399"/>
    </row>
    <row r="121" spans="1:14" x14ac:dyDescent="0.25">
      <c r="A121" s="1481"/>
      <c r="B121" s="603" t="s">
        <v>67</v>
      </c>
      <c r="C121" s="608" t="str">
        <f>IF(Pressure!$D$8="","",Pressure!$D$8)</f>
        <v/>
      </c>
      <c r="D121" s="609" t="str">
        <f>IF(Pressure!$I$8="","",Pressure!$I$8)</f>
        <v/>
      </c>
      <c r="E121" s="609" t="str">
        <f>IF(Pressure!$N$8="","",Pressure!$N$8)</f>
        <v/>
      </c>
      <c r="F121" s="609" t="str">
        <f>IF(Pressure!$S$8="","",Pressure!$S$8)</f>
        <v/>
      </c>
      <c r="G121" s="609" t="str">
        <f>IF(Pressure!$X$8="","",Pressure!$X$8)</f>
        <v/>
      </c>
      <c r="H121" s="624" t="str">
        <f>IF(Pressure!$AC$8="","",Pressure!$AC$8)</f>
        <v/>
      </c>
      <c r="I121" s="399"/>
      <c r="J121" s="399"/>
      <c r="K121" s="399"/>
      <c r="L121" s="399"/>
      <c r="M121" s="399"/>
      <c r="N121" s="399"/>
    </row>
    <row r="122" spans="1:14" ht="15.75" thickBot="1" x14ac:dyDescent="0.3">
      <c r="A122" s="1481"/>
      <c r="B122" s="604" t="s">
        <v>68</v>
      </c>
      <c r="C122" s="610" t="str">
        <f>IF(Pressure!$E$8="","",Pressure!$E$8)</f>
        <v/>
      </c>
      <c r="D122" s="611" t="str">
        <f>IF(Pressure!$J$8="","",Pressure!$J$8)</f>
        <v/>
      </c>
      <c r="E122" s="611" t="str">
        <f>IF(Pressure!$O$8="","",Pressure!$O$8)</f>
        <v/>
      </c>
      <c r="F122" s="611" t="str">
        <f>IF(Pressure!$T$8="","",Pressure!$T$8)</f>
        <v/>
      </c>
      <c r="G122" s="611" t="str">
        <f>IF(Pressure!$Y$8="","",Pressure!$Y$8)</f>
        <v/>
      </c>
      <c r="H122" s="625" t="str">
        <f>IF(Pressure!$AD$8="","",Pressure!$AD$8)</f>
        <v/>
      </c>
      <c r="I122" s="399"/>
      <c r="J122" s="399"/>
      <c r="K122" s="399"/>
      <c r="L122" s="399"/>
      <c r="M122" s="399"/>
      <c r="N122" s="399"/>
    </row>
    <row r="123" spans="1:14" x14ac:dyDescent="0.25">
      <c r="A123" s="1481"/>
      <c r="B123" s="599" t="s">
        <v>60</v>
      </c>
      <c r="C123" s="608" t="str">
        <f t="shared" ref="C123:H123" si="37">IF(COUNT(C119:C122)&gt;0,AVERAGE(C119:C122),"")</f>
        <v/>
      </c>
      <c r="D123" s="609" t="str">
        <f t="shared" si="37"/>
        <v/>
      </c>
      <c r="E123" s="609" t="str">
        <f t="shared" si="37"/>
        <v/>
      </c>
      <c r="F123" s="609" t="str">
        <f t="shared" si="37"/>
        <v/>
      </c>
      <c r="G123" s="609" t="str">
        <f t="shared" si="37"/>
        <v/>
      </c>
      <c r="H123" s="624" t="str">
        <f t="shared" si="37"/>
        <v/>
      </c>
      <c r="I123" s="399"/>
      <c r="J123" s="399"/>
      <c r="K123" s="399"/>
      <c r="L123" s="399"/>
      <c r="M123" s="399"/>
      <c r="N123" s="399"/>
    </row>
    <row r="124" spans="1:14" x14ac:dyDescent="0.25">
      <c r="A124" s="1481"/>
      <c r="B124" s="603" t="s">
        <v>57</v>
      </c>
      <c r="C124" s="608" t="str">
        <f t="shared" ref="C124:H124" si="38">IF(COUNT(C119:C122)&gt;1,STDEV(C119:C122),"")</f>
        <v/>
      </c>
      <c r="D124" s="609" t="str">
        <f t="shared" si="38"/>
        <v/>
      </c>
      <c r="E124" s="609" t="str">
        <f t="shared" si="38"/>
        <v/>
      </c>
      <c r="F124" s="609" t="str">
        <f t="shared" si="38"/>
        <v/>
      </c>
      <c r="G124" s="609" t="str">
        <f t="shared" si="38"/>
        <v/>
      </c>
      <c r="H124" s="624" t="str">
        <f t="shared" si="38"/>
        <v/>
      </c>
      <c r="I124" s="399"/>
      <c r="J124" s="399"/>
      <c r="K124" s="399"/>
      <c r="L124" s="399"/>
      <c r="M124" s="399"/>
      <c r="N124" s="399"/>
    </row>
    <row r="125" spans="1:14" x14ac:dyDescent="0.25">
      <c r="A125" s="1481"/>
      <c r="B125" s="603" t="s">
        <v>58</v>
      </c>
      <c r="C125" s="608" t="str">
        <f t="shared" ref="C125:H125" si="39">IF(OR(C124="",C124=0),"",100*C124/C123)</f>
        <v/>
      </c>
      <c r="D125" s="609" t="str">
        <f t="shared" si="39"/>
        <v/>
      </c>
      <c r="E125" s="609" t="str">
        <f t="shared" si="39"/>
        <v/>
      </c>
      <c r="F125" s="609" t="str">
        <f t="shared" si="39"/>
        <v/>
      </c>
      <c r="G125" s="609" t="str">
        <f t="shared" si="39"/>
        <v/>
      </c>
      <c r="H125" s="624" t="str">
        <f t="shared" si="39"/>
        <v/>
      </c>
      <c r="I125" s="399"/>
      <c r="J125" s="399"/>
      <c r="K125" s="399"/>
      <c r="L125" s="399"/>
      <c r="M125" s="399"/>
      <c r="N125" s="399"/>
    </row>
    <row r="126" spans="1:14" ht="15.75" thickBot="1" x14ac:dyDescent="0.3">
      <c r="A126" s="1482"/>
      <c r="B126" s="604" t="s">
        <v>59</v>
      </c>
      <c r="C126" s="610" t="str">
        <f t="shared" ref="C126:H126" si="40">IF(OR(C124="",C124=0),"",CONFIDENCE(0.05,C124,4))</f>
        <v/>
      </c>
      <c r="D126" s="611" t="str">
        <f t="shared" si="40"/>
        <v/>
      </c>
      <c r="E126" s="611" t="str">
        <f t="shared" si="40"/>
        <v/>
      </c>
      <c r="F126" s="611" t="str">
        <f t="shared" si="40"/>
        <v/>
      </c>
      <c r="G126" s="611" t="str">
        <f t="shared" si="40"/>
        <v/>
      </c>
      <c r="H126" s="625" t="str">
        <f t="shared" si="40"/>
        <v/>
      </c>
      <c r="I126" s="399"/>
      <c r="J126" s="399"/>
      <c r="K126" s="399"/>
      <c r="L126" s="399"/>
      <c r="M126" s="399"/>
      <c r="N126" s="399"/>
    </row>
    <row r="127" spans="1:14" x14ac:dyDescent="0.25">
      <c r="A127" s="596"/>
      <c r="B127" s="597"/>
      <c r="C127" s="399"/>
      <c r="D127" s="399"/>
      <c r="E127" s="399"/>
      <c r="F127" s="399"/>
      <c r="G127" s="399"/>
      <c r="H127" s="399"/>
      <c r="I127" s="399"/>
      <c r="J127" s="399"/>
      <c r="K127" s="399"/>
      <c r="L127" s="399"/>
      <c r="M127" s="399"/>
      <c r="N127" s="399"/>
    </row>
    <row r="128" spans="1:14" ht="15.75" thickBot="1" x14ac:dyDescent="0.3">
      <c r="A128" s="605"/>
      <c r="B128" s="605"/>
      <c r="C128" s="411"/>
      <c r="D128" s="411"/>
      <c r="E128" s="411"/>
      <c r="F128" s="411"/>
      <c r="G128" s="411"/>
      <c r="H128" s="411"/>
      <c r="I128" s="411"/>
      <c r="J128" s="411"/>
      <c r="K128" s="411"/>
      <c r="L128" s="411"/>
      <c r="M128" s="411"/>
      <c r="N128" s="411"/>
    </row>
  </sheetData>
  <sheetProtection sheet="1" objects="1" scenarios="1"/>
  <mergeCells count="11">
    <mergeCell ref="A2:A8"/>
    <mergeCell ref="A71:A78"/>
    <mergeCell ref="A11:A18"/>
    <mergeCell ref="A95:A102"/>
    <mergeCell ref="A107:A114"/>
    <mergeCell ref="A119:A126"/>
    <mergeCell ref="A23:A30"/>
    <mergeCell ref="A83:A90"/>
    <mergeCell ref="A59:A66"/>
    <mergeCell ref="A35:A42"/>
    <mergeCell ref="A47:A54"/>
  </mergeCells>
  <pageMargins left="0.7" right="0.7" top="0.5" bottom="0.5" header="0.3" footer="0.3"/>
  <pageSetup scale="62" fitToHeight="2" orientation="portrait" r:id="rId1"/>
  <rowBreaks count="1" manualBreakCount="1">
    <brk id="67"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00FF00"/>
    <pageSetUpPr fitToPage="1"/>
  </sheetPr>
  <dimension ref="A1:AE262"/>
  <sheetViews>
    <sheetView workbookViewId="0">
      <pane xSplit="1" ySplit="10" topLeftCell="B11" activePane="bottomRight" state="frozen"/>
      <selection activeCell="AA2" sqref="AA2:AD2"/>
      <selection pane="topRight" activeCell="AA2" sqref="AA2:AD2"/>
      <selection pane="bottomLeft" activeCell="AA2" sqref="AA2:AD2"/>
      <selection pane="bottomRight" activeCell="B11" sqref="B11"/>
    </sheetView>
  </sheetViews>
  <sheetFormatPr defaultColWidth="8.85546875" defaultRowHeight="15" x14ac:dyDescent="0.25"/>
  <cols>
    <col min="1" max="1" width="14.85546875" style="7" customWidth="1"/>
    <col min="2" max="2" width="8.42578125" style="7" customWidth="1"/>
    <col min="3" max="3" width="8.85546875" style="7" customWidth="1"/>
    <col min="4" max="5" width="8.85546875" style="7"/>
    <col min="6" max="6" width="10" style="7" customWidth="1"/>
    <col min="7" max="10" width="8.85546875" style="7"/>
    <col min="11" max="11" width="10" style="7" customWidth="1"/>
    <col min="12" max="15" width="8.85546875" style="7"/>
    <col min="16" max="16" width="10" style="7" customWidth="1"/>
    <col min="17" max="19" width="8.85546875" style="7"/>
    <col min="20" max="20" width="9.42578125" style="7" bestFit="1" customWidth="1"/>
    <col min="21" max="21" width="10" style="7" customWidth="1"/>
    <col min="22" max="25" width="8.85546875" style="7"/>
    <col min="26" max="26" width="10" style="7" customWidth="1"/>
    <col min="27" max="30" width="8.85546875" style="7"/>
    <col min="31" max="31" width="10" style="7" customWidth="1"/>
    <col min="32" max="16384" width="8.85546875" style="7"/>
  </cols>
  <sheetData>
    <row r="1" spans="1:31" s="256" customFormat="1" ht="19.5" customHeight="1" thickBot="1" x14ac:dyDescent="0.35">
      <c r="A1" s="642"/>
      <c r="B1" s="1447"/>
      <c r="C1" s="1448"/>
      <c r="D1" s="1448"/>
      <c r="E1" s="1449"/>
      <c r="F1" s="643"/>
      <c r="G1" s="1450"/>
      <c r="H1" s="1451"/>
      <c r="I1" s="1451"/>
      <c r="J1" s="1452"/>
      <c r="K1" s="643"/>
      <c r="L1" s="1453"/>
      <c r="M1" s="1454"/>
      <c r="N1" s="1454"/>
      <c r="O1" s="1455"/>
      <c r="P1" s="643"/>
      <c r="Q1" s="1456"/>
      <c r="R1" s="1457"/>
      <c r="S1" s="1457"/>
      <c r="T1" s="1458"/>
      <c r="U1" s="643"/>
      <c r="V1" s="1459"/>
      <c r="W1" s="1460"/>
      <c r="X1" s="1460"/>
      <c r="Y1" s="1461"/>
      <c r="Z1" s="643"/>
      <c r="AA1" s="1444"/>
      <c r="AB1" s="1445"/>
      <c r="AC1" s="1445"/>
      <c r="AD1" s="1446"/>
      <c r="AE1" s="254"/>
    </row>
    <row r="2" spans="1:31" ht="108" customHeight="1" thickBot="1" x14ac:dyDescent="0.3">
      <c r="A2" s="417" t="s">
        <v>3</v>
      </c>
      <c r="B2" s="258"/>
      <c r="C2" s="259"/>
      <c r="D2" s="259"/>
      <c r="E2" s="418"/>
      <c r="F2" s="419"/>
      <c r="G2" s="420"/>
      <c r="H2" s="261"/>
      <c r="I2" s="261"/>
      <c r="J2" s="262"/>
      <c r="K2" s="421"/>
      <c r="L2" s="264"/>
      <c r="M2" s="265"/>
      <c r="N2" s="265"/>
      <c r="O2" s="266"/>
      <c r="P2" s="422"/>
      <c r="Q2" s="268"/>
      <c r="R2" s="269"/>
      <c r="S2" s="269"/>
      <c r="T2" s="270"/>
      <c r="U2" s="423"/>
      <c r="V2" s="424"/>
      <c r="W2" s="425"/>
      <c r="X2" s="425"/>
      <c r="Y2" s="426"/>
      <c r="Z2" s="272"/>
      <c r="AA2" s="513"/>
      <c r="AB2" s="514"/>
      <c r="AC2" s="514"/>
      <c r="AD2" s="515"/>
      <c r="AE2" s="276"/>
    </row>
    <row r="3" spans="1:31" x14ac:dyDescent="0.25">
      <c r="A3" s="277" t="s">
        <v>11</v>
      </c>
      <c r="B3" s="278"/>
      <c r="C3" s="279"/>
      <c r="D3" s="279"/>
      <c r="E3" s="280"/>
      <c r="F3" s="1019"/>
      <c r="G3" s="428"/>
      <c r="H3" s="283"/>
      <c r="I3" s="283"/>
      <c r="J3" s="284"/>
      <c r="K3" s="1021"/>
      <c r="L3" s="286"/>
      <c r="M3" s="287"/>
      <c r="N3" s="287"/>
      <c r="O3" s="288"/>
      <c r="P3" s="1023" t="s">
        <v>122</v>
      </c>
      <c r="Q3" s="290"/>
      <c r="R3" s="291"/>
      <c r="S3" s="291"/>
      <c r="T3" s="292"/>
      <c r="U3" s="1025" t="s">
        <v>122</v>
      </c>
      <c r="V3" s="294"/>
      <c r="W3" s="295"/>
      <c r="X3" s="295"/>
      <c r="Y3" s="296"/>
      <c r="Z3" s="1027" t="s">
        <v>122</v>
      </c>
      <c r="AA3" s="298"/>
      <c r="AB3" s="299"/>
      <c r="AC3" s="299"/>
      <c r="AD3" s="300"/>
      <c r="AE3" s="1029" t="s">
        <v>122</v>
      </c>
    </row>
    <row r="4" spans="1:31" ht="15" customHeight="1" thickBot="1" x14ac:dyDescent="0.3">
      <c r="A4" s="277" t="s">
        <v>56</v>
      </c>
      <c r="B4" s="644"/>
      <c r="C4" s="645"/>
      <c r="D4" s="645"/>
      <c r="E4" s="646"/>
      <c r="F4" s="1020"/>
      <c r="G4" s="647"/>
      <c r="H4" s="648"/>
      <c r="I4" s="648"/>
      <c r="J4" s="649"/>
      <c r="K4" s="1022"/>
      <c r="L4" s="650"/>
      <c r="M4" s="651"/>
      <c r="N4" s="651"/>
      <c r="O4" s="652"/>
      <c r="P4" s="1024"/>
      <c r="Q4" s="653"/>
      <c r="R4" s="654"/>
      <c r="S4" s="654"/>
      <c r="T4" s="655"/>
      <c r="U4" s="1026"/>
      <c r="V4" s="656"/>
      <c r="W4" s="657"/>
      <c r="X4" s="657"/>
      <c r="Y4" s="658"/>
      <c r="Z4" s="1028"/>
      <c r="AA4" s="659"/>
      <c r="AB4" s="660"/>
      <c r="AC4" s="660"/>
      <c r="AD4" s="661"/>
      <c r="AE4" s="1030"/>
    </row>
    <row r="5" spans="1:31" ht="15.75" thickBot="1" x14ac:dyDescent="0.3">
      <c r="A5" s="277"/>
      <c r="B5" s="1220"/>
      <c r="C5" s="1221"/>
      <c r="D5" s="1221"/>
      <c r="E5" s="1222"/>
      <c r="F5" s="1191"/>
      <c r="G5" s="1223"/>
      <c r="H5" s="1224"/>
      <c r="I5" s="1224"/>
      <c r="J5" s="1218"/>
      <c r="K5" s="1192"/>
      <c r="L5" s="1225"/>
      <c r="M5" s="1226"/>
      <c r="N5" s="1226"/>
      <c r="O5" s="1219"/>
      <c r="P5" s="1193"/>
      <c r="Q5" s="1230"/>
      <c r="R5" s="1231"/>
      <c r="S5" s="1231"/>
      <c r="T5" s="1232"/>
      <c r="U5" s="1399"/>
      <c r="V5" s="1227"/>
      <c r="W5" s="1228"/>
      <c r="X5" s="1228"/>
      <c r="Y5" s="1229"/>
      <c r="Z5" s="1194"/>
      <c r="AA5" s="662"/>
      <c r="AB5" s="663"/>
      <c r="AC5" s="663"/>
      <c r="AD5" s="664"/>
      <c r="AE5" s="355"/>
    </row>
    <row r="6" spans="1:31" ht="15.75" customHeight="1" thickBot="1" x14ac:dyDescent="0.35">
      <c r="A6" s="277" t="s">
        <v>43</v>
      </c>
      <c r="B6" s="665"/>
      <c r="C6" s="666"/>
      <c r="D6" s="666"/>
      <c r="E6" s="667"/>
      <c r="F6" s="1140"/>
      <c r="G6" s="668"/>
      <c r="H6" s="669"/>
      <c r="I6" s="669"/>
      <c r="J6" s="670"/>
      <c r="K6" s="1141"/>
      <c r="L6" s="671"/>
      <c r="M6" s="672"/>
      <c r="N6" s="672"/>
      <c r="O6" s="673"/>
      <c r="P6" s="1142"/>
      <c r="Q6" s="674"/>
      <c r="R6" s="675"/>
      <c r="S6" s="675"/>
      <c r="T6" s="676"/>
      <c r="U6" s="1143"/>
      <c r="V6" s="677"/>
      <c r="W6" s="678"/>
      <c r="X6" s="678"/>
      <c r="Y6" s="679"/>
      <c r="Z6" s="1144"/>
      <c r="AA6" s="680"/>
      <c r="AB6" s="681"/>
      <c r="AC6" s="681"/>
      <c r="AD6" s="682"/>
      <c r="AE6" s="1145"/>
    </row>
    <row r="7" spans="1:31" ht="15.75" thickBot="1" x14ac:dyDescent="0.3">
      <c r="A7" s="277" t="s">
        <v>4</v>
      </c>
      <c r="B7" s="639"/>
      <c r="C7" s="640"/>
      <c r="D7" s="640"/>
      <c r="E7" s="641"/>
      <c r="F7" s="1146"/>
      <c r="G7" s="639"/>
      <c r="H7" s="640"/>
      <c r="I7" s="640"/>
      <c r="J7" s="641"/>
      <c r="K7" s="1148"/>
      <c r="L7" s="639"/>
      <c r="M7" s="640"/>
      <c r="N7" s="640"/>
      <c r="O7" s="641"/>
      <c r="P7" s="1150"/>
      <c r="Q7" s="639"/>
      <c r="R7" s="640"/>
      <c r="S7" s="640"/>
      <c r="T7" s="641"/>
      <c r="U7" s="1152"/>
      <c r="V7" s="639"/>
      <c r="W7" s="640"/>
      <c r="X7" s="640"/>
      <c r="Y7" s="641"/>
      <c r="Z7" s="474"/>
      <c r="AA7" s="639"/>
      <c r="AB7" s="640"/>
      <c r="AC7" s="640"/>
      <c r="AD7" s="641"/>
      <c r="AE7" s="475"/>
    </row>
    <row r="8" spans="1:31" ht="15.75" thickBot="1" x14ac:dyDescent="0.3">
      <c r="A8" s="277" t="s">
        <v>5</v>
      </c>
      <c r="B8" s="639"/>
      <c r="C8" s="640"/>
      <c r="D8" s="640"/>
      <c r="E8" s="641"/>
      <c r="F8" s="1147"/>
      <c r="G8" s="639"/>
      <c r="H8" s="640"/>
      <c r="I8" s="640"/>
      <c r="J8" s="641"/>
      <c r="K8" s="1149"/>
      <c r="L8" s="639"/>
      <c r="M8" s="640"/>
      <c r="N8" s="640"/>
      <c r="O8" s="641"/>
      <c r="P8" s="1151"/>
      <c r="Q8" s="639"/>
      <c r="R8" s="640"/>
      <c r="S8" s="640"/>
      <c r="T8" s="641"/>
      <c r="U8" s="1153"/>
      <c r="V8" s="639"/>
      <c r="W8" s="640"/>
      <c r="X8" s="640"/>
      <c r="Y8" s="641"/>
      <c r="Z8" s="476"/>
      <c r="AA8" s="639"/>
      <c r="AB8" s="640"/>
      <c r="AC8" s="640"/>
      <c r="AD8" s="641"/>
      <c r="AE8" s="477"/>
    </row>
    <row r="9" spans="1:31" ht="15.75" thickBot="1" x14ac:dyDescent="0.3">
      <c r="A9" s="277" t="s">
        <v>6</v>
      </c>
      <c r="B9" s="356"/>
      <c r="C9" s="357"/>
      <c r="D9" s="357"/>
      <c r="E9" s="555"/>
      <c r="F9" s="1106"/>
      <c r="G9" s="556"/>
      <c r="H9" s="557"/>
      <c r="I9" s="557"/>
      <c r="J9" s="558"/>
      <c r="K9" s="1107"/>
      <c r="L9" s="559"/>
      <c r="M9" s="560"/>
      <c r="N9" s="560"/>
      <c r="O9" s="561"/>
      <c r="P9" s="1108"/>
      <c r="Q9" s="562"/>
      <c r="R9" s="563"/>
      <c r="S9" s="563"/>
      <c r="T9" s="564"/>
      <c r="U9" s="1109"/>
      <c r="V9" s="565"/>
      <c r="W9" s="566"/>
      <c r="X9" s="566"/>
      <c r="Y9" s="567"/>
      <c r="Z9" s="1110"/>
      <c r="AA9" s="568"/>
      <c r="AB9" s="569"/>
      <c r="AC9" s="569"/>
      <c r="AD9" s="570"/>
      <c r="AE9" s="1111"/>
    </row>
    <row r="10" spans="1:31" ht="73.5" customHeight="1" thickBot="1" x14ac:dyDescent="0.3">
      <c r="A10" s="374" t="s">
        <v>0</v>
      </c>
      <c r="B10" s="375"/>
      <c r="C10" s="376"/>
      <c r="D10" s="376"/>
      <c r="E10" s="377"/>
      <c r="F10" s="378"/>
      <c r="G10" s="379"/>
      <c r="H10" s="380"/>
      <c r="I10" s="380"/>
      <c r="J10" s="381"/>
      <c r="K10" s="382"/>
      <c r="L10" s="383"/>
      <c r="M10" s="384"/>
      <c r="N10" s="384"/>
      <c r="O10" s="385"/>
      <c r="P10" s="386"/>
      <c r="Q10" s="387"/>
      <c r="R10" s="388"/>
      <c r="S10" s="388"/>
      <c r="T10" s="389"/>
      <c r="U10" s="496"/>
      <c r="V10" s="391"/>
      <c r="W10" s="392"/>
      <c r="X10" s="392"/>
      <c r="Y10" s="393"/>
      <c r="Z10" s="394"/>
      <c r="AA10" s="395"/>
      <c r="AB10" s="396"/>
      <c r="AC10" s="396"/>
      <c r="AD10" s="397"/>
      <c r="AE10" s="398"/>
    </row>
    <row r="11" spans="1:31" x14ac:dyDescent="0.25">
      <c r="A11" s="399">
        <v>0</v>
      </c>
      <c r="B11" s="508"/>
      <c r="C11" s="508"/>
      <c r="D11" s="508"/>
      <c r="E11" s="508"/>
      <c r="F11" s="683"/>
      <c r="G11" s="508"/>
      <c r="H11" s="508"/>
      <c r="I11" s="508"/>
      <c r="J11" s="508"/>
      <c r="K11" s="684"/>
      <c r="L11" s="508"/>
      <c r="M11" s="508"/>
      <c r="N11" s="508"/>
      <c r="O11" s="508"/>
      <c r="P11" s="685"/>
      <c r="Q11" s="508"/>
      <c r="R11" s="508"/>
      <c r="S11" s="508"/>
      <c r="T11" s="508"/>
      <c r="U11" s="686"/>
      <c r="V11" s="508"/>
      <c r="W11" s="508"/>
      <c r="X11" s="508"/>
      <c r="Y11" s="508"/>
      <c r="Z11" s="687"/>
      <c r="AA11" s="508"/>
      <c r="AB11" s="508"/>
      <c r="AC11" s="508"/>
      <c r="AD11" s="508"/>
      <c r="AE11" s="509"/>
    </row>
    <row r="12" spans="1:31" x14ac:dyDescent="0.25">
      <c r="A12" s="399">
        <v>1</v>
      </c>
      <c r="B12" s="508"/>
      <c r="C12" s="508"/>
      <c r="D12" s="508"/>
      <c r="E12" s="508"/>
      <c r="F12" s="503"/>
      <c r="G12" s="508"/>
      <c r="H12" s="508"/>
      <c r="I12" s="508"/>
      <c r="J12" s="508"/>
      <c r="K12" s="504"/>
      <c r="L12" s="508"/>
      <c r="M12" s="508"/>
      <c r="N12" s="508"/>
      <c r="O12" s="508"/>
      <c r="P12" s="505"/>
      <c r="Q12" s="508"/>
      <c r="R12" s="508"/>
      <c r="S12" s="508"/>
      <c r="T12" s="508"/>
      <c r="U12" s="506"/>
      <c r="V12" s="508"/>
      <c r="W12" s="508"/>
      <c r="X12" s="508"/>
      <c r="Y12" s="508"/>
      <c r="Z12" s="507"/>
      <c r="AA12" s="508"/>
      <c r="AB12" s="508"/>
      <c r="AC12" s="508"/>
      <c r="AD12" s="508"/>
      <c r="AE12" s="509"/>
    </row>
    <row r="13" spans="1:31" x14ac:dyDescent="0.25">
      <c r="A13" s="399">
        <v>2</v>
      </c>
      <c r="B13" s="508"/>
      <c r="C13" s="508"/>
      <c r="D13" s="508"/>
      <c r="E13" s="508"/>
      <c r="F13" s="503"/>
      <c r="G13" s="508"/>
      <c r="H13" s="508"/>
      <c r="I13" s="508"/>
      <c r="J13" s="508"/>
      <c r="K13" s="504"/>
      <c r="L13" s="508"/>
      <c r="M13" s="508"/>
      <c r="N13" s="508"/>
      <c r="O13" s="508"/>
      <c r="P13" s="505"/>
      <c r="Q13" s="508"/>
      <c r="R13" s="508"/>
      <c r="S13" s="508"/>
      <c r="T13" s="508"/>
      <c r="U13" s="506"/>
      <c r="V13" s="508"/>
      <c r="W13" s="508"/>
      <c r="X13" s="508"/>
      <c r="Y13" s="508"/>
      <c r="Z13" s="507"/>
      <c r="AA13" s="508"/>
      <c r="AB13" s="508"/>
      <c r="AC13" s="508"/>
      <c r="AD13" s="508"/>
      <c r="AE13" s="509"/>
    </row>
    <row r="14" spans="1:31" x14ac:dyDescent="0.25">
      <c r="A14" s="399">
        <v>3</v>
      </c>
      <c r="B14" s="508"/>
      <c r="C14" s="508"/>
      <c r="D14" s="508"/>
      <c r="E14" s="508"/>
      <c r="F14" s="503"/>
      <c r="G14" s="508"/>
      <c r="H14" s="508"/>
      <c r="I14" s="508"/>
      <c r="J14" s="508"/>
      <c r="K14" s="504"/>
      <c r="L14" s="508"/>
      <c r="M14" s="508"/>
      <c r="N14" s="508"/>
      <c r="O14" s="508"/>
      <c r="P14" s="505"/>
      <c r="Q14" s="508"/>
      <c r="R14" s="508"/>
      <c r="S14" s="508"/>
      <c r="T14" s="508"/>
      <c r="U14" s="506"/>
      <c r="V14" s="508"/>
      <c r="W14" s="508"/>
      <c r="X14" s="508"/>
      <c r="Y14" s="508"/>
      <c r="Z14" s="507"/>
      <c r="AA14" s="508"/>
      <c r="AB14" s="508"/>
      <c r="AC14" s="508"/>
      <c r="AD14" s="508"/>
      <c r="AE14" s="509"/>
    </row>
    <row r="15" spans="1:31" x14ac:dyDescent="0.25">
      <c r="A15" s="399">
        <v>4</v>
      </c>
      <c r="B15" s="508"/>
      <c r="C15" s="508"/>
      <c r="D15" s="508"/>
      <c r="E15" s="508"/>
      <c r="F15" s="503"/>
      <c r="G15" s="508"/>
      <c r="H15" s="508"/>
      <c r="I15" s="508"/>
      <c r="J15" s="508"/>
      <c r="K15" s="504"/>
      <c r="L15" s="508"/>
      <c r="M15" s="508"/>
      <c r="N15" s="508"/>
      <c r="O15" s="508"/>
      <c r="P15" s="505"/>
      <c r="Q15" s="508"/>
      <c r="R15" s="508"/>
      <c r="S15" s="508"/>
      <c r="T15" s="508"/>
      <c r="U15" s="506"/>
      <c r="V15" s="508"/>
      <c r="W15" s="508"/>
      <c r="X15" s="508"/>
      <c r="Y15" s="508"/>
      <c r="Z15" s="507"/>
      <c r="AA15" s="508"/>
      <c r="AB15" s="508"/>
      <c r="AC15" s="508"/>
      <c r="AD15" s="508"/>
      <c r="AE15" s="509"/>
    </row>
    <row r="16" spans="1:31" x14ac:dyDescent="0.25">
      <c r="A16" s="399">
        <v>5</v>
      </c>
      <c r="B16" s="508"/>
      <c r="C16" s="508"/>
      <c r="D16" s="508"/>
      <c r="E16" s="508"/>
      <c r="F16" s="503"/>
      <c r="G16" s="508"/>
      <c r="H16" s="508"/>
      <c r="I16" s="508"/>
      <c r="J16" s="508"/>
      <c r="K16" s="504"/>
      <c r="L16" s="508"/>
      <c r="M16" s="508"/>
      <c r="N16" s="508"/>
      <c r="O16" s="508"/>
      <c r="P16" s="505"/>
      <c r="Q16" s="508"/>
      <c r="R16" s="508"/>
      <c r="S16" s="508"/>
      <c r="T16" s="508"/>
      <c r="U16" s="506"/>
      <c r="V16" s="508"/>
      <c r="W16" s="508"/>
      <c r="X16" s="508"/>
      <c r="Y16" s="508"/>
      <c r="Z16" s="507"/>
      <c r="AA16" s="508"/>
      <c r="AB16" s="508"/>
      <c r="AC16" s="508"/>
      <c r="AD16" s="508"/>
      <c r="AE16" s="509"/>
    </row>
    <row r="17" spans="1:31" x14ac:dyDescent="0.25">
      <c r="A17" s="399">
        <v>6</v>
      </c>
      <c r="B17" s="508"/>
      <c r="C17" s="508"/>
      <c r="D17" s="508"/>
      <c r="E17" s="508"/>
      <c r="F17" s="503"/>
      <c r="G17" s="508"/>
      <c r="H17" s="508"/>
      <c r="I17" s="508"/>
      <c r="J17" s="508"/>
      <c r="K17" s="504"/>
      <c r="L17" s="508"/>
      <c r="M17" s="508"/>
      <c r="N17" s="508"/>
      <c r="O17" s="508"/>
      <c r="P17" s="505"/>
      <c r="Q17" s="508"/>
      <c r="R17" s="508"/>
      <c r="S17" s="508"/>
      <c r="T17" s="508"/>
      <c r="U17" s="506"/>
      <c r="V17" s="508"/>
      <c r="W17" s="508"/>
      <c r="X17" s="508"/>
      <c r="Y17" s="508"/>
      <c r="Z17" s="507"/>
      <c r="AA17" s="508"/>
      <c r="AB17" s="508"/>
      <c r="AC17" s="508"/>
      <c r="AD17" s="508"/>
      <c r="AE17" s="509"/>
    </row>
    <row r="18" spans="1:31" x14ac:dyDescent="0.25">
      <c r="A18" s="399">
        <v>7</v>
      </c>
      <c r="B18" s="508"/>
      <c r="C18" s="508"/>
      <c r="D18" s="508"/>
      <c r="E18" s="508"/>
      <c r="F18" s="503"/>
      <c r="G18" s="508"/>
      <c r="H18" s="508"/>
      <c r="I18" s="508"/>
      <c r="J18" s="508"/>
      <c r="K18" s="504"/>
      <c r="L18" s="508"/>
      <c r="M18" s="508"/>
      <c r="N18" s="508"/>
      <c r="O18" s="508"/>
      <c r="P18" s="505"/>
      <c r="Q18" s="508"/>
      <c r="R18" s="508"/>
      <c r="S18" s="508"/>
      <c r="T18" s="508"/>
      <c r="U18" s="506"/>
      <c r="V18" s="508"/>
      <c r="W18" s="508"/>
      <c r="X18" s="508"/>
      <c r="Y18" s="508"/>
      <c r="Z18" s="507"/>
      <c r="AA18" s="508"/>
      <c r="AB18" s="508"/>
      <c r="AC18" s="508"/>
      <c r="AD18" s="508"/>
      <c r="AE18" s="509"/>
    </row>
    <row r="19" spans="1:31" x14ac:dyDescent="0.25">
      <c r="A19" s="399">
        <v>8</v>
      </c>
      <c r="B19" s="508"/>
      <c r="C19" s="508"/>
      <c r="D19" s="508"/>
      <c r="E19" s="508"/>
      <c r="F19" s="503"/>
      <c r="G19" s="508"/>
      <c r="H19" s="508"/>
      <c r="I19" s="508"/>
      <c r="J19" s="508"/>
      <c r="K19" s="504"/>
      <c r="L19" s="508"/>
      <c r="M19" s="508"/>
      <c r="N19" s="508"/>
      <c r="O19" s="508"/>
      <c r="P19" s="505"/>
      <c r="Q19" s="508"/>
      <c r="R19" s="508"/>
      <c r="S19" s="508"/>
      <c r="T19" s="508"/>
      <c r="U19" s="506"/>
      <c r="V19" s="508"/>
      <c r="W19" s="508"/>
      <c r="X19" s="508"/>
      <c r="Y19" s="508"/>
      <c r="Z19" s="507"/>
      <c r="AA19" s="508"/>
      <c r="AB19" s="508"/>
      <c r="AC19" s="508"/>
      <c r="AD19" s="508"/>
      <c r="AE19" s="509"/>
    </row>
    <row r="20" spans="1:31" x14ac:dyDescent="0.25">
      <c r="A20" s="399">
        <v>9</v>
      </c>
      <c r="B20" s="508"/>
      <c r="C20" s="508"/>
      <c r="D20" s="508"/>
      <c r="E20" s="508"/>
      <c r="F20" s="503"/>
      <c r="G20" s="508"/>
      <c r="H20" s="508"/>
      <c r="I20" s="508"/>
      <c r="J20" s="508"/>
      <c r="K20" s="504"/>
      <c r="L20" s="508"/>
      <c r="M20" s="508"/>
      <c r="N20" s="508"/>
      <c r="O20" s="508"/>
      <c r="P20" s="505"/>
      <c r="Q20" s="508"/>
      <c r="R20" s="508"/>
      <c r="S20" s="508"/>
      <c r="T20" s="508"/>
      <c r="U20" s="506"/>
      <c r="V20" s="508"/>
      <c r="W20" s="508"/>
      <c r="X20" s="508"/>
      <c r="Y20" s="508"/>
      <c r="Z20" s="507"/>
      <c r="AA20" s="508"/>
      <c r="AB20" s="508"/>
      <c r="AC20" s="508"/>
      <c r="AD20" s="508"/>
      <c r="AE20" s="509"/>
    </row>
    <row r="21" spans="1:31" x14ac:dyDescent="0.25">
      <c r="A21" s="399">
        <v>10</v>
      </c>
      <c r="B21" s="508"/>
      <c r="C21" s="508"/>
      <c r="D21" s="508"/>
      <c r="E21" s="508"/>
      <c r="F21" s="503"/>
      <c r="G21" s="508"/>
      <c r="H21" s="508"/>
      <c r="I21" s="508"/>
      <c r="J21" s="508"/>
      <c r="K21" s="504"/>
      <c r="L21" s="508"/>
      <c r="M21" s="508"/>
      <c r="N21" s="508"/>
      <c r="O21" s="508"/>
      <c r="P21" s="505"/>
      <c r="Q21" s="508"/>
      <c r="R21" s="508"/>
      <c r="S21" s="508"/>
      <c r="T21" s="508"/>
      <c r="U21" s="506"/>
      <c r="V21" s="508"/>
      <c r="W21" s="508"/>
      <c r="X21" s="508"/>
      <c r="Y21" s="508"/>
      <c r="Z21" s="507"/>
      <c r="AA21" s="508"/>
      <c r="AB21" s="508"/>
      <c r="AC21" s="508"/>
      <c r="AD21" s="508"/>
      <c r="AE21" s="509"/>
    </row>
    <row r="22" spans="1:31" x14ac:dyDescent="0.25">
      <c r="A22" s="399">
        <v>11</v>
      </c>
      <c r="B22" s="508"/>
      <c r="C22" s="508"/>
      <c r="D22" s="508"/>
      <c r="E22" s="508"/>
      <c r="F22" s="503"/>
      <c r="G22" s="508"/>
      <c r="H22" s="508"/>
      <c r="I22" s="508"/>
      <c r="J22" s="508"/>
      <c r="K22" s="504"/>
      <c r="L22" s="508"/>
      <c r="M22" s="508"/>
      <c r="N22" s="508"/>
      <c r="O22" s="508"/>
      <c r="P22" s="505"/>
      <c r="Q22" s="508"/>
      <c r="R22" s="508"/>
      <c r="S22" s="508"/>
      <c r="T22" s="508"/>
      <c r="U22" s="506"/>
      <c r="V22" s="508"/>
      <c r="W22" s="508"/>
      <c r="X22" s="508"/>
      <c r="Y22" s="508"/>
      <c r="Z22" s="507"/>
      <c r="AA22" s="508"/>
      <c r="AB22" s="508"/>
      <c r="AC22" s="508"/>
      <c r="AD22" s="508"/>
      <c r="AE22" s="509"/>
    </row>
    <row r="23" spans="1:31" x14ac:dyDescent="0.25">
      <c r="A23" s="399">
        <v>12</v>
      </c>
      <c r="B23" s="508"/>
      <c r="C23" s="508"/>
      <c r="D23" s="508"/>
      <c r="E23" s="508"/>
      <c r="F23" s="503"/>
      <c r="G23" s="508"/>
      <c r="H23" s="508"/>
      <c r="I23" s="508"/>
      <c r="J23" s="508"/>
      <c r="K23" s="504"/>
      <c r="L23" s="508"/>
      <c r="M23" s="508"/>
      <c r="N23" s="508"/>
      <c r="O23" s="508"/>
      <c r="P23" s="505"/>
      <c r="Q23" s="508"/>
      <c r="R23" s="508"/>
      <c r="S23" s="508"/>
      <c r="T23" s="508"/>
      <c r="U23" s="506"/>
      <c r="V23" s="508"/>
      <c r="W23" s="508"/>
      <c r="X23" s="508"/>
      <c r="Y23" s="508"/>
      <c r="Z23" s="507"/>
      <c r="AA23" s="508"/>
      <c r="AB23" s="508"/>
      <c r="AC23" s="508"/>
      <c r="AD23" s="508"/>
      <c r="AE23" s="509"/>
    </row>
    <row r="24" spans="1:31" x14ac:dyDescent="0.25">
      <c r="A24" s="399">
        <v>13</v>
      </c>
      <c r="B24" s="508"/>
      <c r="C24" s="508"/>
      <c r="D24" s="508"/>
      <c r="E24" s="508"/>
      <c r="F24" s="503"/>
      <c r="G24" s="508"/>
      <c r="H24" s="508"/>
      <c r="I24" s="508"/>
      <c r="J24" s="508"/>
      <c r="K24" s="504"/>
      <c r="L24" s="508"/>
      <c r="M24" s="508"/>
      <c r="N24" s="508"/>
      <c r="O24" s="508"/>
      <c r="P24" s="505"/>
      <c r="Q24" s="508"/>
      <c r="R24" s="508"/>
      <c r="S24" s="508"/>
      <c r="T24" s="508"/>
      <c r="U24" s="506"/>
      <c r="V24" s="508"/>
      <c r="W24" s="508"/>
      <c r="X24" s="508"/>
      <c r="Y24" s="508"/>
      <c r="Z24" s="507"/>
      <c r="AA24" s="508"/>
      <c r="AB24" s="508"/>
      <c r="AC24" s="508"/>
      <c r="AD24" s="508"/>
      <c r="AE24" s="509"/>
    </row>
    <row r="25" spans="1:31" x14ac:dyDescent="0.25">
      <c r="A25" s="399">
        <v>14</v>
      </c>
      <c r="B25" s="508"/>
      <c r="C25" s="508"/>
      <c r="D25" s="508"/>
      <c r="E25" s="508"/>
      <c r="F25" s="503"/>
      <c r="G25" s="508"/>
      <c r="H25" s="508"/>
      <c r="I25" s="508"/>
      <c r="J25" s="508"/>
      <c r="K25" s="504"/>
      <c r="L25" s="508"/>
      <c r="M25" s="508"/>
      <c r="N25" s="508"/>
      <c r="O25" s="508"/>
      <c r="P25" s="505"/>
      <c r="Q25" s="508"/>
      <c r="R25" s="508"/>
      <c r="S25" s="508"/>
      <c r="T25" s="508"/>
      <c r="U25" s="506"/>
      <c r="V25" s="508"/>
      <c r="W25" s="508"/>
      <c r="X25" s="508"/>
      <c r="Y25" s="508"/>
      <c r="Z25" s="507"/>
      <c r="AA25" s="508"/>
      <c r="AB25" s="508"/>
      <c r="AC25" s="508"/>
      <c r="AD25" s="508"/>
      <c r="AE25" s="509"/>
    </row>
    <row r="26" spans="1:31" x14ac:dyDescent="0.25">
      <c r="A26" s="399">
        <v>15</v>
      </c>
      <c r="B26" s="508"/>
      <c r="C26" s="508"/>
      <c r="D26" s="508"/>
      <c r="E26" s="508"/>
      <c r="F26" s="503"/>
      <c r="G26" s="508"/>
      <c r="H26" s="508"/>
      <c r="I26" s="508"/>
      <c r="J26" s="508"/>
      <c r="K26" s="504"/>
      <c r="L26" s="508"/>
      <c r="M26" s="508"/>
      <c r="N26" s="508"/>
      <c r="O26" s="508"/>
      <c r="P26" s="505"/>
      <c r="Q26" s="508"/>
      <c r="R26" s="508"/>
      <c r="S26" s="508"/>
      <c r="T26" s="508"/>
      <c r="U26" s="506"/>
      <c r="V26" s="508"/>
      <c r="W26" s="508"/>
      <c r="X26" s="508"/>
      <c r="Y26" s="508"/>
      <c r="Z26" s="507"/>
      <c r="AA26" s="508"/>
      <c r="AB26" s="508"/>
      <c r="AC26" s="508"/>
      <c r="AD26" s="508"/>
      <c r="AE26" s="509"/>
    </row>
    <row r="27" spans="1:31" x14ac:dyDescent="0.25">
      <c r="A27" s="399">
        <v>16</v>
      </c>
      <c r="B27" s="508"/>
      <c r="C27" s="508"/>
      <c r="D27" s="508"/>
      <c r="E27" s="508"/>
      <c r="F27" s="503"/>
      <c r="G27" s="508"/>
      <c r="H27" s="508"/>
      <c r="I27" s="508"/>
      <c r="J27" s="508"/>
      <c r="K27" s="504"/>
      <c r="L27" s="508"/>
      <c r="M27" s="508"/>
      <c r="N27" s="508"/>
      <c r="O27" s="508"/>
      <c r="P27" s="505"/>
      <c r="Q27" s="508"/>
      <c r="R27" s="508"/>
      <c r="S27" s="508"/>
      <c r="T27" s="508"/>
      <c r="U27" s="506"/>
      <c r="V27" s="508"/>
      <c r="W27" s="508"/>
      <c r="X27" s="508"/>
      <c r="Y27" s="508"/>
      <c r="Z27" s="507"/>
      <c r="AA27" s="508"/>
      <c r="AB27" s="508"/>
      <c r="AC27" s="508"/>
      <c r="AD27" s="508"/>
      <c r="AE27" s="509"/>
    </row>
    <row r="28" spans="1:31" x14ac:dyDescent="0.25">
      <c r="A28" s="399">
        <v>17</v>
      </c>
      <c r="B28" s="508"/>
      <c r="C28" s="508"/>
      <c r="D28" s="508"/>
      <c r="E28" s="508"/>
      <c r="F28" s="503"/>
      <c r="G28" s="508"/>
      <c r="H28" s="508"/>
      <c r="I28" s="508"/>
      <c r="J28" s="508"/>
      <c r="K28" s="504"/>
      <c r="L28" s="508"/>
      <c r="M28" s="508"/>
      <c r="N28" s="508"/>
      <c r="O28" s="508"/>
      <c r="P28" s="505"/>
      <c r="Q28" s="508"/>
      <c r="R28" s="508"/>
      <c r="S28" s="508"/>
      <c r="T28" s="508"/>
      <c r="U28" s="506"/>
      <c r="V28" s="508"/>
      <c r="W28" s="508"/>
      <c r="X28" s="508"/>
      <c r="Y28" s="508"/>
      <c r="Z28" s="507"/>
      <c r="AA28" s="508"/>
      <c r="AB28" s="508"/>
      <c r="AC28" s="508"/>
      <c r="AD28" s="508"/>
      <c r="AE28" s="509"/>
    </row>
    <row r="29" spans="1:31" x14ac:dyDescent="0.25">
      <c r="A29" s="399">
        <v>18</v>
      </c>
      <c r="B29" s="508"/>
      <c r="C29" s="508"/>
      <c r="D29" s="508"/>
      <c r="E29" s="508"/>
      <c r="F29" s="503"/>
      <c r="G29" s="508"/>
      <c r="H29" s="508"/>
      <c r="I29" s="508"/>
      <c r="J29" s="508"/>
      <c r="K29" s="504"/>
      <c r="L29" s="508"/>
      <c r="M29" s="508"/>
      <c r="N29" s="508"/>
      <c r="O29" s="508"/>
      <c r="P29" s="505"/>
      <c r="Q29" s="508"/>
      <c r="R29" s="508"/>
      <c r="S29" s="508"/>
      <c r="T29" s="508"/>
      <c r="U29" s="506"/>
      <c r="V29" s="508"/>
      <c r="W29" s="508"/>
      <c r="X29" s="508"/>
      <c r="Y29" s="508"/>
      <c r="Z29" s="507"/>
      <c r="AA29" s="508"/>
      <c r="AB29" s="508"/>
      <c r="AC29" s="508"/>
      <c r="AD29" s="508"/>
      <c r="AE29" s="509"/>
    </row>
    <row r="30" spans="1:31" x14ac:dyDescent="0.25">
      <c r="A30" s="399">
        <v>19</v>
      </c>
      <c r="B30" s="508"/>
      <c r="C30" s="508"/>
      <c r="D30" s="508"/>
      <c r="E30" s="508"/>
      <c r="F30" s="503"/>
      <c r="G30" s="508"/>
      <c r="H30" s="508"/>
      <c r="I30" s="508"/>
      <c r="J30" s="508"/>
      <c r="K30" s="504"/>
      <c r="L30" s="508"/>
      <c r="M30" s="508"/>
      <c r="N30" s="508"/>
      <c r="O30" s="508"/>
      <c r="P30" s="505"/>
      <c r="Q30" s="508"/>
      <c r="R30" s="508"/>
      <c r="S30" s="508"/>
      <c r="T30" s="508"/>
      <c r="U30" s="506"/>
      <c r="V30" s="508"/>
      <c r="W30" s="508"/>
      <c r="X30" s="508"/>
      <c r="Y30" s="508"/>
      <c r="Z30" s="507"/>
      <c r="AA30" s="508"/>
      <c r="AB30" s="508"/>
      <c r="AC30" s="508"/>
      <c r="AD30" s="508"/>
      <c r="AE30" s="509"/>
    </row>
    <row r="31" spans="1:31" x14ac:dyDescent="0.25">
      <c r="A31" s="399">
        <v>20</v>
      </c>
      <c r="B31" s="508"/>
      <c r="C31" s="508"/>
      <c r="D31" s="508"/>
      <c r="E31" s="508"/>
      <c r="F31" s="503"/>
      <c r="G31" s="508"/>
      <c r="H31" s="508"/>
      <c r="I31" s="508"/>
      <c r="J31" s="508"/>
      <c r="K31" s="504"/>
      <c r="L31" s="508"/>
      <c r="M31" s="508"/>
      <c r="N31" s="508"/>
      <c r="O31" s="508"/>
      <c r="P31" s="505"/>
      <c r="Q31" s="508"/>
      <c r="R31" s="508"/>
      <c r="S31" s="508"/>
      <c r="T31" s="508"/>
      <c r="U31" s="506"/>
      <c r="V31" s="508"/>
      <c r="W31" s="508"/>
      <c r="X31" s="508"/>
      <c r="Y31" s="508"/>
      <c r="Z31" s="507"/>
      <c r="AA31" s="508"/>
      <c r="AB31" s="508"/>
      <c r="AC31" s="508"/>
      <c r="AD31" s="508"/>
      <c r="AE31" s="509"/>
    </row>
    <row r="32" spans="1:31" x14ac:dyDescent="0.25">
      <c r="A32" s="399">
        <v>21</v>
      </c>
      <c r="B32" s="508"/>
      <c r="C32" s="508"/>
      <c r="D32" s="508"/>
      <c r="E32" s="508"/>
      <c r="F32" s="503"/>
      <c r="G32" s="508"/>
      <c r="H32" s="508"/>
      <c r="I32" s="508"/>
      <c r="J32" s="508"/>
      <c r="K32" s="504"/>
      <c r="L32" s="508"/>
      <c r="M32" s="508"/>
      <c r="N32" s="508"/>
      <c r="O32" s="508"/>
      <c r="P32" s="505"/>
      <c r="Q32" s="508"/>
      <c r="R32" s="508"/>
      <c r="S32" s="508"/>
      <c r="T32" s="508"/>
      <c r="U32" s="506"/>
      <c r="V32" s="508"/>
      <c r="W32" s="508"/>
      <c r="X32" s="508"/>
      <c r="Y32" s="508"/>
      <c r="Z32" s="507"/>
      <c r="AA32" s="508"/>
      <c r="AB32" s="508"/>
      <c r="AC32" s="508"/>
      <c r="AD32" s="508"/>
      <c r="AE32" s="509"/>
    </row>
    <row r="33" spans="1:31" x14ac:dyDescent="0.25">
      <c r="A33" s="399">
        <v>22</v>
      </c>
      <c r="B33" s="508"/>
      <c r="C33" s="508"/>
      <c r="D33" s="508"/>
      <c r="E33" s="508"/>
      <c r="F33" s="503"/>
      <c r="G33" s="508"/>
      <c r="H33" s="508"/>
      <c r="I33" s="508"/>
      <c r="J33" s="508"/>
      <c r="K33" s="504"/>
      <c r="L33" s="508"/>
      <c r="M33" s="508"/>
      <c r="N33" s="508"/>
      <c r="O33" s="508"/>
      <c r="P33" s="505"/>
      <c r="Q33" s="508"/>
      <c r="R33" s="508"/>
      <c r="S33" s="508"/>
      <c r="T33" s="508"/>
      <c r="U33" s="506"/>
      <c r="V33" s="508"/>
      <c r="W33" s="508"/>
      <c r="X33" s="508"/>
      <c r="Y33" s="508"/>
      <c r="Z33" s="507"/>
      <c r="AA33" s="508"/>
      <c r="AB33" s="508"/>
      <c r="AC33" s="508"/>
      <c r="AD33" s="508"/>
      <c r="AE33" s="509"/>
    </row>
    <row r="34" spans="1:31" x14ac:dyDescent="0.25">
      <c r="A34" s="399">
        <v>23</v>
      </c>
      <c r="B34" s="508"/>
      <c r="C34" s="508"/>
      <c r="D34" s="508"/>
      <c r="E34" s="508"/>
      <c r="F34" s="503"/>
      <c r="G34" s="508"/>
      <c r="H34" s="508"/>
      <c r="I34" s="508"/>
      <c r="J34" s="508"/>
      <c r="K34" s="504"/>
      <c r="L34" s="508"/>
      <c r="M34" s="508"/>
      <c r="N34" s="508"/>
      <c r="O34" s="508"/>
      <c r="P34" s="505"/>
      <c r="Q34" s="508"/>
      <c r="R34" s="508"/>
      <c r="S34" s="508"/>
      <c r="T34" s="508"/>
      <c r="U34" s="506"/>
      <c r="V34" s="508"/>
      <c r="W34" s="508"/>
      <c r="X34" s="508"/>
      <c r="Y34" s="508"/>
      <c r="Z34" s="507"/>
      <c r="AA34" s="508"/>
      <c r="AB34" s="508"/>
      <c r="AC34" s="508"/>
      <c r="AD34" s="508"/>
      <c r="AE34" s="509"/>
    </row>
    <row r="35" spans="1:31" x14ac:dyDescent="0.25">
      <c r="A35" s="399">
        <v>24</v>
      </c>
      <c r="B35" s="508"/>
      <c r="C35" s="508"/>
      <c r="D35" s="508"/>
      <c r="E35" s="508"/>
      <c r="F35" s="503"/>
      <c r="G35" s="508"/>
      <c r="H35" s="508"/>
      <c r="I35" s="508"/>
      <c r="J35" s="508"/>
      <c r="K35" s="504"/>
      <c r="L35" s="508"/>
      <c r="M35" s="508"/>
      <c r="N35" s="508"/>
      <c r="O35" s="508"/>
      <c r="P35" s="505"/>
      <c r="Q35" s="508"/>
      <c r="R35" s="508"/>
      <c r="S35" s="508"/>
      <c r="T35" s="508"/>
      <c r="U35" s="506"/>
      <c r="V35" s="508"/>
      <c r="W35" s="508"/>
      <c r="X35" s="508"/>
      <c r="Y35" s="508"/>
      <c r="Z35" s="507"/>
      <c r="AA35" s="508"/>
      <c r="AB35" s="508"/>
      <c r="AC35" s="508"/>
      <c r="AD35" s="508"/>
      <c r="AE35" s="509"/>
    </row>
    <row r="36" spans="1:31" x14ac:dyDescent="0.25">
      <c r="A36" s="399">
        <v>25</v>
      </c>
      <c r="B36" s="508"/>
      <c r="C36" s="508"/>
      <c r="D36" s="508"/>
      <c r="E36" s="508"/>
      <c r="F36" s="503"/>
      <c r="G36" s="508"/>
      <c r="H36" s="508"/>
      <c r="I36" s="508"/>
      <c r="J36" s="508"/>
      <c r="K36" s="504"/>
      <c r="L36" s="508"/>
      <c r="M36" s="508"/>
      <c r="N36" s="508"/>
      <c r="O36" s="508"/>
      <c r="P36" s="505"/>
      <c r="Q36" s="508"/>
      <c r="R36" s="508"/>
      <c r="S36" s="508"/>
      <c r="T36" s="508"/>
      <c r="U36" s="506"/>
      <c r="V36" s="508"/>
      <c r="W36" s="508"/>
      <c r="X36" s="508"/>
      <c r="Y36" s="508"/>
      <c r="Z36" s="507"/>
      <c r="AA36" s="508"/>
      <c r="AB36" s="508"/>
      <c r="AC36" s="508"/>
      <c r="AD36" s="508"/>
      <c r="AE36" s="509"/>
    </row>
    <row r="37" spans="1:31" x14ac:dyDescent="0.25">
      <c r="A37" s="399">
        <v>26</v>
      </c>
      <c r="B37" s="508"/>
      <c r="C37" s="508"/>
      <c r="D37" s="508"/>
      <c r="E37" s="508"/>
      <c r="F37" s="503"/>
      <c r="G37" s="508"/>
      <c r="H37" s="508"/>
      <c r="I37" s="508"/>
      <c r="J37" s="508"/>
      <c r="K37" s="504"/>
      <c r="L37" s="508"/>
      <c r="M37" s="508"/>
      <c r="N37" s="508"/>
      <c r="O37" s="508"/>
      <c r="P37" s="505"/>
      <c r="Q37" s="508"/>
      <c r="R37" s="508"/>
      <c r="S37" s="508"/>
      <c r="T37" s="508"/>
      <c r="U37" s="506"/>
      <c r="V37" s="508"/>
      <c r="W37" s="508"/>
      <c r="X37" s="508"/>
      <c r="Y37" s="508"/>
      <c r="Z37" s="507"/>
      <c r="AA37" s="508"/>
      <c r="AB37" s="508"/>
      <c r="AC37" s="508"/>
      <c r="AD37" s="508"/>
      <c r="AE37" s="509"/>
    </row>
    <row r="38" spans="1:31" x14ac:dyDescent="0.25">
      <c r="A38" s="399">
        <v>27</v>
      </c>
      <c r="B38" s="508"/>
      <c r="C38" s="508"/>
      <c r="D38" s="508"/>
      <c r="E38" s="508"/>
      <c r="F38" s="503"/>
      <c r="G38" s="508"/>
      <c r="H38" s="508"/>
      <c r="I38" s="508"/>
      <c r="J38" s="508"/>
      <c r="K38" s="504"/>
      <c r="L38" s="508"/>
      <c r="M38" s="508"/>
      <c r="N38" s="508"/>
      <c r="O38" s="508"/>
      <c r="P38" s="505"/>
      <c r="Q38" s="508"/>
      <c r="R38" s="508"/>
      <c r="S38" s="508"/>
      <c r="T38" s="508"/>
      <c r="U38" s="506"/>
      <c r="V38" s="508"/>
      <c r="W38" s="508"/>
      <c r="X38" s="508"/>
      <c r="Y38" s="508"/>
      <c r="Z38" s="507"/>
      <c r="AA38" s="508"/>
      <c r="AB38" s="508"/>
      <c r="AC38" s="508"/>
      <c r="AD38" s="508"/>
      <c r="AE38" s="509"/>
    </row>
    <row r="39" spans="1:31" x14ac:dyDescent="0.25">
      <c r="A39" s="399">
        <v>28</v>
      </c>
      <c r="B39" s="508"/>
      <c r="C39" s="508"/>
      <c r="D39" s="508"/>
      <c r="E39" s="508"/>
      <c r="F39" s="503"/>
      <c r="G39" s="508"/>
      <c r="H39" s="508"/>
      <c r="I39" s="508"/>
      <c r="J39" s="508"/>
      <c r="K39" s="504"/>
      <c r="L39" s="508"/>
      <c r="M39" s="508"/>
      <c r="N39" s="508"/>
      <c r="O39" s="508"/>
      <c r="P39" s="505"/>
      <c r="Q39" s="508"/>
      <c r="R39" s="508"/>
      <c r="S39" s="508"/>
      <c r="T39" s="508"/>
      <c r="U39" s="506"/>
      <c r="V39" s="508"/>
      <c r="W39" s="508"/>
      <c r="X39" s="508"/>
      <c r="Y39" s="508"/>
      <c r="Z39" s="507"/>
      <c r="AA39" s="508"/>
      <c r="AB39" s="508"/>
      <c r="AC39" s="508"/>
      <c r="AD39" s="508"/>
      <c r="AE39" s="509"/>
    </row>
    <row r="40" spans="1:31" x14ac:dyDescent="0.25">
      <c r="A40" s="399">
        <v>29</v>
      </c>
      <c r="B40" s="508"/>
      <c r="C40" s="508"/>
      <c r="D40" s="508"/>
      <c r="E40" s="508"/>
      <c r="F40" s="503"/>
      <c r="G40" s="508"/>
      <c r="H40" s="508"/>
      <c r="I40" s="508"/>
      <c r="J40" s="508"/>
      <c r="K40" s="504"/>
      <c r="L40" s="508"/>
      <c r="M40" s="508"/>
      <c r="N40" s="508"/>
      <c r="O40" s="508"/>
      <c r="P40" s="505"/>
      <c r="Q40" s="508"/>
      <c r="R40" s="508"/>
      <c r="S40" s="508"/>
      <c r="T40" s="508"/>
      <c r="U40" s="506"/>
      <c r="V40" s="508"/>
      <c r="W40" s="508"/>
      <c r="X40" s="508"/>
      <c r="Y40" s="508"/>
      <c r="Z40" s="507"/>
      <c r="AA40" s="508"/>
      <c r="AB40" s="508"/>
      <c r="AC40" s="508"/>
      <c r="AD40" s="508"/>
      <c r="AE40" s="509"/>
    </row>
    <row r="41" spans="1:31" x14ac:dyDescent="0.25">
      <c r="A41" s="399">
        <v>30</v>
      </c>
      <c r="B41" s="508"/>
      <c r="C41" s="508"/>
      <c r="D41" s="508"/>
      <c r="E41" s="508"/>
      <c r="F41" s="503"/>
      <c r="G41" s="508"/>
      <c r="H41" s="508"/>
      <c r="I41" s="508"/>
      <c r="J41" s="508"/>
      <c r="K41" s="504"/>
      <c r="L41" s="508"/>
      <c r="M41" s="508"/>
      <c r="N41" s="508"/>
      <c r="O41" s="508"/>
      <c r="P41" s="505"/>
      <c r="Q41" s="508"/>
      <c r="R41" s="508"/>
      <c r="S41" s="508"/>
      <c r="T41" s="508"/>
      <c r="U41" s="506"/>
      <c r="V41" s="508"/>
      <c r="W41" s="508"/>
      <c r="X41" s="508"/>
      <c r="Y41" s="508"/>
      <c r="Z41" s="507"/>
      <c r="AA41" s="508"/>
      <c r="AB41" s="508"/>
      <c r="AC41" s="508"/>
      <c r="AD41" s="508"/>
      <c r="AE41" s="509"/>
    </row>
    <row r="42" spans="1:31" x14ac:dyDescent="0.25">
      <c r="A42" s="399">
        <v>31</v>
      </c>
      <c r="B42" s="508"/>
      <c r="C42" s="508"/>
      <c r="D42" s="508"/>
      <c r="E42" s="508"/>
      <c r="F42" s="503"/>
      <c r="G42" s="508"/>
      <c r="H42" s="508"/>
      <c r="I42" s="508"/>
      <c r="J42" s="508"/>
      <c r="K42" s="504"/>
      <c r="L42" s="508"/>
      <c r="M42" s="508"/>
      <c r="N42" s="508"/>
      <c r="O42" s="508"/>
      <c r="P42" s="505"/>
      <c r="Q42" s="508"/>
      <c r="R42" s="508"/>
      <c r="S42" s="508"/>
      <c r="T42" s="508"/>
      <c r="U42" s="506"/>
      <c r="V42" s="508"/>
      <c r="W42" s="508"/>
      <c r="X42" s="508"/>
      <c r="Y42" s="508"/>
      <c r="Z42" s="507"/>
      <c r="AA42" s="508"/>
      <c r="AB42" s="508"/>
      <c r="AC42" s="508"/>
      <c r="AD42" s="508"/>
      <c r="AE42" s="509"/>
    </row>
    <row r="43" spans="1:31" x14ac:dyDescent="0.25">
      <c r="A43" s="399">
        <v>32</v>
      </c>
      <c r="B43" s="508"/>
      <c r="C43" s="508"/>
      <c r="D43" s="508"/>
      <c r="E43" s="508"/>
      <c r="F43" s="503"/>
      <c r="G43" s="508"/>
      <c r="H43" s="508"/>
      <c r="I43" s="508"/>
      <c r="J43" s="508"/>
      <c r="K43" s="504"/>
      <c r="L43" s="508"/>
      <c r="M43" s="508"/>
      <c r="N43" s="508"/>
      <c r="O43" s="508"/>
      <c r="P43" s="505"/>
      <c r="Q43" s="508"/>
      <c r="R43" s="508"/>
      <c r="S43" s="508"/>
      <c r="T43" s="508"/>
      <c r="U43" s="506"/>
      <c r="V43" s="508"/>
      <c r="W43" s="508"/>
      <c r="X43" s="508"/>
      <c r="Y43" s="508"/>
      <c r="Z43" s="507"/>
      <c r="AA43" s="508"/>
      <c r="AB43" s="508"/>
      <c r="AC43" s="508"/>
      <c r="AD43" s="508"/>
      <c r="AE43" s="509"/>
    </row>
    <row r="44" spans="1:31" x14ac:dyDescent="0.25">
      <c r="A44" s="399">
        <v>33</v>
      </c>
      <c r="B44" s="508"/>
      <c r="C44" s="508"/>
      <c r="D44" s="508"/>
      <c r="E44" s="508"/>
      <c r="F44" s="503"/>
      <c r="G44" s="508"/>
      <c r="H44" s="508"/>
      <c r="I44" s="508"/>
      <c r="J44" s="508"/>
      <c r="K44" s="504"/>
      <c r="L44" s="508"/>
      <c r="M44" s="508"/>
      <c r="N44" s="508"/>
      <c r="O44" s="508"/>
      <c r="P44" s="505"/>
      <c r="Q44" s="508"/>
      <c r="R44" s="508"/>
      <c r="S44" s="508"/>
      <c r="T44" s="508"/>
      <c r="U44" s="506"/>
      <c r="V44" s="508"/>
      <c r="W44" s="508"/>
      <c r="X44" s="508"/>
      <c r="Y44" s="508"/>
      <c r="Z44" s="507"/>
      <c r="AA44" s="508"/>
      <c r="AB44" s="508"/>
      <c r="AC44" s="508"/>
      <c r="AD44" s="508"/>
      <c r="AE44" s="509"/>
    </row>
    <row r="45" spans="1:31" x14ac:dyDescent="0.25">
      <c r="A45" s="399">
        <v>34</v>
      </c>
      <c r="B45" s="508"/>
      <c r="C45" s="508"/>
      <c r="D45" s="508"/>
      <c r="E45" s="508"/>
      <c r="F45" s="503"/>
      <c r="G45" s="508"/>
      <c r="H45" s="508"/>
      <c r="I45" s="508"/>
      <c r="J45" s="508"/>
      <c r="K45" s="504"/>
      <c r="L45" s="508"/>
      <c r="M45" s="508"/>
      <c r="N45" s="508"/>
      <c r="O45" s="508"/>
      <c r="P45" s="505"/>
      <c r="Q45" s="508"/>
      <c r="R45" s="508"/>
      <c r="S45" s="508"/>
      <c r="T45" s="508"/>
      <c r="U45" s="506"/>
      <c r="V45" s="508"/>
      <c r="W45" s="508"/>
      <c r="X45" s="508"/>
      <c r="Y45" s="508"/>
      <c r="Z45" s="507"/>
      <c r="AA45" s="508"/>
      <c r="AB45" s="508"/>
      <c r="AC45" s="508"/>
      <c r="AD45" s="508"/>
      <c r="AE45" s="509"/>
    </row>
    <row r="46" spans="1:31" x14ac:dyDescent="0.25">
      <c r="A46" s="399">
        <v>35</v>
      </c>
      <c r="B46" s="508"/>
      <c r="C46" s="508"/>
      <c r="D46" s="508"/>
      <c r="E46" s="508"/>
      <c r="F46" s="503"/>
      <c r="G46" s="508"/>
      <c r="H46" s="508"/>
      <c r="I46" s="508"/>
      <c r="J46" s="508"/>
      <c r="K46" s="504"/>
      <c r="L46" s="508"/>
      <c r="M46" s="508"/>
      <c r="N46" s="508"/>
      <c r="O46" s="508"/>
      <c r="P46" s="505"/>
      <c r="Q46" s="508"/>
      <c r="R46" s="508"/>
      <c r="S46" s="508"/>
      <c r="T46" s="508"/>
      <c r="U46" s="506"/>
      <c r="V46" s="508"/>
      <c r="W46" s="508"/>
      <c r="X46" s="508"/>
      <c r="Y46" s="508"/>
      <c r="Z46" s="507"/>
      <c r="AA46" s="508"/>
      <c r="AB46" s="508"/>
      <c r="AC46" s="508"/>
      <c r="AD46" s="508"/>
      <c r="AE46" s="509"/>
    </row>
    <row r="47" spans="1:31" x14ac:dyDescent="0.25">
      <c r="A47" s="399">
        <v>36</v>
      </c>
      <c r="B47" s="508"/>
      <c r="C47" s="508"/>
      <c r="D47" s="508"/>
      <c r="E47" s="508"/>
      <c r="F47" s="503"/>
      <c r="G47" s="508"/>
      <c r="H47" s="508"/>
      <c r="I47" s="508"/>
      <c r="J47" s="508"/>
      <c r="K47" s="504"/>
      <c r="L47" s="508"/>
      <c r="M47" s="508"/>
      <c r="N47" s="508"/>
      <c r="O47" s="508"/>
      <c r="P47" s="505"/>
      <c r="Q47" s="508"/>
      <c r="R47" s="508"/>
      <c r="S47" s="508"/>
      <c r="T47" s="508"/>
      <c r="U47" s="506"/>
      <c r="V47" s="508"/>
      <c r="W47" s="508"/>
      <c r="X47" s="508"/>
      <c r="Y47" s="508"/>
      <c r="Z47" s="507"/>
      <c r="AA47" s="508"/>
      <c r="AB47" s="508"/>
      <c r="AC47" s="508"/>
      <c r="AD47" s="508"/>
      <c r="AE47" s="509"/>
    </row>
    <row r="48" spans="1:31" x14ac:dyDescent="0.25">
      <c r="A48" s="399">
        <v>37</v>
      </c>
      <c r="B48" s="508"/>
      <c r="C48" s="508"/>
      <c r="D48" s="508"/>
      <c r="E48" s="508"/>
      <c r="F48" s="503"/>
      <c r="G48" s="508"/>
      <c r="H48" s="508"/>
      <c r="I48" s="508"/>
      <c r="J48" s="508"/>
      <c r="K48" s="504"/>
      <c r="L48" s="508"/>
      <c r="M48" s="508"/>
      <c r="N48" s="508"/>
      <c r="O48" s="508"/>
      <c r="P48" s="505"/>
      <c r="Q48" s="508"/>
      <c r="R48" s="508"/>
      <c r="S48" s="508"/>
      <c r="T48" s="508"/>
      <c r="U48" s="506"/>
      <c r="V48" s="508"/>
      <c r="W48" s="508"/>
      <c r="X48" s="508"/>
      <c r="Y48" s="508"/>
      <c r="Z48" s="507"/>
      <c r="AA48" s="508"/>
      <c r="AB48" s="508"/>
      <c r="AC48" s="508"/>
      <c r="AD48" s="508"/>
      <c r="AE48" s="509"/>
    </row>
    <row r="49" spans="1:31" x14ac:dyDescent="0.25">
      <c r="A49" s="399">
        <v>38</v>
      </c>
      <c r="B49" s="508"/>
      <c r="C49" s="508"/>
      <c r="D49" s="508"/>
      <c r="E49" s="508"/>
      <c r="F49" s="503"/>
      <c r="G49" s="508"/>
      <c r="H49" s="508"/>
      <c r="I49" s="508"/>
      <c r="J49" s="508"/>
      <c r="K49" s="504"/>
      <c r="L49" s="508"/>
      <c r="M49" s="508"/>
      <c r="N49" s="508"/>
      <c r="O49" s="508"/>
      <c r="P49" s="505"/>
      <c r="Q49" s="508"/>
      <c r="R49" s="508"/>
      <c r="S49" s="508"/>
      <c r="T49" s="508"/>
      <c r="U49" s="506"/>
      <c r="V49" s="508"/>
      <c r="W49" s="508"/>
      <c r="X49" s="508"/>
      <c r="Y49" s="508"/>
      <c r="Z49" s="507"/>
      <c r="AA49" s="508"/>
      <c r="AB49" s="508"/>
      <c r="AC49" s="508"/>
      <c r="AD49" s="508"/>
      <c r="AE49" s="509"/>
    </row>
    <row r="50" spans="1:31" x14ac:dyDescent="0.25">
      <c r="A50" s="399">
        <v>39</v>
      </c>
      <c r="B50" s="508"/>
      <c r="C50" s="508"/>
      <c r="D50" s="508"/>
      <c r="E50" s="508"/>
      <c r="F50" s="503"/>
      <c r="G50" s="508"/>
      <c r="H50" s="508"/>
      <c r="I50" s="508"/>
      <c r="J50" s="508"/>
      <c r="K50" s="504"/>
      <c r="L50" s="508"/>
      <c r="M50" s="508"/>
      <c r="N50" s="508"/>
      <c r="O50" s="508"/>
      <c r="P50" s="505"/>
      <c r="Q50" s="508"/>
      <c r="R50" s="508"/>
      <c r="S50" s="508"/>
      <c r="T50" s="508"/>
      <c r="U50" s="506"/>
      <c r="V50" s="508"/>
      <c r="W50" s="508"/>
      <c r="X50" s="508"/>
      <c r="Y50" s="508"/>
      <c r="Z50" s="507"/>
      <c r="AA50" s="508"/>
      <c r="AB50" s="508"/>
      <c r="AC50" s="508"/>
      <c r="AD50" s="508"/>
      <c r="AE50" s="509"/>
    </row>
    <row r="51" spans="1:31" x14ac:dyDescent="0.25">
      <c r="A51" s="399">
        <v>40</v>
      </c>
      <c r="B51" s="508"/>
      <c r="C51" s="508"/>
      <c r="D51" s="508"/>
      <c r="E51" s="508"/>
      <c r="F51" s="503"/>
      <c r="G51" s="508"/>
      <c r="H51" s="508"/>
      <c r="I51" s="508"/>
      <c r="J51" s="508"/>
      <c r="K51" s="504"/>
      <c r="L51" s="508"/>
      <c r="M51" s="508"/>
      <c r="N51" s="508"/>
      <c r="O51" s="508"/>
      <c r="P51" s="505"/>
      <c r="Q51" s="508"/>
      <c r="R51" s="508"/>
      <c r="S51" s="508"/>
      <c r="T51" s="508"/>
      <c r="U51" s="506"/>
      <c r="V51" s="508"/>
      <c r="W51" s="508"/>
      <c r="X51" s="508"/>
      <c r="Y51" s="508"/>
      <c r="Z51" s="507"/>
      <c r="AA51" s="508"/>
      <c r="AB51" s="508"/>
      <c r="AC51" s="508"/>
      <c r="AD51" s="508"/>
      <c r="AE51" s="509"/>
    </row>
    <row r="52" spans="1:31" x14ac:dyDescent="0.25">
      <c r="A52" s="399">
        <v>41</v>
      </c>
      <c r="B52" s="508"/>
      <c r="C52" s="508"/>
      <c r="D52" s="508"/>
      <c r="E52" s="508"/>
      <c r="F52" s="503"/>
      <c r="G52" s="508"/>
      <c r="H52" s="508"/>
      <c r="I52" s="508"/>
      <c r="J52" s="508"/>
      <c r="K52" s="504"/>
      <c r="L52" s="508"/>
      <c r="M52" s="508"/>
      <c r="N52" s="508"/>
      <c r="O52" s="508"/>
      <c r="P52" s="505"/>
      <c r="Q52" s="508"/>
      <c r="R52" s="508"/>
      <c r="S52" s="508"/>
      <c r="T52" s="508"/>
      <c r="U52" s="506"/>
      <c r="V52" s="508"/>
      <c r="W52" s="508"/>
      <c r="X52" s="508"/>
      <c r="Y52" s="508"/>
      <c r="Z52" s="507"/>
      <c r="AA52" s="508"/>
      <c r="AB52" s="508"/>
      <c r="AC52" s="508"/>
      <c r="AD52" s="508"/>
      <c r="AE52" s="509"/>
    </row>
    <row r="53" spans="1:31" x14ac:dyDescent="0.25">
      <c r="A53" s="399">
        <v>42</v>
      </c>
      <c r="B53" s="508"/>
      <c r="C53" s="508"/>
      <c r="D53" s="508"/>
      <c r="E53" s="508"/>
      <c r="F53" s="503"/>
      <c r="G53" s="508"/>
      <c r="H53" s="508"/>
      <c r="I53" s="508"/>
      <c r="J53" s="508"/>
      <c r="K53" s="504"/>
      <c r="L53" s="508"/>
      <c r="M53" s="508"/>
      <c r="N53" s="508"/>
      <c r="O53" s="508"/>
      <c r="P53" s="505"/>
      <c r="Q53" s="508"/>
      <c r="R53" s="508"/>
      <c r="S53" s="508"/>
      <c r="T53" s="508"/>
      <c r="U53" s="506"/>
      <c r="V53" s="508"/>
      <c r="W53" s="508"/>
      <c r="X53" s="508"/>
      <c r="Y53" s="508"/>
      <c r="Z53" s="507"/>
      <c r="AA53" s="508"/>
      <c r="AB53" s="508"/>
      <c r="AC53" s="508"/>
      <c r="AD53" s="508"/>
      <c r="AE53" s="509"/>
    </row>
    <row r="54" spans="1:31" x14ac:dyDescent="0.25">
      <c r="A54" s="399">
        <v>43</v>
      </c>
      <c r="B54" s="508"/>
      <c r="C54" s="508"/>
      <c r="D54" s="508"/>
      <c r="E54" s="508"/>
      <c r="F54" s="503"/>
      <c r="G54" s="508"/>
      <c r="H54" s="508"/>
      <c r="I54" s="508"/>
      <c r="J54" s="508"/>
      <c r="K54" s="504"/>
      <c r="L54" s="508"/>
      <c r="M54" s="508"/>
      <c r="N54" s="508"/>
      <c r="O54" s="508"/>
      <c r="P54" s="505"/>
      <c r="Q54" s="508"/>
      <c r="R54" s="508"/>
      <c r="S54" s="508"/>
      <c r="T54" s="508"/>
      <c r="U54" s="506"/>
      <c r="V54" s="508"/>
      <c r="W54" s="508"/>
      <c r="X54" s="508"/>
      <c r="Y54" s="508"/>
      <c r="Z54" s="507"/>
      <c r="AA54" s="508"/>
      <c r="AB54" s="508"/>
      <c r="AC54" s="508"/>
      <c r="AD54" s="508"/>
      <c r="AE54" s="509"/>
    </row>
    <row r="55" spans="1:31" x14ac:dyDescent="0.25">
      <c r="A55" s="399">
        <v>44</v>
      </c>
      <c r="B55" s="508"/>
      <c r="C55" s="508"/>
      <c r="D55" s="508"/>
      <c r="E55" s="508"/>
      <c r="F55" s="503"/>
      <c r="G55" s="508"/>
      <c r="H55" s="508"/>
      <c r="I55" s="508"/>
      <c r="J55" s="508"/>
      <c r="K55" s="504"/>
      <c r="L55" s="508"/>
      <c r="M55" s="508"/>
      <c r="N55" s="508"/>
      <c r="O55" s="508"/>
      <c r="P55" s="505"/>
      <c r="Q55" s="508"/>
      <c r="R55" s="508"/>
      <c r="S55" s="508"/>
      <c r="T55" s="508"/>
      <c r="U55" s="506"/>
      <c r="V55" s="508"/>
      <c r="W55" s="508"/>
      <c r="X55" s="508"/>
      <c r="Y55" s="508"/>
      <c r="Z55" s="507"/>
      <c r="AA55" s="508"/>
      <c r="AB55" s="508"/>
      <c r="AC55" s="508"/>
      <c r="AD55" s="508"/>
      <c r="AE55" s="509"/>
    </row>
    <row r="56" spans="1:31" x14ac:dyDescent="0.25">
      <c r="A56" s="399">
        <v>45</v>
      </c>
      <c r="B56" s="508"/>
      <c r="C56" s="508"/>
      <c r="D56" s="508"/>
      <c r="E56" s="508"/>
      <c r="F56" s="503"/>
      <c r="G56" s="508"/>
      <c r="H56" s="508"/>
      <c r="I56" s="508"/>
      <c r="J56" s="508"/>
      <c r="K56" s="504"/>
      <c r="L56" s="508"/>
      <c r="M56" s="508"/>
      <c r="N56" s="508"/>
      <c r="O56" s="508"/>
      <c r="P56" s="505"/>
      <c r="Q56" s="508"/>
      <c r="R56" s="508"/>
      <c r="S56" s="508"/>
      <c r="T56" s="508"/>
      <c r="U56" s="506"/>
      <c r="V56" s="508"/>
      <c r="W56" s="508"/>
      <c r="X56" s="508"/>
      <c r="Y56" s="508"/>
      <c r="Z56" s="507"/>
      <c r="AA56" s="508"/>
      <c r="AB56" s="508"/>
      <c r="AC56" s="508"/>
      <c r="AD56" s="508"/>
      <c r="AE56" s="509"/>
    </row>
    <row r="57" spans="1:31" x14ac:dyDescent="0.25">
      <c r="A57" s="399">
        <v>46</v>
      </c>
      <c r="B57" s="508"/>
      <c r="C57" s="508"/>
      <c r="D57" s="508"/>
      <c r="E57" s="508"/>
      <c r="F57" s="503"/>
      <c r="G57" s="508"/>
      <c r="H57" s="508"/>
      <c r="I57" s="508"/>
      <c r="J57" s="508"/>
      <c r="K57" s="504"/>
      <c r="L57" s="508"/>
      <c r="M57" s="508"/>
      <c r="N57" s="508"/>
      <c r="O57" s="508"/>
      <c r="P57" s="505"/>
      <c r="Q57" s="508"/>
      <c r="R57" s="508"/>
      <c r="S57" s="508"/>
      <c r="T57" s="508"/>
      <c r="U57" s="506"/>
      <c r="V57" s="508"/>
      <c r="W57" s="508"/>
      <c r="X57" s="508"/>
      <c r="Y57" s="508"/>
      <c r="Z57" s="507"/>
      <c r="AA57" s="508"/>
      <c r="AB57" s="508"/>
      <c r="AC57" s="508"/>
      <c r="AD57" s="508"/>
      <c r="AE57" s="509"/>
    </row>
    <row r="58" spans="1:31" x14ac:dyDescent="0.25">
      <c r="A58" s="399">
        <v>47</v>
      </c>
      <c r="B58" s="508"/>
      <c r="C58" s="508"/>
      <c r="D58" s="508"/>
      <c r="E58" s="508"/>
      <c r="F58" s="503"/>
      <c r="G58" s="508"/>
      <c r="H58" s="508"/>
      <c r="I58" s="508"/>
      <c r="J58" s="508"/>
      <c r="K58" s="504"/>
      <c r="L58" s="508"/>
      <c r="M58" s="508"/>
      <c r="N58" s="508"/>
      <c r="O58" s="508"/>
      <c r="P58" s="505"/>
      <c r="Q58" s="508"/>
      <c r="R58" s="508"/>
      <c r="S58" s="508"/>
      <c r="T58" s="508"/>
      <c r="U58" s="506"/>
      <c r="V58" s="508"/>
      <c r="W58" s="508"/>
      <c r="X58" s="508"/>
      <c r="Y58" s="508"/>
      <c r="Z58" s="507"/>
      <c r="AA58" s="508"/>
      <c r="AB58" s="508"/>
      <c r="AC58" s="508"/>
      <c r="AD58" s="508"/>
      <c r="AE58" s="509"/>
    </row>
    <row r="59" spans="1:31" x14ac:dyDescent="0.25">
      <c r="A59" s="399">
        <v>48</v>
      </c>
      <c r="B59" s="508"/>
      <c r="C59" s="508"/>
      <c r="D59" s="508"/>
      <c r="E59" s="508"/>
      <c r="F59" s="503"/>
      <c r="G59" s="508"/>
      <c r="H59" s="508"/>
      <c r="I59" s="508"/>
      <c r="J59" s="508"/>
      <c r="K59" s="504"/>
      <c r="L59" s="508"/>
      <c r="M59" s="508"/>
      <c r="N59" s="508"/>
      <c r="O59" s="508"/>
      <c r="P59" s="505"/>
      <c r="Q59" s="508"/>
      <c r="R59" s="508"/>
      <c r="S59" s="508"/>
      <c r="T59" s="508"/>
      <c r="U59" s="506"/>
      <c r="V59" s="508"/>
      <c r="W59" s="508"/>
      <c r="X59" s="508"/>
      <c r="Y59" s="508"/>
      <c r="Z59" s="507"/>
      <c r="AA59" s="508"/>
      <c r="AB59" s="508"/>
      <c r="AC59" s="508"/>
      <c r="AD59" s="508"/>
      <c r="AE59" s="509"/>
    </row>
    <row r="60" spans="1:31" x14ac:dyDescent="0.25">
      <c r="A60" s="399">
        <v>49</v>
      </c>
      <c r="B60" s="508"/>
      <c r="C60" s="508"/>
      <c r="D60" s="508"/>
      <c r="E60" s="508"/>
      <c r="F60" s="503"/>
      <c r="G60" s="508"/>
      <c r="H60" s="508"/>
      <c r="I60" s="508"/>
      <c r="J60" s="508"/>
      <c r="K60" s="504"/>
      <c r="L60" s="508"/>
      <c r="M60" s="508"/>
      <c r="N60" s="508"/>
      <c r="O60" s="508"/>
      <c r="P60" s="505"/>
      <c r="Q60" s="508"/>
      <c r="R60" s="508"/>
      <c r="S60" s="508"/>
      <c r="T60" s="508"/>
      <c r="U60" s="506"/>
      <c r="V60" s="508"/>
      <c r="W60" s="508"/>
      <c r="X60" s="508"/>
      <c r="Y60" s="508"/>
      <c r="Z60" s="507"/>
      <c r="AA60" s="508"/>
      <c r="AB60" s="508"/>
      <c r="AC60" s="508"/>
      <c r="AD60" s="508"/>
      <c r="AE60" s="509"/>
    </row>
    <row r="61" spans="1:31" x14ac:dyDescent="0.25">
      <c r="A61" s="399">
        <v>50</v>
      </c>
      <c r="B61" s="508"/>
      <c r="C61" s="508"/>
      <c r="D61" s="508"/>
      <c r="E61" s="508"/>
      <c r="F61" s="503"/>
      <c r="G61" s="508"/>
      <c r="H61" s="508"/>
      <c r="I61" s="508"/>
      <c r="J61" s="508"/>
      <c r="K61" s="504"/>
      <c r="L61" s="508"/>
      <c r="M61" s="508"/>
      <c r="N61" s="508"/>
      <c r="O61" s="508"/>
      <c r="P61" s="505"/>
      <c r="Q61" s="508"/>
      <c r="R61" s="508"/>
      <c r="S61" s="508"/>
      <c r="T61" s="508"/>
      <c r="U61" s="506"/>
      <c r="V61" s="508"/>
      <c r="W61" s="508"/>
      <c r="X61" s="508"/>
      <c r="Y61" s="508"/>
      <c r="Z61" s="507"/>
      <c r="AA61" s="508"/>
      <c r="AB61" s="508"/>
      <c r="AC61" s="508"/>
      <c r="AD61" s="508"/>
      <c r="AE61" s="509"/>
    </row>
    <row r="62" spans="1:31" x14ac:dyDescent="0.25">
      <c r="A62" s="399">
        <v>51</v>
      </c>
      <c r="B62" s="508"/>
      <c r="C62" s="508"/>
      <c r="D62" s="508"/>
      <c r="E62" s="508"/>
      <c r="F62" s="503"/>
      <c r="G62" s="508"/>
      <c r="H62" s="508"/>
      <c r="I62" s="508"/>
      <c r="J62" s="508"/>
      <c r="K62" s="504"/>
      <c r="L62" s="508"/>
      <c r="M62" s="508"/>
      <c r="N62" s="508"/>
      <c r="O62" s="508"/>
      <c r="P62" s="505"/>
      <c r="Q62" s="508"/>
      <c r="R62" s="508"/>
      <c r="S62" s="508"/>
      <c r="T62" s="508"/>
      <c r="U62" s="506"/>
      <c r="V62" s="508"/>
      <c r="W62" s="508"/>
      <c r="X62" s="508"/>
      <c r="Y62" s="508"/>
      <c r="Z62" s="507"/>
      <c r="AA62" s="508"/>
      <c r="AB62" s="508"/>
      <c r="AC62" s="508"/>
      <c r="AD62" s="508"/>
      <c r="AE62" s="509"/>
    </row>
    <row r="63" spans="1:31" x14ac:dyDescent="0.25">
      <c r="A63" s="399">
        <v>52</v>
      </c>
      <c r="B63" s="508"/>
      <c r="C63" s="508"/>
      <c r="D63" s="508"/>
      <c r="E63" s="508"/>
      <c r="F63" s="503"/>
      <c r="G63" s="508"/>
      <c r="H63" s="508"/>
      <c r="I63" s="508"/>
      <c r="J63" s="508"/>
      <c r="K63" s="504"/>
      <c r="L63" s="508"/>
      <c r="M63" s="508"/>
      <c r="N63" s="508"/>
      <c r="O63" s="508"/>
      <c r="P63" s="505"/>
      <c r="Q63" s="508"/>
      <c r="R63" s="508"/>
      <c r="S63" s="508"/>
      <c r="T63" s="508"/>
      <c r="U63" s="506"/>
      <c r="V63" s="508"/>
      <c r="W63" s="508"/>
      <c r="X63" s="508"/>
      <c r="Y63" s="508"/>
      <c r="Z63" s="507"/>
      <c r="AA63" s="508"/>
      <c r="AB63" s="508"/>
      <c r="AC63" s="508"/>
      <c r="AD63" s="508"/>
      <c r="AE63" s="509"/>
    </row>
    <row r="64" spans="1:31" x14ac:dyDescent="0.25">
      <c r="A64" s="399">
        <v>53</v>
      </c>
      <c r="B64" s="508"/>
      <c r="C64" s="508"/>
      <c r="D64" s="508"/>
      <c r="E64" s="508"/>
      <c r="F64" s="503"/>
      <c r="G64" s="508"/>
      <c r="H64" s="508"/>
      <c r="I64" s="508"/>
      <c r="J64" s="508"/>
      <c r="K64" s="504"/>
      <c r="L64" s="508"/>
      <c r="M64" s="508"/>
      <c r="N64" s="508"/>
      <c r="O64" s="508"/>
      <c r="P64" s="505"/>
      <c r="Q64" s="508"/>
      <c r="R64" s="508"/>
      <c r="S64" s="508"/>
      <c r="T64" s="508"/>
      <c r="U64" s="506"/>
      <c r="V64" s="508"/>
      <c r="W64" s="508"/>
      <c r="X64" s="508"/>
      <c r="Y64" s="508"/>
      <c r="Z64" s="507"/>
      <c r="AA64" s="508"/>
      <c r="AB64" s="508"/>
      <c r="AC64" s="508"/>
      <c r="AD64" s="508"/>
      <c r="AE64" s="509"/>
    </row>
    <row r="65" spans="1:31" x14ac:dyDescent="0.25">
      <c r="A65" s="399">
        <v>54</v>
      </c>
      <c r="B65" s="508"/>
      <c r="C65" s="508"/>
      <c r="D65" s="508"/>
      <c r="E65" s="508"/>
      <c r="F65" s="503"/>
      <c r="G65" s="508"/>
      <c r="H65" s="508"/>
      <c r="I65" s="508"/>
      <c r="J65" s="508"/>
      <c r="K65" s="504"/>
      <c r="L65" s="508"/>
      <c r="M65" s="508"/>
      <c r="N65" s="508"/>
      <c r="O65" s="508"/>
      <c r="P65" s="505"/>
      <c r="Q65" s="508"/>
      <c r="R65" s="508"/>
      <c r="S65" s="508"/>
      <c r="T65" s="508"/>
      <c r="U65" s="506"/>
      <c r="V65" s="508"/>
      <c r="W65" s="508"/>
      <c r="X65" s="508"/>
      <c r="Y65" s="508"/>
      <c r="Z65" s="507"/>
      <c r="AA65" s="508"/>
      <c r="AB65" s="508"/>
      <c r="AC65" s="508"/>
      <c r="AD65" s="508"/>
      <c r="AE65" s="509"/>
    </row>
    <row r="66" spans="1:31" x14ac:dyDescent="0.25">
      <c r="A66" s="399">
        <v>55</v>
      </c>
      <c r="B66" s="508"/>
      <c r="C66" s="508"/>
      <c r="D66" s="508"/>
      <c r="E66" s="508"/>
      <c r="F66" s="503"/>
      <c r="G66" s="508"/>
      <c r="H66" s="508"/>
      <c r="I66" s="508"/>
      <c r="J66" s="508"/>
      <c r="K66" s="504"/>
      <c r="L66" s="508"/>
      <c r="M66" s="508"/>
      <c r="N66" s="508"/>
      <c r="O66" s="508"/>
      <c r="P66" s="505"/>
      <c r="Q66" s="508"/>
      <c r="R66" s="508"/>
      <c r="S66" s="508"/>
      <c r="T66" s="508"/>
      <c r="U66" s="506"/>
      <c r="V66" s="508"/>
      <c r="W66" s="508"/>
      <c r="X66" s="508"/>
      <c r="Y66" s="508"/>
      <c r="Z66" s="507"/>
      <c r="AA66" s="508"/>
      <c r="AB66" s="508"/>
      <c r="AC66" s="508"/>
      <c r="AD66" s="508"/>
      <c r="AE66" s="509"/>
    </row>
    <row r="67" spans="1:31" x14ac:dyDescent="0.25">
      <c r="A67" s="399">
        <v>56</v>
      </c>
      <c r="B67" s="508"/>
      <c r="C67" s="508"/>
      <c r="D67" s="508"/>
      <c r="E67" s="508"/>
      <c r="F67" s="503"/>
      <c r="G67" s="508"/>
      <c r="H67" s="508"/>
      <c r="I67" s="508"/>
      <c r="J67" s="508"/>
      <c r="K67" s="504"/>
      <c r="L67" s="508"/>
      <c r="M67" s="508"/>
      <c r="N67" s="508"/>
      <c r="O67" s="508"/>
      <c r="P67" s="505"/>
      <c r="Q67" s="508"/>
      <c r="R67" s="508"/>
      <c r="S67" s="508"/>
      <c r="T67" s="508"/>
      <c r="U67" s="506"/>
      <c r="V67" s="508"/>
      <c r="W67" s="508"/>
      <c r="X67" s="508"/>
      <c r="Y67" s="508"/>
      <c r="Z67" s="507"/>
      <c r="AA67" s="508"/>
      <c r="AB67" s="508"/>
      <c r="AC67" s="508"/>
      <c r="AD67" s="508"/>
      <c r="AE67" s="509"/>
    </row>
    <row r="68" spans="1:31" x14ac:dyDescent="0.25">
      <c r="A68" s="399">
        <v>57</v>
      </c>
      <c r="B68" s="508"/>
      <c r="C68" s="508"/>
      <c r="D68" s="508"/>
      <c r="E68" s="508"/>
      <c r="F68" s="503"/>
      <c r="G68" s="508"/>
      <c r="H68" s="508"/>
      <c r="I68" s="508"/>
      <c r="J68" s="508"/>
      <c r="K68" s="504"/>
      <c r="L68" s="508"/>
      <c r="M68" s="508"/>
      <c r="N68" s="508"/>
      <c r="O68" s="508"/>
      <c r="P68" s="505"/>
      <c r="Q68" s="508"/>
      <c r="R68" s="508"/>
      <c r="S68" s="508"/>
      <c r="T68" s="508"/>
      <c r="U68" s="506"/>
      <c r="V68" s="508"/>
      <c r="W68" s="508"/>
      <c r="X68" s="508"/>
      <c r="Y68" s="508"/>
      <c r="Z68" s="507"/>
      <c r="AA68" s="508"/>
      <c r="AB68" s="508"/>
      <c r="AC68" s="508"/>
      <c r="AD68" s="508"/>
      <c r="AE68" s="509"/>
    </row>
    <row r="69" spans="1:31" x14ac:dyDescent="0.25">
      <c r="A69" s="399">
        <v>58</v>
      </c>
      <c r="B69" s="508"/>
      <c r="C69" s="508"/>
      <c r="D69" s="508"/>
      <c r="E69" s="508"/>
      <c r="F69" s="503"/>
      <c r="G69" s="508"/>
      <c r="H69" s="508"/>
      <c r="I69" s="508"/>
      <c r="J69" s="508"/>
      <c r="K69" s="504"/>
      <c r="L69" s="508"/>
      <c r="M69" s="508"/>
      <c r="N69" s="508"/>
      <c r="O69" s="508"/>
      <c r="P69" s="505"/>
      <c r="Q69" s="508"/>
      <c r="R69" s="508"/>
      <c r="S69" s="508"/>
      <c r="T69" s="508"/>
      <c r="U69" s="506"/>
      <c r="V69" s="508"/>
      <c r="W69" s="508"/>
      <c r="X69" s="508"/>
      <c r="Y69" s="508"/>
      <c r="Z69" s="507"/>
      <c r="AA69" s="508"/>
      <c r="AB69" s="508"/>
      <c r="AC69" s="508"/>
      <c r="AD69" s="508"/>
      <c r="AE69" s="509"/>
    </row>
    <row r="70" spans="1:31" x14ac:dyDescent="0.25">
      <c r="A70" s="399">
        <v>59</v>
      </c>
      <c r="B70" s="508"/>
      <c r="C70" s="508"/>
      <c r="D70" s="508"/>
      <c r="E70" s="508"/>
      <c r="F70" s="503"/>
      <c r="G70" s="508"/>
      <c r="H70" s="508"/>
      <c r="I70" s="508"/>
      <c r="J70" s="508"/>
      <c r="K70" s="504"/>
      <c r="L70" s="508"/>
      <c r="M70" s="508"/>
      <c r="N70" s="508"/>
      <c r="O70" s="508"/>
      <c r="P70" s="505"/>
      <c r="Q70" s="508"/>
      <c r="R70" s="508"/>
      <c r="S70" s="508"/>
      <c r="T70" s="508"/>
      <c r="U70" s="506"/>
      <c r="V70" s="508"/>
      <c r="W70" s="508"/>
      <c r="X70" s="508"/>
      <c r="Y70" s="508"/>
      <c r="Z70" s="507"/>
      <c r="AA70" s="508"/>
      <c r="AB70" s="508"/>
      <c r="AC70" s="508"/>
      <c r="AD70" s="508"/>
      <c r="AE70" s="509"/>
    </row>
    <row r="71" spans="1:31" x14ac:dyDescent="0.25">
      <c r="A71" s="399">
        <v>60</v>
      </c>
      <c r="B71" s="508"/>
      <c r="C71" s="508"/>
      <c r="D71" s="508"/>
      <c r="E71" s="508"/>
      <c r="F71" s="503"/>
      <c r="G71" s="508"/>
      <c r="H71" s="508"/>
      <c r="I71" s="508"/>
      <c r="J71" s="508"/>
      <c r="K71" s="504"/>
      <c r="L71" s="508"/>
      <c r="M71" s="508"/>
      <c r="N71" s="508"/>
      <c r="O71" s="508"/>
      <c r="P71" s="505"/>
      <c r="Q71" s="508"/>
      <c r="R71" s="508"/>
      <c r="S71" s="508"/>
      <c r="T71" s="508"/>
      <c r="U71" s="506"/>
      <c r="V71" s="508"/>
      <c r="W71" s="508"/>
      <c r="X71" s="508"/>
      <c r="Y71" s="508"/>
      <c r="Z71" s="507"/>
      <c r="AA71" s="508"/>
      <c r="AB71" s="508"/>
      <c r="AC71" s="508"/>
      <c r="AD71" s="508"/>
      <c r="AE71" s="509"/>
    </row>
    <row r="72" spans="1:31" x14ac:dyDescent="0.25">
      <c r="A72" s="399">
        <v>61</v>
      </c>
      <c r="B72" s="508"/>
      <c r="C72" s="508"/>
      <c r="D72" s="508"/>
      <c r="E72" s="508"/>
      <c r="F72" s="503"/>
      <c r="G72" s="508"/>
      <c r="H72" s="508"/>
      <c r="I72" s="508"/>
      <c r="J72" s="508"/>
      <c r="K72" s="504"/>
      <c r="L72" s="508"/>
      <c r="M72" s="508"/>
      <c r="N72" s="508"/>
      <c r="O72" s="508"/>
      <c r="P72" s="505"/>
      <c r="Q72" s="508"/>
      <c r="R72" s="508"/>
      <c r="S72" s="508"/>
      <c r="T72" s="508"/>
      <c r="U72" s="506"/>
      <c r="V72" s="508"/>
      <c r="W72" s="508"/>
      <c r="X72" s="508"/>
      <c r="Y72" s="508"/>
      <c r="Z72" s="507"/>
      <c r="AA72" s="508"/>
      <c r="AB72" s="508"/>
      <c r="AC72" s="508"/>
      <c r="AD72" s="508"/>
      <c r="AE72" s="509"/>
    </row>
    <row r="73" spans="1:31" x14ac:dyDescent="0.25">
      <c r="A73" s="399">
        <v>62</v>
      </c>
      <c r="B73" s="508"/>
      <c r="C73" s="508"/>
      <c r="D73" s="508"/>
      <c r="E73" s="508"/>
      <c r="F73" s="503"/>
      <c r="G73" s="508"/>
      <c r="H73" s="508"/>
      <c r="I73" s="508"/>
      <c r="J73" s="508"/>
      <c r="K73" s="504"/>
      <c r="L73" s="508"/>
      <c r="M73" s="508"/>
      <c r="N73" s="508"/>
      <c r="O73" s="508"/>
      <c r="P73" s="505"/>
      <c r="Q73" s="508"/>
      <c r="R73" s="508"/>
      <c r="S73" s="508"/>
      <c r="T73" s="508"/>
      <c r="U73" s="506"/>
      <c r="V73" s="508"/>
      <c r="W73" s="508"/>
      <c r="X73" s="508"/>
      <c r="Y73" s="508"/>
      <c r="Z73" s="507"/>
      <c r="AA73" s="508"/>
      <c r="AB73" s="508"/>
      <c r="AC73" s="508"/>
      <c r="AD73" s="508"/>
      <c r="AE73" s="509"/>
    </row>
    <row r="74" spans="1:31" x14ac:dyDescent="0.25">
      <c r="A74" s="399">
        <v>63</v>
      </c>
      <c r="B74" s="508"/>
      <c r="C74" s="508"/>
      <c r="D74" s="508"/>
      <c r="E74" s="508"/>
      <c r="F74" s="503"/>
      <c r="G74" s="508"/>
      <c r="H74" s="508"/>
      <c r="I74" s="508"/>
      <c r="J74" s="508"/>
      <c r="K74" s="504"/>
      <c r="L74" s="508"/>
      <c r="M74" s="508"/>
      <c r="N74" s="508"/>
      <c r="O74" s="508"/>
      <c r="P74" s="505"/>
      <c r="Q74" s="508"/>
      <c r="R74" s="508"/>
      <c r="S74" s="508"/>
      <c r="T74" s="508"/>
      <c r="U74" s="506"/>
      <c r="V74" s="508"/>
      <c r="W74" s="508"/>
      <c r="X74" s="508"/>
      <c r="Y74" s="508"/>
      <c r="Z74" s="507"/>
      <c r="AA74" s="508"/>
      <c r="AB74" s="508"/>
      <c r="AC74" s="508"/>
      <c r="AD74" s="508"/>
      <c r="AE74" s="509"/>
    </row>
    <row r="75" spans="1:31" x14ac:dyDescent="0.25">
      <c r="A75" s="399">
        <v>64</v>
      </c>
      <c r="B75" s="508"/>
      <c r="C75" s="508"/>
      <c r="D75" s="508"/>
      <c r="E75" s="508"/>
      <c r="F75" s="503"/>
      <c r="G75" s="508"/>
      <c r="H75" s="508"/>
      <c r="I75" s="508"/>
      <c r="J75" s="508"/>
      <c r="K75" s="504"/>
      <c r="L75" s="508"/>
      <c r="M75" s="508"/>
      <c r="N75" s="508"/>
      <c r="O75" s="508"/>
      <c r="P75" s="505"/>
      <c r="Q75" s="508"/>
      <c r="R75" s="508"/>
      <c r="S75" s="508"/>
      <c r="T75" s="508"/>
      <c r="U75" s="506"/>
      <c r="V75" s="508"/>
      <c r="W75" s="508"/>
      <c r="X75" s="508"/>
      <c r="Y75" s="508"/>
      <c r="Z75" s="507"/>
      <c r="AA75" s="508"/>
      <c r="AB75" s="508"/>
      <c r="AC75" s="508"/>
      <c r="AD75" s="508"/>
      <c r="AE75" s="509"/>
    </row>
    <row r="76" spans="1:31" x14ac:dyDescent="0.25">
      <c r="A76" s="399">
        <v>65</v>
      </c>
      <c r="B76" s="508"/>
      <c r="C76" s="508"/>
      <c r="D76" s="508"/>
      <c r="E76" s="508"/>
      <c r="F76" s="503"/>
      <c r="G76" s="508"/>
      <c r="H76" s="508"/>
      <c r="I76" s="508"/>
      <c r="J76" s="508"/>
      <c r="K76" s="504"/>
      <c r="L76" s="508"/>
      <c r="M76" s="508"/>
      <c r="N76" s="508"/>
      <c r="O76" s="508"/>
      <c r="P76" s="505"/>
      <c r="Q76" s="508"/>
      <c r="R76" s="508"/>
      <c r="S76" s="508"/>
      <c r="T76" s="508"/>
      <c r="U76" s="506"/>
      <c r="V76" s="508"/>
      <c r="W76" s="508"/>
      <c r="X76" s="508"/>
      <c r="Y76" s="508"/>
      <c r="Z76" s="507"/>
      <c r="AA76" s="508"/>
      <c r="AB76" s="508"/>
      <c r="AC76" s="508"/>
      <c r="AD76" s="508"/>
      <c r="AE76" s="509"/>
    </row>
    <row r="77" spans="1:31" x14ac:dyDescent="0.25">
      <c r="A77" s="399">
        <v>66</v>
      </c>
      <c r="B77" s="508"/>
      <c r="C77" s="508"/>
      <c r="D77" s="508"/>
      <c r="E77" s="508"/>
      <c r="F77" s="503"/>
      <c r="G77" s="508"/>
      <c r="H77" s="508"/>
      <c r="I77" s="508"/>
      <c r="J77" s="508"/>
      <c r="K77" s="504"/>
      <c r="L77" s="508"/>
      <c r="M77" s="508"/>
      <c r="N77" s="508"/>
      <c r="O77" s="508"/>
      <c r="P77" s="505"/>
      <c r="Q77" s="508"/>
      <c r="R77" s="508"/>
      <c r="S77" s="508"/>
      <c r="T77" s="508"/>
      <c r="U77" s="506"/>
      <c r="V77" s="508"/>
      <c r="W77" s="508"/>
      <c r="X77" s="508"/>
      <c r="Y77" s="508"/>
      <c r="Z77" s="507"/>
      <c r="AA77" s="508"/>
      <c r="AB77" s="508"/>
      <c r="AC77" s="508"/>
      <c r="AD77" s="508"/>
      <c r="AE77" s="509"/>
    </row>
    <row r="78" spans="1:31" x14ac:dyDescent="0.25">
      <c r="A78" s="399">
        <v>67</v>
      </c>
      <c r="B78" s="508"/>
      <c r="C78" s="508"/>
      <c r="D78" s="508"/>
      <c r="E78" s="508"/>
      <c r="F78" s="503"/>
      <c r="G78" s="508"/>
      <c r="H78" s="508"/>
      <c r="I78" s="508"/>
      <c r="J78" s="508"/>
      <c r="K78" s="504"/>
      <c r="L78" s="508"/>
      <c r="M78" s="508"/>
      <c r="N78" s="508"/>
      <c r="O78" s="508"/>
      <c r="P78" s="505"/>
      <c r="Q78" s="508"/>
      <c r="R78" s="508"/>
      <c r="S78" s="508"/>
      <c r="T78" s="508"/>
      <c r="U78" s="506"/>
      <c r="V78" s="508"/>
      <c r="W78" s="508"/>
      <c r="X78" s="508"/>
      <c r="Y78" s="508"/>
      <c r="Z78" s="507"/>
      <c r="AA78" s="508"/>
      <c r="AB78" s="508"/>
      <c r="AC78" s="508"/>
      <c r="AD78" s="508"/>
      <c r="AE78" s="509"/>
    </row>
    <row r="79" spans="1:31" x14ac:dyDescent="0.25">
      <c r="A79" s="399">
        <v>68</v>
      </c>
      <c r="B79" s="508"/>
      <c r="C79" s="508"/>
      <c r="D79" s="508"/>
      <c r="E79" s="508"/>
      <c r="F79" s="503"/>
      <c r="G79" s="508"/>
      <c r="H79" s="508"/>
      <c r="I79" s="508"/>
      <c r="J79" s="508"/>
      <c r="K79" s="504"/>
      <c r="L79" s="508"/>
      <c r="M79" s="508"/>
      <c r="N79" s="508"/>
      <c r="O79" s="508"/>
      <c r="P79" s="505"/>
      <c r="Q79" s="508"/>
      <c r="R79" s="508"/>
      <c r="S79" s="508"/>
      <c r="T79" s="508"/>
      <c r="U79" s="506"/>
      <c r="V79" s="508"/>
      <c r="W79" s="508"/>
      <c r="X79" s="508"/>
      <c r="Y79" s="508"/>
      <c r="Z79" s="507"/>
      <c r="AA79" s="508"/>
      <c r="AB79" s="508"/>
      <c r="AC79" s="508"/>
      <c r="AD79" s="508"/>
      <c r="AE79" s="509"/>
    </row>
    <row r="80" spans="1:31" x14ac:dyDescent="0.25">
      <c r="A80" s="399">
        <v>69</v>
      </c>
      <c r="B80" s="508"/>
      <c r="C80" s="508"/>
      <c r="D80" s="508"/>
      <c r="E80" s="508"/>
      <c r="F80" s="503"/>
      <c r="G80" s="508"/>
      <c r="H80" s="508"/>
      <c r="I80" s="508"/>
      <c r="J80" s="508"/>
      <c r="K80" s="504"/>
      <c r="L80" s="508"/>
      <c r="M80" s="508"/>
      <c r="N80" s="508"/>
      <c r="O80" s="508"/>
      <c r="P80" s="505"/>
      <c r="Q80" s="508"/>
      <c r="R80" s="508"/>
      <c r="S80" s="508"/>
      <c r="T80" s="508"/>
      <c r="U80" s="506"/>
      <c r="V80" s="508"/>
      <c r="W80" s="508"/>
      <c r="X80" s="508"/>
      <c r="Y80" s="508"/>
      <c r="Z80" s="507"/>
      <c r="AA80" s="508"/>
      <c r="AB80" s="508"/>
      <c r="AC80" s="508"/>
      <c r="AD80" s="508"/>
      <c r="AE80" s="509"/>
    </row>
    <row r="81" spans="1:31" x14ac:dyDescent="0.25">
      <c r="A81" s="399">
        <v>70</v>
      </c>
      <c r="B81" s="508"/>
      <c r="C81" s="508"/>
      <c r="D81" s="508"/>
      <c r="E81" s="508"/>
      <c r="F81" s="503"/>
      <c r="G81" s="508"/>
      <c r="H81" s="508"/>
      <c r="I81" s="508"/>
      <c r="J81" s="508"/>
      <c r="K81" s="504"/>
      <c r="L81" s="508"/>
      <c r="M81" s="508"/>
      <c r="N81" s="508"/>
      <c r="O81" s="508"/>
      <c r="P81" s="505"/>
      <c r="Q81" s="508"/>
      <c r="R81" s="508"/>
      <c r="S81" s="508"/>
      <c r="T81" s="508"/>
      <c r="U81" s="506"/>
      <c r="V81" s="508"/>
      <c r="W81" s="508"/>
      <c r="X81" s="508"/>
      <c r="Y81" s="508"/>
      <c r="Z81" s="507"/>
      <c r="AA81" s="508"/>
      <c r="AB81" s="508"/>
      <c r="AC81" s="508"/>
      <c r="AD81" s="508"/>
      <c r="AE81" s="509"/>
    </row>
    <row r="82" spans="1:31" x14ac:dyDescent="0.25">
      <c r="A82" s="399">
        <v>71</v>
      </c>
      <c r="B82" s="508"/>
      <c r="C82" s="508"/>
      <c r="D82" s="508"/>
      <c r="E82" s="508"/>
      <c r="F82" s="503"/>
      <c r="G82" s="508"/>
      <c r="H82" s="508"/>
      <c r="I82" s="508"/>
      <c r="J82" s="508"/>
      <c r="K82" s="504"/>
      <c r="L82" s="508"/>
      <c r="M82" s="508"/>
      <c r="N82" s="508"/>
      <c r="O82" s="508"/>
      <c r="P82" s="505"/>
      <c r="Q82" s="508"/>
      <c r="R82" s="508"/>
      <c r="S82" s="508"/>
      <c r="T82" s="508"/>
      <c r="U82" s="506"/>
      <c r="V82" s="508"/>
      <c r="W82" s="508"/>
      <c r="X82" s="508"/>
      <c r="Y82" s="508"/>
      <c r="Z82" s="507"/>
      <c r="AA82" s="508"/>
      <c r="AB82" s="508"/>
      <c r="AC82" s="508"/>
      <c r="AD82" s="508"/>
      <c r="AE82" s="509"/>
    </row>
    <row r="83" spans="1:31" x14ac:dyDescent="0.25">
      <c r="A83" s="399">
        <v>72</v>
      </c>
      <c r="B83" s="508"/>
      <c r="C83" s="508"/>
      <c r="D83" s="508"/>
      <c r="E83" s="508"/>
      <c r="F83" s="503"/>
      <c r="G83" s="508"/>
      <c r="H83" s="508"/>
      <c r="I83" s="508"/>
      <c r="J83" s="508"/>
      <c r="K83" s="504"/>
      <c r="L83" s="508"/>
      <c r="M83" s="508"/>
      <c r="N83" s="508"/>
      <c r="O83" s="508"/>
      <c r="P83" s="505"/>
      <c r="Q83" s="508"/>
      <c r="R83" s="508"/>
      <c r="S83" s="508"/>
      <c r="T83" s="508"/>
      <c r="U83" s="506"/>
      <c r="V83" s="508"/>
      <c r="W83" s="508"/>
      <c r="X83" s="508"/>
      <c r="Y83" s="508"/>
      <c r="Z83" s="507"/>
      <c r="AA83" s="508"/>
      <c r="AB83" s="508"/>
      <c r="AC83" s="508"/>
      <c r="AD83" s="508"/>
      <c r="AE83" s="509"/>
    </row>
    <row r="84" spans="1:31" x14ac:dyDescent="0.25">
      <c r="A84" s="399">
        <v>73</v>
      </c>
      <c r="B84" s="508"/>
      <c r="C84" s="508"/>
      <c r="D84" s="508"/>
      <c r="E84" s="508"/>
      <c r="F84" s="503"/>
      <c r="G84" s="508"/>
      <c r="H84" s="508"/>
      <c r="I84" s="508"/>
      <c r="J84" s="508"/>
      <c r="K84" s="504"/>
      <c r="L84" s="508"/>
      <c r="M84" s="508"/>
      <c r="N84" s="508"/>
      <c r="O84" s="508"/>
      <c r="P84" s="505"/>
      <c r="Q84" s="508"/>
      <c r="R84" s="508"/>
      <c r="S84" s="508"/>
      <c r="T84" s="508"/>
      <c r="U84" s="506"/>
      <c r="V84" s="508"/>
      <c r="W84" s="508"/>
      <c r="X84" s="508"/>
      <c r="Y84" s="508"/>
      <c r="Z84" s="507"/>
      <c r="AA84" s="508"/>
      <c r="AB84" s="508"/>
      <c r="AC84" s="508"/>
      <c r="AD84" s="508"/>
      <c r="AE84" s="509"/>
    </row>
    <row r="85" spans="1:31" x14ac:dyDescent="0.25">
      <c r="A85" s="399">
        <v>74</v>
      </c>
      <c r="B85" s="508"/>
      <c r="C85" s="508"/>
      <c r="D85" s="508"/>
      <c r="E85" s="508"/>
      <c r="F85" s="503"/>
      <c r="G85" s="508"/>
      <c r="H85" s="508"/>
      <c r="I85" s="508"/>
      <c r="J85" s="508"/>
      <c r="K85" s="504"/>
      <c r="L85" s="508"/>
      <c r="M85" s="508"/>
      <c r="N85" s="508"/>
      <c r="O85" s="508"/>
      <c r="P85" s="505"/>
      <c r="Q85" s="508"/>
      <c r="R85" s="508"/>
      <c r="S85" s="508"/>
      <c r="T85" s="508"/>
      <c r="U85" s="506"/>
      <c r="V85" s="508"/>
      <c r="W85" s="508"/>
      <c r="X85" s="508"/>
      <c r="Y85" s="508"/>
      <c r="Z85" s="507"/>
      <c r="AA85" s="508"/>
      <c r="AB85" s="508"/>
      <c r="AC85" s="508"/>
      <c r="AD85" s="508"/>
      <c r="AE85" s="509"/>
    </row>
    <row r="86" spans="1:31" x14ac:dyDescent="0.25">
      <c r="A86" s="399">
        <v>75</v>
      </c>
      <c r="B86" s="508"/>
      <c r="C86" s="508"/>
      <c r="D86" s="508"/>
      <c r="E86" s="508"/>
      <c r="F86" s="503"/>
      <c r="G86" s="508"/>
      <c r="H86" s="508"/>
      <c r="I86" s="508"/>
      <c r="J86" s="508"/>
      <c r="K86" s="504"/>
      <c r="L86" s="508"/>
      <c r="M86" s="508"/>
      <c r="N86" s="508"/>
      <c r="O86" s="508"/>
      <c r="P86" s="505"/>
      <c r="Q86" s="508"/>
      <c r="R86" s="508"/>
      <c r="S86" s="508"/>
      <c r="T86" s="508"/>
      <c r="U86" s="506"/>
      <c r="V86" s="508"/>
      <c r="W86" s="508"/>
      <c r="X86" s="508"/>
      <c r="Y86" s="508"/>
      <c r="Z86" s="507"/>
      <c r="AA86" s="508"/>
      <c r="AB86" s="508"/>
      <c r="AC86" s="508"/>
      <c r="AD86" s="508"/>
      <c r="AE86" s="509"/>
    </row>
    <row r="87" spans="1:31" x14ac:dyDescent="0.25">
      <c r="A87" s="399">
        <v>76</v>
      </c>
      <c r="B87" s="508"/>
      <c r="C87" s="508"/>
      <c r="D87" s="508"/>
      <c r="E87" s="508"/>
      <c r="F87" s="503"/>
      <c r="G87" s="508"/>
      <c r="H87" s="508"/>
      <c r="I87" s="508"/>
      <c r="J87" s="508"/>
      <c r="K87" s="504"/>
      <c r="L87" s="508"/>
      <c r="M87" s="508"/>
      <c r="N87" s="508"/>
      <c r="O87" s="508"/>
      <c r="P87" s="505"/>
      <c r="Q87" s="508"/>
      <c r="R87" s="508"/>
      <c r="S87" s="508"/>
      <c r="T87" s="508"/>
      <c r="U87" s="506"/>
      <c r="V87" s="508"/>
      <c r="W87" s="508"/>
      <c r="X87" s="508"/>
      <c r="Y87" s="508"/>
      <c r="Z87" s="507"/>
      <c r="AA87" s="508"/>
      <c r="AB87" s="508"/>
      <c r="AC87" s="508"/>
      <c r="AD87" s="508"/>
      <c r="AE87" s="509"/>
    </row>
    <row r="88" spans="1:31" x14ac:dyDescent="0.25">
      <c r="A88" s="399">
        <v>77</v>
      </c>
      <c r="B88" s="508"/>
      <c r="C88" s="508"/>
      <c r="D88" s="508"/>
      <c r="E88" s="508"/>
      <c r="F88" s="503"/>
      <c r="G88" s="508"/>
      <c r="H88" s="508"/>
      <c r="I88" s="508"/>
      <c r="J88" s="508"/>
      <c r="K88" s="504"/>
      <c r="L88" s="508"/>
      <c r="M88" s="508"/>
      <c r="N88" s="508"/>
      <c r="O88" s="508"/>
      <c r="P88" s="505"/>
      <c r="Q88" s="508"/>
      <c r="R88" s="508"/>
      <c r="S88" s="508"/>
      <c r="T88" s="508"/>
      <c r="U88" s="506"/>
      <c r="V88" s="508"/>
      <c r="W88" s="508"/>
      <c r="X88" s="508"/>
      <c r="Y88" s="508"/>
      <c r="Z88" s="507"/>
      <c r="AA88" s="508"/>
      <c r="AB88" s="508"/>
      <c r="AC88" s="508"/>
      <c r="AD88" s="508"/>
      <c r="AE88" s="509"/>
    </row>
    <row r="89" spans="1:31" x14ac:dyDescent="0.25">
      <c r="A89" s="399">
        <v>78</v>
      </c>
      <c r="B89" s="508"/>
      <c r="C89" s="508"/>
      <c r="D89" s="508"/>
      <c r="E89" s="508"/>
      <c r="F89" s="503"/>
      <c r="G89" s="508"/>
      <c r="H89" s="508"/>
      <c r="I89" s="508"/>
      <c r="J89" s="508"/>
      <c r="K89" s="504"/>
      <c r="L89" s="508"/>
      <c r="M89" s="508"/>
      <c r="N89" s="508"/>
      <c r="O89" s="508"/>
      <c r="P89" s="505"/>
      <c r="Q89" s="508"/>
      <c r="R89" s="508"/>
      <c r="S89" s="508"/>
      <c r="T89" s="508"/>
      <c r="U89" s="506"/>
      <c r="V89" s="508"/>
      <c r="W89" s="508"/>
      <c r="X89" s="508"/>
      <c r="Y89" s="508"/>
      <c r="Z89" s="507"/>
      <c r="AA89" s="508"/>
      <c r="AB89" s="508"/>
      <c r="AC89" s="508"/>
      <c r="AD89" s="508"/>
      <c r="AE89" s="509"/>
    </row>
    <row r="90" spans="1:31" x14ac:dyDescent="0.25">
      <c r="A90" s="399">
        <v>79</v>
      </c>
      <c r="B90" s="508"/>
      <c r="C90" s="508"/>
      <c r="D90" s="508"/>
      <c r="E90" s="508"/>
      <c r="F90" s="503"/>
      <c r="G90" s="508"/>
      <c r="H90" s="508"/>
      <c r="I90" s="508"/>
      <c r="J90" s="508"/>
      <c r="K90" s="504"/>
      <c r="L90" s="508"/>
      <c r="M90" s="508"/>
      <c r="N90" s="508"/>
      <c r="O90" s="508"/>
      <c r="P90" s="505"/>
      <c r="Q90" s="508"/>
      <c r="R90" s="508"/>
      <c r="S90" s="508"/>
      <c r="T90" s="508"/>
      <c r="U90" s="506"/>
      <c r="V90" s="508"/>
      <c r="W90" s="508"/>
      <c r="X90" s="508"/>
      <c r="Y90" s="508"/>
      <c r="Z90" s="507"/>
      <c r="AA90" s="508"/>
      <c r="AB90" s="508"/>
      <c r="AC90" s="508"/>
      <c r="AD90" s="508"/>
      <c r="AE90" s="509"/>
    </row>
    <row r="91" spans="1:31" x14ac:dyDescent="0.25">
      <c r="A91" s="399">
        <v>80</v>
      </c>
      <c r="B91" s="508"/>
      <c r="C91" s="508"/>
      <c r="D91" s="508"/>
      <c r="E91" s="508"/>
      <c r="F91" s="503"/>
      <c r="G91" s="508"/>
      <c r="H91" s="508"/>
      <c r="I91" s="508"/>
      <c r="J91" s="508"/>
      <c r="K91" s="504"/>
      <c r="L91" s="508"/>
      <c r="M91" s="508"/>
      <c r="N91" s="508"/>
      <c r="O91" s="508"/>
      <c r="P91" s="505"/>
      <c r="Q91" s="508"/>
      <c r="R91" s="508"/>
      <c r="S91" s="508"/>
      <c r="T91" s="508"/>
      <c r="U91" s="506"/>
      <c r="V91" s="508"/>
      <c r="W91" s="508"/>
      <c r="X91" s="508"/>
      <c r="Y91" s="508"/>
      <c r="Z91" s="507"/>
      <c r="AA91" s="508"/>
      <c r="AB91" s="508"/>
      <c r="AC91" s="508"/>
      <c r="AD91" s="508"/>
      <c r="AE91" s="509"/>
    </row>
    <row r="92" spans="1:31" x14ac:dyDescent="0.25">
      <c r="A92" s="399">
        <v>81</v>
      </c>
      <c r="B92" s="508"/>
      <c r="C92" s="508"/>
      <c r="D92" s="508"/>
      <c r="E92" s="508"/>
      <c r="F92" s="503"/>
      <c r="G92" s="508"/>
      <c r="H92" s="508"/>
      <c r="I92" s="508"/>
      <c r="J92" s="508"/>
      <c r="K92" s="504"/>
      <c r="L92" s="508"/>
      <c r="M92" s="508"/>
      <c r="N92" s="508"/>
      <c r="O92" s="508"/>
      <c r="P92" s="505"/>
      <c r="Q92" s="508"/>
      <c r="R92" s="508"/>
      <c r="S92" s="508"/>
      <c r="T92" s="508"/>
      <c r="U92" s="506"/>
      <c r="V92" s="508"/>
      <c r="W92" s="508"/>
      <c r="X92" s="508"/>
      <c r="Y92" s="508"/>
      <c r="Z92" s="507"/>
      <c r="AA92" s="508"/>
      <c r="AB92" s="508"/>
      <c r="AC92" s="508"/>
      <c r="AD92" s="508"/>
      <c r="AE92" s="509"/>
    </row>
    <row r="93" spans="1:31" x14ac:dyDescent="0.25">
      <c r="A93" s="399">
        <v>82</v>
      </c>
      <c r="B93" s="508"/>
      <c r="C93" s="508"/>
      <c r="D93" s="508"/>
      <c r="E93" s="508"/>
      <c r="F93" s="503"/>
      <c r="G93" s="508"/>
      <c r="H93" s="508"/>
      <c r="I93" s="508"/>
      <c r="J93" s="508"/>
      <c r="K93" s="504"/>
      <c r="L93" s="508"/>
      <c r="M93" s="508"/>
      <c r="N93" s="508"/>
      <c r="O93" s="508"/>
      <c r="P93" s="505"/>
      <c r="Q93" s="508"/>
      <c r="R93" s="508"/>
      <c r="S93" s="508"/>
      <c r="T93" s="508"/>
      <c r="U93" s="506"/>
      <c r="V93" s="508"/>
      <c r="W93" s="508"/>
      <c r="X93" s="508"/>
      <c r="Y93" s="508"/>
      <c r="Z93" s="507"/>
      <c r="AA93" s="508"/>
      <c r="AB93" s="508"/>
      <c r="AC93" s="508"/>
      <c r="AD93" s="508"/>
      <c r="AE93" s="509"/>
    </row>
    <row r="94" spans="1:31" x14ac:dyDescent="0.25">
      <c r="A94" s="399">
        <v>83</v>
      </c>
      <c r="B94" s="508"/>
      <c r="C94" s="508"/>
      <c r="D94" s="508"/>
      <c r="E94" s="508"/>
      <c r="F94" s="503"/>
      <c r="G94" s="508"/>
      <c r="H94" s="508"/>
      <c r="I94" s="508"/>
      <c r="J94" s="508"/>
      <c r="K94" s="504"/>
      <c r="L94" s="508"/>
      <c r="M94" s="508"/>
      <c r="N94" s="508"/>
      <c r="O94" s="508"/>
      <c r="P94" s="505"/>
      <c r="Q94" s="508"/>
      <c r="R94" s="508"/>
      <c r="S94" s="508"/>
      <c r="T94" s="508"/>
      <c r="U94" s="506"/>
      <c r="V94" s="508"/>
      <c r="W94" s="508"/>
      <c r="X94" s="508"/>
      <c r="Y94" s="508"/>
      <c r="Z94" s="507"/>
      <c r="AA94" s="508"/>
      <c r="AB94" s="508"/>
      <c r="AC94" s="508"/>
      <c r="AD94" s="508"/>
      <c r="AE94" s="509"/>
    </row>
    <row r="95" spans="1:31" x14ac:dyDescent="0.25">
      <c r="A95" s="399">
        <v>84</v>
      </c>
      <c r="B95" s="508"/>
      <c r="C95" s="508"/>
      <c r="D95" s="508"/>
      <c r="E95" s="508"/>
      <c r="F95" s="503"/>
      <c r="G95" s="508"/>
      <c r="H95" s="508"/>
      <c r="I95" s="508"/>
      <c r="J95" s="508"/>
      <c r="K95" s="504"/>
      <c r="L95" s="508"/>
      <c r="M95" s="508"/>
      <c r="N95" s="508"/>
      <c r="O95" s="508"/>
      <c r="P95" s="505"/>
      <c r="Q95" s="508"/>
      <c r="R95" s="508"/>
      <c r="S95" s="508"/>
      <c r="T95" s="508"/>
      <c r="U95" s="506"/>
      <c r="V95" s="508"/>
      <c r="W95" s="508"/>
      <c r="X95" s="508"/>
      <c r="Y95" s="508"/>
      <c r="Z95" s="507"/>
      <c r="AA95" s="508"/>
      <c r="AB95" s="508"/>
      <c r="AC95" s="508"/>
      <c r="AD95" s="508"/>
      <c r="AE95" s="509"/>
    </row>
    <row r="96" spans="1:31" x14ac:dyDescent="0.25">
      <c r="A96" s="399">
        <v>85</v>
      </c>
      <c r="B96" s="508"/>
      <c r="C96" s="508"/>
      <c r="D96" s="508"/>
      <c r="E96" s="508"/>
      <c r="F96" s="503"/>
      <c r="G96" s="508"/>
      <c r="H96" s="508"/>
      <c r="I96" s="508"/>
      <c r="J96" s="508"/>
      <c r="K96" s="504"/>
      <c r="L96" s="508"/>
      <c r="M96" s="508"/>
      <c r="N96" s="508"/>
      <c r="O96" s="508"/>
      <c r="P96" s="505"/>
      <c r="Q96" s="508"/>
      <c r="R96" s="508"/>
      <c r="S96" s="508"/>
      <c r="T96" s="508"/>
      <c r="U96" s="506"/>
      <c r="V96" s="508"/>
      <c r="W96" s="508"/>
      <c r="X96" s="508"/>
      <c r="Y96" s="508"/>
      <c r="Z96" s="507"/>
      <c r="AA96" s="508"/>
      <c r="AB96" s="508"/>
      <c r="AC96" s="508"/>
      <c r="AD96" s="508"/>
      <c r="AE96" s="509"/>
    </row>
    <row r="97" spans="1:31" x14ac:dyDescent="0.25">
      <c r="A97" s="399">
        <v>86</v>
      </c>
      <c r="B97" s="508"/>
      <c r="C97" s="508"/>
      <c r="D97" s="508"/>
      <c r="E97" s="508"/>
      <c r="F97" s="503"/>
      <c r="G97" s="508"/>
      <c r="H97" s="508"/>
      <c r="I97" s="508"/>
      <c r="J97" s="508"/>
      <c r="K97" s="504"/>
      <c r="L97" s="508"/>
      <c r="M97" s="508"/>
      <c r="N97" s="508"/>
      <c r="O97" s="508"/>
      <c r="P97" s="505"/>
      <c r="Q97" s="508"/>
      <c r="R97" s="508"/>
      <c r="S97" s="508"/>
      <c r="T97" s="508"/>
      <c r="U97" s="506"/>
      <c r="V97" s="508"/>
      <c r="W97" s="508"/>
      <c r="X97" s="508"/>
      <c r="Y97" s="508"/>
      <c r="Z97" s="507"/>
      <c r="AA97" s="508"/>
      <c r="AB97" s="508"/>
      <c r="AC97" s="508"/>
      <c r="AD97" s="508"/>
      <c r="AE97" s="509"/>
    </row>
    <row r="98" spans="1:31" x14ac:dyDescent="0.25">
      <c r="A98" s="399">
        <v>87</v>
      </c>
      <c r="B98" s="508"/>
      <c r="C98" s="508"/>
      <c r="D98" s="508"/>
      <c r="E98" s="508"/>
      <c r="F98" s="503"/>
      <c r="G98" s="508"/>
      <c r="H98" s="508"/>
      <c r="I98" s="508"/>
      <c r="J98" s="508"/>
      <c r="K98" s="504"/>
      <c r="L98" s="508"/>
      <c r="M98" s="508"/>
      <c r="N98" s="508"/>
      <c r="O98" s="508"/>
      <c r="P98" s="505"/>
      <c r="Q98" s="508"/>
      <c r="R98" s="508"/>
      <c r="S98" s="508"/>
      <c r="T98" s="508"/>
      <c r="U98" s="506"/>
      <c r="V98" s="508"/>
      <c r="W98" s="508"/>
      <c r="X98" s="508"/>
      <c r="Y98" s="508"/>
      <c r="Z98" s="507"/>
      <c r="AA98" s="508"/>
      <c r="AB98" s="508"/>
      <c r="AC98" s="508"/>
      <c r="AD98" s="508"/>
      <c r="AE98" s="509"/>
    </row>
    <row r="99" spans="1:31" x14ac:dyDescent="0.25">
      <c r="A99" s="399">
        <v>88</v>
      </c>
      <c r="B99" s="508"/>
      <c r="C99" s="508"/>
      <c r="D99" s="508"/>
      <c r="E99" s="508"/>
      <c r="F99" s="503"/>
      <c r="G99" s="508"/>
      <c r="H99" s="508"/>
      <c r="I99" s="508"/>
      <c r="J99" s="508"/>
      <c r="K99" s="504"/>
      <c r="L99" s="508"/>
      <c r="M99" s="508"/>
      <c r="N99" s="508"/>
      <c r="O99" s="508"/>
      <c r="P99" s="505"/>
      <c r="Q99" s="508"/>
      <c r="R99" s="508"/>
      <c r="S99" s="508"/>
      <c r="T99" s="508"/>
      <c r="U99" s="506"/>
      <c r="V99" s="508"/>
      <c r="W99" s="508"/>
      <c r="X99" s="508"/>
      <c r="Y99" s="508"/>
      <c r="Z99" s="507"/>
      <c r="AA99" s="508"/>
      <c r="AB99" s="508"/>
      <c r="AC99" s="508"/>
      <c r="AD99" s="508"/>
      <c r="AE99" s="509"/>
    </row>
    <row r="100" spans="1:31" x14ac:dyDescent="0.25">
      <c r="A100" s="399">
        <v>89</v>
      </c>
      <c r="B100" s="508"/>
      <c r="C100" s="508"/>
      <c r="D100" s="508"/>
      <c r="E100" s="508"/>
      <c r="F100" s="503"/>
      <c r="G100" s="508"/>
      <c r="H100" s="508"/>
      <c r="I100" s="508"/>
      <c r="J100" s="508"/>
      <c r="K100" s="504"/>
      <c r="L100" s="508"/>
      <c r="M100" s="508"/>
      <c r="N100" s="508"/>
      <c r="O100" s="508"/>
      <c r="P100" s="505"/>
      <c r="Q100" s="508"/>
      <c r="R100" s="508"/>
      <c r="S100" s="508"/>
      <c r="T100" s="508"/>
      <c r="U100" s="506"/>
      <c r="V100" s="508"/>
      <c r="W100" s="508"/>
      <c r="X100" s="508"/>
      <c r="Y100" s="508"/>
      <c r="Z100" s="507"/>
      <c r="AA100" s="508"/>
      <c r="AB100" s="508"/>
      <c r="AC100" s="508"/>
      <c r="AD100" s="508"/>
      <c r="AE100" s="509"/>
    </row>
    <row r="101" spans="1:31" x14ac:dyDescent="0.25">
      <c r="A101" s="399">
        <v>90</v>
      </c>
      <c r="B101" s="508"/>
      <c r="C101" s="508"/>
      <c r="D101" s="508"/>
      <c r="E101" s="508"/>
      <c r="F101" s="503"/>
      <c r="G101" s="508"/>
      <c r="H101" s="508"/>
      <c r="I101" s="508"/>
      <c r="J101" s="508"/>
      <c r="K101" s="504"/>
      <c r="L101" s="508"/>
      <c r="M101" s="508"/>
      <c r="N101" s="508"/>
      <c r="O101" s="508"/>
      <c r="P101" s="505"/>
      <c r="Q101" s="508"/>
      <c r="R101" s="508"/>
      <c r="S101" s="508"/>
      <c r="T101" s="508"/>
      <c r="U101" s="506"/>
      <c r="V101" s="508"/>
      <c r="W101" s="508"/>
      <c r="X101" s="508"/>
      <c r="Y101" s="508"/>
      <c r="Z101" s="507"/>
      <c r="AA101" s="508"/>
      <c r="AB101" s="508"/>
      <c r="AC101" s="508"/>
      <c r="AD101" s="508"/>
      <c r="AE101" s="509"/>
    </row>
    <row r="102" spans="1:31" x14ac:dyDescent="0.25">
      <c r="A102" s="399">
        <v>91</v>
      </c>
      <c r="B102" s="508"/>
      <c r="C102" s="508"/>
      <c r="D102" s="508"/>
      <c r="E102" s="508"/>
      <c r="F102" s="503"/>
      <c r="G102" s="508"/>
      <c r="H102" s="508"/>
      <c r="I102" s="508"/>
      <c r="J102" s="508"/>
      <c r="K102" s="504"/>
      <c r="L102" s="508"/>
      <c r="M102" s="508"/>
      <c r="N102" s="508"/>
      <c r="O102" s="508"/>
      <c r="P102" s="505"/>
      <c r="Q102" s="508"/>
      <c r="R102" s="508"/>
      <c r="S102" s="508"/>
      <c r="T102" s="508"/>
      <c r="U102" s="506"/>
      <c r="V102" s="508"/>
      <c r="W102" s="508"/>
      <c r="X102" s="508"/>
      <c r="Y102" s="508"/>
      <c r="Z102" s="507"/>
      <c r="AA102" s="508"/>
      <c r="AB102" s="508"/>
      <c r="AC102" s="508"/>
      <c r="AD102" s="508"/>
      <c r="AE102" s="509"/>
    </row>
    <row r="103" spans="1:31" x14ac:dyDescent="0.25">
      <c r="A103" s="399">
        <v>92</v>
      </c>
      <c r="B103" s="508"/>
      <c r="C103" s="508"/>
      <c r="D103" s="508"/>
      <c r="E103" s="508"/>
      <c r="F103" s="503"/>
      <c r="G103" s="508"/>
      <c r="H103" s="508"/>
      <c r="I103" s="508"/>
      <c r="J103" s="508"/>
      <c r="K103" s="504"/>
      <c r="L103" s="508"/>
      <c r="M103" s="508"/>
      <c r="N103" s="508"/>
      <c r="O103" s="508"/>
      <c r="P103" s="505"/>
      <c r="Q103" s="508"/>
      <c r="R103" s="508"/>
      <c r="S103" s="508"/>
      <c r="T103" s="508"/>
      <c r="U103" s="506"/>
      <c r="V103" s="508"/>
      <c r="W103" s="508"/>
      <c r="X103" s="508"/>
      <c r="Y103" s="508"/>
      <c r="Z103" s="507"/>
      <c r="AA103" s="508"/>
      <c r="AB103" s="508"/>
      <c r="AC103" s="508"/>
      <c r="AD103" s="508"/>
      <c r="AE103" s="509"/>
    </row>
    <row r="104" spans="1:31" x14ac:dyDescent="0.25">
      <c r="A104" s="399">
        <v>93</v>
      </c>
      <c r="B104" s="508"/>
      <c r="C104" s="508"/>
      <c r="D104" s="508"/>
      <c r="E104" s="508"/>
      <c r="F104" s="503"/>
      <c r="G104" s="508"/>
      <c r="H104" s="508"/>
      <c r="I104" s="508"/>
      <c r="J104" s="508"/>
      <c r="K104" s="504"/>
      <c r="L104" s="508"/>
      <c r="M104" s="508"/>
      <c r="N104" s="508"/>
      <c r="O104" s="508"/>
      <c r="P104" s="505"/>
      <c r="Q104" s="508"/>
      <c r="R104" s="508"/>
      <c r="S104" s="508"/>
      <c r="T104" s="508"/>
      <c r="U104" s="506"/>
      <c r="V104" s="508"/>
      <c r="W104" s="508"/>
      <c r="X104" s="508"/>
      <c r="Y104" s="508"/>
      <c r="Z104" s="507"/>
      <c r="AA104" s="508"/>
      <c r="AB104" s="508"/>
      <c r="AC104" s="508"/>
      <c r="AD104" s="508"/>
      <c r="AE104" s="509"/>
    </row>
    <row r="105" spans="1:31" x14ac:dyDescent="0.25">
      <c r="A105" s="399">
        <v>94</v>
      </c>
      <c r="B105" s="508"/>
      <c r="C105" s="508"/>
      <c r="D105" s="508"/>
      <c r="E105" s="508"/>
      <c r="F105" s="503"/>
      <c r="G105" s="508"/>
      <c r="H105" s="508"/>
      <c r="I105" s="508"/>
      <c r="J105" s="508"/>
      <c r="K105" s="504"/>
      <c r="L105" s="508"/>
      <c r="M105" s="508"/>
      <c r="N105" s="508"/>
      <c r="O105" s="508"/>
      <c r="P105" s="505"/>
      <c r="Q105" s="508"/>
      <c r="R105" s="508"/>
      <c r="S105" s="508"/>
      <c r="T105" s="508"/>
      <c r="U105" s="506"/>
      <c r="V105" s="508"/>
      <c r="W105" s="508"/>
      <c r="X105" s="508"/>
      <c r="Y105" s="508"/>
      <c r="Z105" s="507"/>
      <c r="AA105" s="508"/>
      <c r="AB105" s="508"/>
      <c r="AC105" s="508"/>
      <c r="AD105" s="508"/>
      <c r="AE105" s="509"/>
    </row>
    <row r="106" spans="1:31" x14ac:dyDescent="0.25">
      <c r="A106" s="399">
        <v>95</v>
      </c>
      <c r="B106" s="508"/>
      <c r="C106" s="508"/>
      <c r="D106" s="508"/>
      <c r="E106" s="508"/>
      <c r="F106" s="503"/>
      <c r="G106" s="508"/>
      <c r="H106" s="508"/>
      <c r="I106" s="508"/>
      <c r="J106" s="508"/>
      <c r="K106" s="504"/>
      <c r="L106" s="508"/>
      <c r="M106" s="508"/>
      <c r="N106" s="508"/>
      <c r="O106" s="508"/>
      <c r="P106" s="505"/>
      <c r="Q106" s="508"/>
      <c r="R106" s="508"/>
      <c r="S106" s="508"/>
      <c r="T106" s="508"/>
      <c r="U106" s="506"/>
      <c r="V106" s="508"/>
      <c r="W106" s="508"/>
      <c r="X106" s="508"/>
      <c r="Y106" s="508"/>
      <c r="Z106" s="507"/>
      <c r="AA106" s="508"/>
      <c r="AB106" s="508"/>
      <c r="AC106" s="508"/>
      <c r="AD106" s="508"/>
      <c r="AE106" s="509"/>
    </row>
    <row r="107" spans="1:31" x14ac:dyDescent="0.25">
      <c r="A107" s="399">
        <v>96</v>
      </c>
      <c r="B107" s="508"/>
      <c r="C107" s="508"/>
      <c r="D107" s="508"/>
      <c r="E107" s="508"/>
      <c r="F107" s="503"/>
      <c r="G107" s="508"/>
      <c r="H107" s="508"/>
      <c r="I107" s="508"/>
      <c r="J107" s="508"/>
      <c r="K107" s="504"/>
      <c r="L107" s="508"/>
      <c r="M107" s="508"/>
      <c r="N107" s="508"/>
      <c r="O107" s="508"/>
      <c r="P107" s="505"/>
      <c r="Q107" s="508"/>
      <c r="R107" s="508"/>
      <c r="S107" s="508"/>
      <c r="T107" s="508"/>
      <c r="U107" s="506"/>
      <c r="V107" s="508"/>
      <c r="W107" s="508"/>
      <c r="X107" s="508"/>
      <c r="Y107" s="508"/>
      <c r="Z107" s="507"/>
      <c r="AA107" s="508"/>
      <c r="AB107" s="508"/>
      <c r="AC107" s="508"/>
      <c r="AD107" s="508"/>
      <c r="AE107" s="509"/>
    </row>
    <row r="108" spans="1:31" x14ac:dyDescent="0.25">
      <c r="A108" s="399">
        <v>97</v>
      </c>
      <c r="B108" s="508"/>
      <c r="C108" s="508"/>
      <c r="D108" s="508"/>
      <c r="E108" s="508"/>
      <c r="F108" s="503"/>
      <c r="G108" s="508"/>
      <c r="H108" s="508"/>
      <c r="I108" s="508"/>
      <c r="J108" s="508"/>
      <c r="K108" s="504"/>
      <c r="L108" s="508"/>
      <c r="M108" s="508"/>
      <c r="N108" s="508"/>
      <c r="O108" s="508"/>
      <c r="P108" s="505"/>
      <c r="Q108" s="508"/>
      <c r="R108" s="508"/>
      <c r="S108" s="508"/>
      <c r="T108" s="508"/>
      <c r="U108" s="506"/>
      <c r="V108" s="508"/>
      <c r="W108" s="508"/>
      <c r="X108" s="508"/>
      <c r="Y108" s="508"/>
      <c r="Z108" s="507"/>
      <c r="AA108" s="508"/>
      <c r="AB108" s="508"/>
      <c r="AC108" s="508"/>
      <c r="AD108" s="508"/>
      <c r="AE108" s="509"/>
    </row>
    <row r="109" spans="1:31" x14ac:dyDescent="0.25">
      <c r="A109" s="399">
        <v>98</v>
      </c>
      <c r="B109" s="508"/>
      <c r="C109" s="508"/>
      <c r="D109" s="508"/>
      <c r="E109" s="508"/>
      <c r="F109" s="503"/>
      <c r="G109" s="508"/>
      <c r="H109" s="508"/>
      <c r="I109" s="508"/>
      <c r="J109" s="508"/>
      <c r="K109" s="504"/>
      <c r="L109" s="508"/>
      <c r="M109" s="508"/>
      <c r="N109" s="508"/>
      <c r="O109" s="508"/>
      <c r="P109" s="505"/>
      <c r="Q109" s="508"/>
      <c r="R109" s="508"/>
      <c r="S109" s="508"/>
      <c r="T109" s="508"/>
      <c r="U109" s="506"/>
      <c r="V109" s="508"/>
      <c r="W109" s="508"/>
      <c r="X109" s="508"/>
      <c r="Y109" s="508"/>
      <c r="Z109" s="507"/>
      <c r="AA109" s="508"/>
      <c r="AB109" s="508"/>
      <c r="AC109" s="508"/>
      <c r="AD109" s="508"/>
      <c r="AE109" s="509"/>
    </row>
    <row r="110" spans="1:31" x14ac:dyDescent="0.25">
      <c r="A110" s="399">
        <v>99</v>
      </c>
      <c r="B110" s="508"/>
      <c r="C110" s="508"/>
      <c r="D110" s="508"/>
      <c r="E110" s="508"/>
      <c r="F110" s="503"/>
      <c r="G110" s="508"/>
      <c r="H110" s="508"/>
      <c r="I110" s="508"/>
      <c r="J110" s="508"/>
      <c r="K110" s="504"/>
      <c r="L110" s="508"/>
      <c r="M110" s="508"/>
      <c r="N110" s="508"/>
      <c r="O110" s="508"/>
      <c r="P110" s="505"/>
      <c r="Q110" s="508"/>
      <c r="R110" s="508"/>
      <c r="S110" s="508"/>
      <c r="T110" s="508"/>
      <c r="U110" s="506"/>
      <c r="V110" s="508"/>
      <c r="W110" s="508"/>
      <c r="X110" s="508"/>
      <c r="Y110" s="508"/>
      <c r="Z110" s="507"/>
      <c r="AA110" s="508"/>
      <c r="AB110" s="508"/>
      <c r="AC110" s="508"/>
      <c r="AD110" s="508"/>
      <c r="AE110" s="509"/>
    </row>
    <row r="111" spans="1:31" x14ac:dyDescent="0.25">
      <c r="A111" s="399">
        <v>100</v>
      </c>
      <c r="B111" s="508"/>
      <c r="C111" s="508"/>
      <c r="D111" s="508"/>
      <c r="E111" s="508"/>
      <c r="F111" s="503"/>
      <c r="G111" s="508"/>
      <c r="H111" s="508"/>
      <c r="I111" s="508"/>
      <c r="J111" s="508"/>
      <c r="K111" s="504"/>
      <c r="L111" s="508"/>
      <c r="M111" s="508"/>
      <c r="N111" s="508"/>
      <c r="O111" s="508"/>
      <c r="P111" s="505"/>
      <c r="Q111" s="508"/>
      <c r="R111" s="508"/>
      <c r="S111" s="508"/>
      <c r="T111" s="508"/>
      <c r="U111" s="506"/>
      <c r="V111" s="508"/>
      <c r="W111" s="508"/>
      <c r="X111" s="508"/>
      <c r="Y111" s="508"/>
      <c r="Z111" s="507"/>
      <c r="AA111" s="508"/>
      <c r="AB111" s="508"/>
      <c r="AC111" s="508"/>
      <c r="AD111" s="508"/>
      <c r="AE111" s="509"/>
    </row>
    <row r="112" spans="1:31" x14ac:dyDescent="0.25">
      <c r="A112" s="399">
        <v>101</v>
      </c>
      <c r="B112" s="508"/>
      <c r="C112" s="508"/>
      <c r="D112" s="508"/>
      <c r="E112" s="508"/>
      <c r="F112" s="503"/>
      <c r="G112" s="508"/>
      <c r="H112" s="508"/>
      <c r="I112" s="508"/>
      <c r="J112" s="508"/>
      <c r="K112" s="504"/>
      <c r="L112" s="508"/>
      <c r="M112" s="508"/>
      <c r="N112" s="508"/>
      <c r="O112" s="508"/>
      <c r="P112" s="505"/>
      <c r="Q112" s="508"/>
      <c r="R112" s="508"/>
      <c r="S112" s="508"/>
      <c r="T112" s="508"/>
      <c r="U112" s="506"/>
      <c r="V112" s="508"/>
      <c r="W112" s="508"/>
      <c r="X112" s="508"/>
      <c r="Y112" s="508"/>
      <c r="Z112" s="507"/>
      <c r="AA112" s="508"/>
      <c r="AB112" s="508"/>
      <c r="AC112" s="508"/>
      <c r="AD112" s="508"/>
      <c r="AE112" s="509"/>
    </row>
    <row r="113" spans="1:31" x14ac:dyDescent="0.25">
      <c r="A113" s="399">
        <v>102</v>
      </c>
      <c r="B113" s="508"/>
      <c r="C113" s="508"/>
      <c r="D113" s="508"/>
      <c r="E113" s="508"/>
      <c r="F113" s="503"/>
      <c r="G113" s="508"/>
      <c r="H113" s="508"/>
      <c r="I113" s="508"/>
      <c r="J113" s="508"/>
      <c r="K113" s="504"/>
      <c r="L113" s="508"/>
      <c r="M113" s="508"/>
      <c r="N113" s="508"/>
      <c r="O113" s="508"/>
      <c r="P113" s="505"/>
      <c r="Q113" s="508"/>
      <c r="R113" s="508"/>
      <c r="S113" s="508"/>
      <c r="T113" s="508"/>
      <c r="U113" s="506"/>
      <c r="V113" s="508"/>
      <c r="W113" s="508"/>
      <c r="X113" s="508"/>
      <c r="Y113" s="508"/>
      <c r="Z113" s="507"/>
      <c r="AA113" s="508"/>
      <c r="AB113" s="508"/>
      <c r="AC113" s="508"/>
      <c r="AD113" s="508"/>
      <c r="AE113" s="509"/>
    </row>
    <row r="114" spans="1:31" x14ac:dyDescent="0.25">
      <c r="A114" s="399">
        <v>103</v>
      </c>
      <c r="B114" s="508"/>
      <c r="C114" s="508"/>
      <c r="D114" s="508"/>
      <c r="E114" s="508"/>
      <c r="F114" s="503"/>
      <c r="G114" s="508"/>
      <c r="H114" s="508"/>
      <c r="I114" s="508"/>
      <c r="J114" s="508"/>
      <c r="K114" s="504"/>
      <c r="L114" s="508"/>
      <c r="M114" s="508"/>
      <c r="N114" s="508"/>
      <c r="O114" s="508"/>
      <c r="P114" s="505"/>
      <c r="Q114" s="508"/>
      <c r="R114" s="508"/>
      <c r="S114" s="508"/>
      <c r="T114" s="508"/>
      <c r="U114" s="506"/>
      <c r="V114" s="508"/>
      <c r="W114" s="508"/>
      <c r="X114" s="508"/>
      <c r="Y114" s="508"/>
      <c r="Z114" s="507"/>
      <c r="AA114" s="508"/>
      <c r="AB114" s="508"/>
      <c r="AC114" s="508"/>
      <c r="AD114" s="508"/>
      <c r="AE114" s="509"/>
    </row>
    <row r="115" spans="1:31" x14ac:dyDescent="0.25">
      <c r="A115" s="399">
        <v>104</v>
      </c>
      <c r="B115" s="508"/>
      <c r="C115" s="508"/>
      <c r="D115" s="508"/>
      <c r="E115" s="508"/>
      <c r="F115" s="503"/>
      <c r="G115" s="508"/>
      <c r="H115" s="508"/>
      <c r="I115" s="508"/>
      <c r="J115" s="508"/>
      <c r="K115" s="504"/>
      <c r="L115" s="508"/>
      <c r="M115" s="508"/>
      <c r="N115" s="508"/>
      <c r="O115" s="508"/>
      <c r="P115" s="505"/>
      <c r="Q115" s="508"/>
      <c r="R115" s="508"/>
      <c r="S115" s="508"/>
      <c r="T115" s="508"/>
      <c r="U115" s="506"/>
      <c r="V115" s="508"/>
      <c r="W115" s="508"/>
      <c r="X115" s="508"/>
      <c r="Y115" s="508"/>
      <c r="Z115" s="507"/>
      <c r="AA115" s="508"/>
      <c r="AB115" s="508"/>
      <c r="AC115" s="508"/>
      <c r="AD115" s="508"/>
      <c r="AE115" s="509"/>
    </row>
    <row r="116" spans="1:31" x14ac:dyDescent="0.25">
      <c r="A116" s="399">
        <v>105</v>
      </c>
      <c r="B116" s="508"/>
      <c r="C116" s="508"/>
      <c r="D116" s="508"/>
      <c r="E116" s="508"/>
      <c r="F116" s="503"/>
      <c r="G116" s="508"/>
      <c r="H116" s="508"/>
      <c r="I116" s="508"/>
      <c r="J116" s="508"/>
      <c r="K116" s="504"/>
      <c r="L116" s="508"/>
      <c r="M116" s="508"/>
      <c r="N116" s="508"/>
      <c r="O116" s="508"/>
      <c r="P116" s="505"/>
      <c r="Q116" s="508"/>
      <c r="R116" s="508"/>
      <c r="S116" s="508"/>
      <c r="T116" s="508"/>
      <c r="U116" s="506"/>
      <c r="V116" s="508"/>
      <c r="W116" s="508"/>
      <c r="X116" s="508"/>
      <c r="Y116" s="508"/>
      <c r="Z116" s="507"/>
      <c r="AA116" s="508"/>
      <c r="AB116" s="508"/>
      <c r="AC116" s="508"/>
      <c r="AD116" s="508"/>
      <c r="AE116" s="509"/>
    </row>
    <row r="117" spans="1:31" x14ac:dyDescent="0.25">
      <c r="A117" s="399">
        <v>106</v>
      </c>
      <c r="B117" s="508"/>
      <c r="C117" s="508"/>
      <c r="D117" s="508"/>
      <c r="E117" s="508"/>
      <c r="F117" s="503"/>
      <c r="G117" s="508"/>
      <c r="H117" s="508"/>
      <c r="I117" s="508"/>
      <c r="J117" s="508"/>
      <c r="K117" s="504"/>
      <c r="L117" s="508"/>
      <c r="M117" s="508"/>
      <c r="N117" s="508"/>
      <c r="O117" s="508"/>
      <c r="P117" s="505"/>
      <c r="Q117" s="508"/>
      <c r="R117" s="508"/>
      <c r="S117" s="508"/>
      <c r="T117" s="508"/>
      <c r="U117" s="506"/>
      <c r="V117" s="508"/>
      <c r="W117" s="508"/>
      <c r="X117" s="508"/>
      <c r="Y117" s="508"/>
      <c r="Z117" s="507"/>
      <c r="AA117" s="508"/>
      <c r="AB117" s="508"/>
      <c r="AC117" s="508"/>
      <c r="AD117" s="508"/>
      <c r="AE117" s="509"/>
    </row>
    <row r="118" spans="1:31" x14ac:dyDescent="0.25">
      <c r="A118" s="399">
        <v>107</v>
      </c>
      <c r="B118" s="508"/>
      <c r="C118" s="508"/>
      <c r="D118" s="508"/>
      <c r="E118" s="508"/>
      <c r="F118" s="503"/>
      <c r="G118" s="508"/>
      <c r="H118" s="508"/>
      <c r="I118" s="508"/>
      <c r="J118" s="508"/>
      <c r="K118" s="504"/>
      <c r="L118" s="508"/>
      <c r="M118" s="508"/>
      <c r="N118" s="508"/>
      <c r="O118" s="508"/>
      <c r="P118" s="505"/>
      <c r="Q118" s="508"/>
      <c r="R118" s="508"/>
      <c r="S118" s="508"/>
      <c r="T118" s="508"/>
      <c r="U118" s="506"/>
      <c r="V118" s="508"/>
      <c r="W118" s="508"/>
      <c r="X118" s="508"/>
      <c r="Y118" s="508"/>
      <c r="Z118" s="507"/>
      <c r="AA118" s="508"/>
      <c r="AB118" s="508"/>
      <c r="AC118" s="508"/>
      <c r="AD118" s="508"/>
      <c r="AE118" s="509"/>
    </row>
    <row r="119" spans="1:31" x14ac:dyDescent="0.25">
      <c r="A119" s="399">
        <v>108</v>
      </c>
      <c r="B119" s="508"/>
      <c r="C119" s="508"/>
      <c r="D119" s="508"/>
      <c r="E119" s="508"/>
      <c r="F119" s="503"/>
      <c r="G119" s="508"/>
      <c r="H119" s="508"/>
      <c r="I119" s="508"/>
      <c r="J119" s="508"/>
      <c r="K119" s="504"/>
      <c r="L119" s="508"/>
      <c r="M119" s="508"/>
      <c r="N119" s="508"/>
      <c r="O119" s="508"/>
      <c r="P119" s="505"/>
      <c r="Q119" s="508"/>
      <c r="R119" s="508"/>
      <c r="S119" s="508"/>
      <c r="T119" s="508"/>
      <c r="U119" s="506"/>
      <c r="V119" s="508"/>
      <c r="W119" s="508"/>
      <c r="X119" s="508"/>
      <c r="Y119" s="508"/>
      <c r="Z119" s="507"/>
      <c r="AA119" s="508"/>
      <c r="AB119" s="508"/>
      <c r="AC119" s="508"/>
      <c r="AD119" s="508"/>
      <c r="AE119" s="509"/>
    </row>
    <row r="120" spans="1:31" x14ac:dyDescent="0.25">
      <c r="A120" s="399">
        <v>109</v>
      </c>
      <c r="B120" s="508"/>
      <c r="C120" s="508"/>
      <c r="D120" s="508"/>
      <c r="E120" s="508"/>
      <c r="F120" s="503"/>
      <c r="G120" s="508"/>
      <c r="H120" s="508"/>
      <c r="I120" s="508"/>
      <c r="J120" s="508"/>
      <c r="K120" s="504"/>
      <c r="L120" s="508"/>
      <c r="M120" s="508"/>
      <c r="N120" s="508"/>
      <c r="O120" s="508"/>
      <c r="P120" s="505"/>
      <c r="Q120" s="508"/>
      <c r="R120" s="508"/>
      <c r="S120" s="508"/>
      <c r="T120" s="508"/>
      <c r="U120" s="506"/>
      <c r="V120" s="508"/>
      <c r="W120" s="508"/>
      <c r="X120" s="508"/>
      <c r="Y120" s="508"/>
      <c r="Z120" s="507"/>
      <c r="AA120" s="508"/>
      <c r="AB120" s="508"/>
      <c r="AC120" s="508"/>
      <c r="AD120" s="508"/>
      <c r="AE120" s="509"/>
    </row>
    <row r="121" spans="1:31" x14ac:dyDescent="0.25">
      <c r="A121" s="399">
        <v>110</v>
      </c>
      <c r="B121" s="508"/>
      <c r="C121" s="508"/>
      <c r="D121" s="508"/>
      <c r="E121" s="508"/>
      <c r="F121" s="503"/>
      <c r="G121" s="508"/>
      <c r="H121" s="508"/>
      <c r="I121" s="508"/>
      <c r="J121" s="508"/>
      <c r="K121" s="504"/>
      <c r="L121" s="508"/>
      <c r="M121" s="508"/>
      <c r="N121" s="508"/>
      <c r="O121" s="508"/>
      <c r="P121" s="505"/>
      <c r="Q121" s="508"/>
      <c r="R121" s="508"/>
      <c r="S121" s="508"/>
      <c r="T121" s="508"/>
      <c r="U121" s="506"/>
      <c r="V121" s="508"/>
      <c r="W121" s="508"/>
      <c r="X121" s="508"/>
      <c r="Y121" s="508"/>
      <c r="Z121" s="507"/>
      <c r="AA121" s="508"/>
      <c r="AB121" s="508"/>
      <c r="AC121" s="508"/>
      <c r="AD121" s="508"/>
      <c r="AE121" s="509"/>
    </row>
    <row r="122" spans="1:31" x14ac:dyDescent="0.25">
      <c r="A122" s="399">
        <v>111</v>
      </c>
      <c r="B122" s="508"/>
      <c r="C122" s="508"/>
      <c r="D122" s="508"/>
      <c r="E122" s="508"/>
      <c r="F122" s="503"/>
      <c r="G122" s="508"/>
      <c r="H122" s="508"/>
      <c r="I122" s="508"/>
      <c r="J122" s="508"/>
      <c r="K122" s="504"/>
      <c r="L122" s="508"/>
      <c r="M122" s="508"/>
      <c r="N122" s="508"/>
      <c r="O122" s="508"/>
      <c r="P122" s="505"/>
      <c r="Q122" s="508"/>
      <c r="R122" s="508"/>
      <c r="S122" s="508"/>
      <c r="T122" s="508"/>
      <c r="U122" s="506"/>
      <c r="V122" s="508"/>
      <c r="W122" s="508"/>
      <c r="X122" s="508"/>
      <c r="Y122" s="508"/>
      <c r="Z122" s="507"/>
      <c r="AA122" s="508"/>
      <c r="AB122" s="508"/>
      <c r="AC122" s="508"/>
      <c r="AD122" s="508"/>
      <c r="AE122" s="509"/>
    </row>
    <row r="123" spans="1:31" x14ac:dyDescent="0.25">
      <c r="A123" s="399">
        <v>112</v>
      </c>
      <c r="B123" s="508"/>
      <c r="C123" s="508"/>
      <c r="D123" s="508"/>
      <c r="E123" s="508"/>
      <c r="F123" s="503"/>
      <c r="G123" s="508"/>
      <c r="H123" s="508"/>
      <c r="I123" s="508"/>
      <c r="J123" s="508"/>
      <c r="K123" s="504"/>
      <c r="L123" s="508"/>
      <c r="M123" s="508"/>
      <c r="N123" s="508"/>
      <c r="O123" s="508"/>
      <c r="P123" s="505"/>
      <c r="Q123" s="508"/>
      <c r="R123" s="508"/>
      <c r="S123" s="508"/>
      <c r="T123" s="508"/>
      <c r="U123" s="506"/>
      <c r="V123" s="508"/>
      <c r="W123" s="508"/>
      <c r="X123" s="508"/>
      <c r="Y123" s="508"/>
      <c r="Z123" s="507"/>
      <c r="AA123" s="508"/>
      <c r="AB123" s="508"/>
      <c r="AC123" s="508"/>
      <c r="AD123" s="508"/>
      <c r="AE123" s="509"/>
    </row>
    <row r="124" spans="1:31" x14ac:dyDescent="0.25">
      <c r="A124" s="399">
        <v>113</v>
      </c>
      <c r="B124" s="508"/>
      <c r="C124" s="508"/>
      <c r="D124" s="508"/>
      <c r="E124" s="508"/>
      <c r="F124" s="503"/>
      <c r="G124" s="508"/>
      <c r="H124" s="508"/>
      <c r="I124" s="508"/>
      <c r="J124" s="508"/>
      <c r="K124" s="504"/>
      <c r="L124" s="508"/>
      <c r="M124" s="508"/>
      <c r="N124" s="508"/>
      <c r="O124" s="508"/>
      <c r="P124" s="505"/>
      <c r="Q124" s="508"/>
      <c r="R124" s="508"/>
      <c r="S124" s="508"/>
      <c r="T124" s="508"/>
      <c r="U124" s="506"/>
      <c r="V124" s="508"/>
      <c r="W124" s="508"/>
      <c r="X124" s="508"/>
      <c r="Y124" s="508"/>
      <c r="Z124" s="507"/>
      <c r="AA124" s="508"/>
      <c r="AB124" s="508"/>
      <c r="AC124" s="508"/>
      <c r="AD124" s="508"/>
      <c r="AE124" s="509"/>
    </row>
    <row r="125" spans="1:31" x14ac:dyDescent="0.25">
      <c r="A125" s="399">
        <v>114</v>
      </c>
      <c r="B125" s="508"/>
      <c r="C125" s="508"/>
      <c r="D125" s="508"/>
      <c r="E125" s="508"/>
      <c r="F125" s="503"/>
      <c r="G125" s="508"/>
      <c r="H125" s="508"/>
      <c r="I125" s="508"/>
      <c r="J125" s="508"/>
      <c r="K125" s="504"/>
      <c r="L125" s="508"/>
      <c r="M125" s="508"/>
      <c r="N125" s="508"/>
      <c r="O125" s="508"/>
      <c r="P125" s="505"/>
      <c r="Q125" s="508"/>
      <c r="R125" s="508"/>
      <c r="S125" s="508"/>
      <c r="T125" s="508"/>
      <c r="U125" s="506"/>
      <c r="V125" s="508"/>
      <c r="W125" s="508"/>
      <c r="X125" s="508"/>
      <c r="Y125" s="508"/>
      <c r="Z125" s="507"/>
      <c r="AA125" s="508"/>
      <c r="AB125" s="508"/>
      <c r="AC125" s="508"/>
      <c r="AD125" s="508"/>
      <c r="AE125" s="509"/>
    </row>
    <row r="126" spans="1:31" x14ac:dyDescent="0.25">
      <c r="A126" s="399">
        <v>115</v>
      </c>
      <c r="B126" s="508"/>
      <c r="C126" s="508"/>
      <c r="D126" s="508"/>
      <c r="E126" s="508"/>
      <c r="F126" s="503"/>
      <c r="G126" s="508"/>
      <c r="H126" s="508"/>
      <c r="I126" s="508"/>
      <c r="J126" s="508"/>
      <c r="K126" s="504"/>
      <c r="L126" s="508"/>
      <c r="M126" s="508"/>
      <c r="N126" s="508"/>
      <c r="O126" s="508"/>
      <c r="P126" s="505"/>
      <c r="Q126" s="508"/>
      <c r="R126" s="508"/>
      <c r="S126" s="508"/>
      <c r="T126" s="508"/>
      <c r="U126" s="506"/>
      <c r="V126" s="508"/>
      <c r="W126" s="508"/>
      <c r="X126" s="508"/>
      <c r="Y126" s="508"/>
      <c r="Z126" s="507"/>
      <c r="AA126" s="508"/>
      <c r="AB126" s="508"/>
      <c r="AC126" s="508"/>
      <c r="AD126" s="508"/>
      <c r="AE126" s="509"/>
    </row>
    <row r="127" spans="1:31" x14ac:dyDescent="0.25">
      <c r="A127" s="399">
        <v>116</v>
      </c>
      <c r="B127" s="508"/>
      <c r="C127" s="508"/>
      <c r="D127" s="508"/>
      <c r="E127" s="508"/>
      <c r="F127" s="503"/>
      <c r="G127" s="508"/>
      <c r="H127" s="508"/>
      <c r="I127" s="508"/>
      <c r="J127" s="508"/>
      <c r="K127" s="504"/>
      <c r="L127" s="508"/>
      <c r="M127" s="508"/>
      <c r="N127" s="508"/>
      <c r="O127" s="508"/>
      <c r="P127" s="505"/>
      <c r="Q127" s="508"/>
      <c r="R127" s="508"/>
      <c r="S127" s="508"/>
      <c r="T127" s="508"/>
      <c r="U127" s="506"/>
      <c r="V127" s="508"/>
      <c r="W127" s="508"/>
      <c r="X127" s="508"/>
      <c r="Y127" s="508"/>
      <c r="Z127" s="507"/>
      <c r="AA127" s="508"/>
      <c r="AB127" s="508"/>
      <c r="AC127" s="508"/>
      <c r="AD127" s="508"/>
      <c r="AE127" s="509"/>
    </row>
    <row r="128" spans="1:31" x14ac:dyDescent="0.25">
      <c r="A128" s="399">
        <v>117</v>
      </c>
      <c r="B128" s="508"/>
      <c r="C128" s="508"/>
      <c r="D128" s="508"/>
      <c r="E128" s="508"/>
      <c r="F128" s="503"/>
      <c r="G128" s="508"/>
      <c r="H128" s="508"/>
      <c r="I128" s="508"/>
      <c r="J128" s="508"/>
      <c r="K128" s="504"/>
      <c r="L128" s="508"/>
      <c r="M128" s="508"/>
      <c r="N128" s="508"/>
      <c r="O128" s="508"/>
      <c r="P128" s="505"/>
      <c r="Q128" s="508"/>
      <c r="R128" s="508"/>
      <c r="S128" s="508"/>
      <c r="T128" s="508"/>
      <c r="U128" s="506"/>
      <c r="V128" s="508"/>
      <c r="W128" s="508"/>
      <c r="X128" s="508"/>
      <c r="Y128" s="508"/>
      <c r="Z128" s="507"/>
      <c r="AA128" s="508"/>
      <c r="AB128" s="508"/>
      <c r="AC128" s="508"/>
      <c r="AD128" s="508"/>
      <c r="AE128" s="509"/>
    </row>
    <row r="129" spans="1:31" x14ac:dyDescent="0.25">
      <c r="A129" s="399">
        <v>118</v>
      </c>
      <c r="B129" s="508"/>
      <c r="C129" s="508"/>
      <c r="D129" s="508"/>
      <c r="E129" s="508"/>
      <c r="F129" s="503"/>
      <c r="G129" s="508"/>
      <c r="H129" s="508"/>
      <c r="I129" s="508"/>
      <c r="J129" s="508"/>
      <c r="K129" s="504"/>
      <c r="L129" s="508"/>
      <c r="M129" s="508"/>
      <c r="N129" s="508"/>
      <c r="O129" s="508"/>
      <c r="P129" s="505"/>
      <c r="Q129" s="508"/>
      <c r="R129" s="508"/>
      <c r="S129" s="508"/>
      <c r="T129" s="508"/>
      <c r="U129" s="506"/>
      <c r="V129" s="508"/>
      <c r="W129" s="508"/>
      <c r="X129" s="508"/>
      <c r="Y129" s="508"/>
      <c r="Z129" s="507"/>
      <c r="AA129" s="508"/>
      <c r="AB129" s="508"/>
      <c r="AC129" s="508"/>
      <c r="AD129" s="508"/>
      <c r="AE129" s="509"/>
    </row>
    <row r="130" spans="1:31" x14ac:dyDescent="0.25">
      <c r="A130" s="399">
        <v>119</v>
      </c>
      <c r="B130" s="508"/>
      <c r="C130" s="508"/>
      <c r="D130" s="508"/>
      <c r="E130" s="508"/>
      <c r="F130" s="503"/>
      <c r="G130" s="508"/>
      <c r="H130" s="508"/>
      <c r="I130" s="508"/>
      <c r="J130" s="508"/>
      <c r="K130" s="504"/>
      <c r="L130" s="508"/>
      <c r="M130" s="508"/>
      <c r="N130" s="508"/>
      <c r="O130" s="508"/>
      <c r="P130" s="505"/>
      <c r="Q130" s="508"/>
      <c r="R130" s="508"/>
      <c r="S130" s="508"/>
      <c r="T130" s="508"/>
      <c r="U130" s="506"/>
      <c r="V130" s="508"/>
      <c r="W130" s="508"/>
      <c r="X130" s="508"/>
      <c r="Y130" s="508"/>
      <c r="Z130" s="507"/>
      <c r="AA130" s="508"/>
      <c r="AB130" s="508"/>
      <c r="AC130" s="508"/>
      <c r="AD130" s="508"/>
      <c r="AE130" s="509"/>
    </row>
    <row r="131" spans="1:31" x14ac:dyDescent="0.25">
      <c r="A131" s="399">
        <v>120</v>
      </c>
      <c r="B131" s="508"/>
      <c r="C131" s="508"/>
      <c r="D131" s="508"/>
      <c r="E131" s="508"/>
      <c r="F131" s="503"/>
      <c r="G131" s="508"/>
      <c r="H131" s="508"/>
      <c r="I131" s="508"/>
      <c r="J131" s="508"/>
      <c r="K131" s="504"/>
      <c r="L131" s="508"/>
      <c r="M131" s="508"/>
      <c r="N131" s="508"/>
      <c r="O131" s="508"/>
      <c r="P131" s="505"/>
      <c r="Q131" s="508"/>
      <c r="R131" s="508"/>
      <c r="S131" s="508"/>
      <c r="T131" s="508"/>
      <c r="U131" s="506"/>
      <c r="V131" s="508"/>
      <c r="W131" s="508"/>
      <c r="X131" s="508"/>
      <c r="Y131" s="508"/>
      <c r="Z131" s="507"/>
      <c r="AA131" s="508"/>
      <c r="AB131" s="508"/>
      <c r="AC131" s="508"/>
      <c r="AD131" s="508"/>
      <c r="AE131" s="509"/>
    </row>
    <row r="132" spans="1:31" x14ac:dyDescent="0.25">
      <c r="A132" s="399">
        <v>121</v>
      </c>
      <c r="B132" s="508"/>
      <c r="C132" s="508"/>
      <c r="D132" s="508"/>
      <c r="E132" s="508"/>
      <c r="F132" s="503"/>
      <c r="G132" s="508"/>
      <c r="H132" s="508"/>
      <c r="I132" s="508"/>
      <c r="J132" s="508"/>
      <c r="K132" s="504"/>
      <c r="L132" s="508"/>
      <c r="M132" s="508"/>
      <c r="N132" s="508"/>
      <c r="O132" s="508"/>
      <c r="P132" s="505"/>
      <c r="Q132" s="508"/>
      <c r="R132" s="508"/>
      <c r="S132" s="508"/>
      <c r="T132" s="508"/>
      <c r="U132" s="506"/>
      <c r="V132" s="508"/>
      <c r="W132" s="508"/>
      <c r="X132" s="508"/>
      <c r="Y132" s="508"/>
      <c r="Z132" s="507"/>
      <c r="AA132" s="508"/>
      <c r="AB132" s="508"/>
      <c r="AC132" s="508"/>
      <c r="AD132" s="508"/>
      <c r="AE132" s="509"/>
    </row>
    <row r="133" spans="1:31" x14ac:dyDescent="0.25">
      <c r="A133" s="399">
        <v>122</v>
      </c>
      <c r="B133" s="508"/>
      <c r="C133" s="508"/>
      <c r="D133" s="508"/>
      <c r="E133" s="508"/>
      <c r="F133" s="503"/>
      <c r="G133" s="508"/>
      <c r="H133" s="508"/>
      <c r="I133" s="508"/>
      <c r="J133" s="508"/>
      <c r="K133" s="504"/>
      <c r="L133" s="508"/>
      <c r="M133" s="508"/>
      <c r="N133" s="508"/>
      <c r="O133" s="508"/>
      <c r="P133" s="505"/>
      <c r="Q133" s="508"/>
      <c r="R133" s="508"/>
      <c r="S133" s="508"/>
      <c r="T133" s="508"/>
      <c r="U133" s="506"/>
      <c r="V133" s="508"/>
      <c r="W133" s="508"/>
      <c r="X133" s="508"/>
      <c r="Y133" s="508"/>
      <c r="Z133" s="507"/>
      <c r="AA133" s="508"/>
      <c r="AB133" s="508"/>
      <c r="AC133" s="508"/>
      <c r="AD133" s="508"/>
      <c r="AE133" s="509"/>
    </row>
    <row r="134" spans="1:31" x14ac:dyDescent="0.25">
      <c r="A134" s="399">
        <v>123</v>
      </c>
      <c r="B134" s="508"/>
      <c r="C134" s="508"/>
      <c r="D134" s="508"/>
      <c r="E134" s="508"/>
      <c r="F134" s="503"/>
      <c r="G134" s="508"/>
      <c r="H134" s="508"/>
      <c r="I134" s="508"/>
      <c r="J134" s="508"/>
      <c r="K134" s="504"/>
      <c r="L134" s="508"/>
      <c r="M134" s="508"/>
      <c r="N134" s="508"/>
      <c r="O134" s="508"/>
      <c r="P134" s="505"/>
      <c r="Q134" s="508"/>
      <c r="R134" s="508"/>
      <c r="S134" s="508"/>
      <c r="T134" s="508"/>
      <c r="U134" s="506"/>
      <c r="V134" s="508"/>
      <c r="W134" s="508"/>
      <c r="X134" s="508"/>
      <c r="Y134" s="508"/>
      <c r="Z134" s="507"/>
      <c r="AA134" s="508"/>
      <c r="AB134" s="508"/>
      <c r="AC134" s="508"/>
      <c r="AD134" s="508"/>
      <c r="AE134" s="509"/>
    </row>
    <row r="135" spans="1:31" x14ac:dyDescent="0.25">
      <c r="A135" s="399">
        <v>124</v>
      </c>
      <c r="B135" s="508"/>
      <c r="C135" s="508"/>
      <c r="D135" s="508"/>
      <c r="E135" s="508"/>
      <c r="F135" s="503"/>
      <c r="G135" s="508"/>
      <c r="H135" s="508"/>
      <c r="I135" s="508"/>
      <c r="J135" s="508"/>
      <c r="K135" s="504"/>
      <c r="L135" s="508"/>
      <c r="M135" s="508"/>
      <c r="N135" s="508"/>
      <c r="O135" s="508"/>
      <c r="P135" s="505"/>
      <c r="Q135" s="508"/>
      <c r="R135" s="508"/>
      <c r="S135" s="508"/>
      <c r="T135" s="508"/>
      <c r="U135" s="506"/>
      <c r="V135" s="508"/>
      <c r="W135" s="508"/>
      <c r="X135" s="508"/>
      <c r="Y135" s="508"/>
      <c r="Z135" s="507"/>
      <c r="AA135" s="508"/>
      <c r="AB135" s="508"/>
      <c r="AC135" s="508"/>
      <c r="AD135" s="508"/>
      <c r="AE135" s="509"/>
    </row>
    <row r="136" spans="1:31" x14ac:dyDescent="0.25">
      <c r="A136" s="399">
        <v>125</v>
      </c>
      <c r="B136" s="508"/>
      <c r="C136" s="508"/>
      <c r="D136" s="508"/>
      <c r="E136" s="508"/>
      <c r="F136" s="503"/>
      <c r="G136" s="508"/>
      <c r="H136" s="508"/>
      <c r="I136" s="508"/>
      <c r="J136" s="508"/>
      <c r="K136" s="504"/>
      <c r="L136" s="508"/>
      <c r="M136" s="508"/>
      <c r="N136" s="508"/>
      <c r="O136" s="508"/>
      <c r="P136" s="505"/>
      <c r="Q136" s="508"/>
      <c r="R136" s="508"/>
      <c r="S136" s="508"/>
      <c r="T136" s="508"/>
      <c r="U136" s="506"/>
      <c r="V136" s="508"/>
      <c r="W136" s="508"/>
      <c r="X136" s="508"/>
      <c r="Y136" s="508"/>
      <c r="Z136" s="507"/>
      <c r="AA136" s="508"/>
      <c r="AB136" s="508"/>
      <c r="AC136" s="508"/>
      <c r="AD136" s="508"/>
      <c r="AE136" s="509"/>
    </row>
    <row r="137" spans="1:31" x14ac:dyDescent="0.25">
      <c r="A137" s="399">
        <v>126</v>
      </c>
      <c r="B137" s="508"/>
      <c r="C137" s="508"/>
      <c r="D137" s="508"/>
      <c r="E137" s="508"/>
      <c r="F137" s="503"/>
      <c r="G137" s="508"/>
      <c r="H137" s="508"/>
      <c r="I137" s="508"/>
      <c r="J137" s="508"/>
      <c r="K137" s="504"/>
      <c r="L137" s="508"/>
      <c r="M137" s="508"/>
      <c r="N137" s="508"/>
      <c r="O137" s="508"/>
      <c r="P137" s="505"/>
      <c r="Q137" s="508"/>
      <c r="R137" s="508"/>
      <c r="S137" s="508"/>
      <c r="T137" s="508"/>
      <c r="U137" s="506"/>
      <c r="V137" s="508"/>
      <c r="W137" s="508"/>
      <c r="X137" s="508"/>
      <c r="Y137" s="508"/>
      <c r="Z137" s="507"/>
      <c r="AA137" s="508"/>
      <c r="AB137" s="508"/>
      <c r="AC137" s="508"/>
      <c r="AD137" s="508"/>
      <c r="AE137" s="509"/>
    </row>
    <row r="138" spans="1:31" x14ac:dyDescent="0.25">
      <c r="A138" s="399">
        <v>127</v>
      </c>
      <c r="B138" s="508"/>
      <c r="C138" s="508"/>
      <c r="D138" s="508"/>
      <c r="E138" s="508"/>
      <c r="F138" s="503"/>
      <c r="G138" s="508"/>
      <c r="H138" s="508"/>
      <c r="I138" s="508"/>
      <c r="J138" s="508"/>
      <c r="K138" s="504"/>
      <c r="L138" s="508"/>
      <c r="M138" s="508"/>
      <c r="N138" s="508"/>
      <c r="O138" s="508"/>
      <c r="P138" s="505"/>
      <c r="Q138" s="508"/>
      <c r="R138" s="508"/>
      <c r="S138" s="508"/>
      <c r="T138" s="508"/>
      <c r="U138" s="506"/>
      <c r="V138" s="508"/>
      <c r="W138" s="508"/>
      <c r="X138" s="508"/>
      <c r="Y138" s="508"/>
      <c r="Z138" s="507"/>
      <c r="AA138" s="508"/>
      <c r="AB138" s="508"/>
      <c r="AC138" s="508"/>
      <c r="AD138" s="508"/>
      <c r="AE138" s="509"/>
    </row>
    <row r="139" spans="1:31" x14ac:dyDescent="0.25">
      <c r="A139" s="399">
        <v>128</v>
      </c>
      <c r="B139" s="508"/>
      <c r="C139" s="508"/>
      <c r="D139" s="508"/>
      <c r="E139" s="508"/>
      <c r="F139" s="503"/>
      <c r="G139" s="508"/>
      <c r="H139" s="508"/>
      <c r="I139" s="508"/>
      <c r="J139" s="508"/>
      <c r="K139" s="504"/>
      <c r="L139" s="508"/>
      <c r="M139" s="508"/>
      <c r="N139" s="508"/>
      <c r="O139" s="508"/>
      <c r="P139" s="505"/>
      <c r="Q139" s="508"/>
      <c r="R139" s="508"/>
      <c r="S139" s="508"/>
      <c r="T139" s="508"/>
      <c r="U139" s="506"/>
      <c r="V139" s="508"/>
      <c r="W139" s="508"/>
      <c r="X139" s="508"/>
      <c r="Y139" s="508"/>
      <c r="Z139" s="507"/>
      <c r="AA139" s="508"/>
      <c r="AB139" s="508"/>
      <c r="AC139" s="508"/>
      <c r="AD139" s="508"/>
      <c r="AE139" s="509"/>
    </row>
    <row r="140" spans="1:31" x14ac:dyDescent="0.25">
      <c r="A140" s="399">
        <v>129</v>
      </c>
      <c r="B140" s="508"/>
      <c r="C140" s="508"/>
      <c r="D140" s="508"/>
      <c r="E140" s="508"/>
      <c r="F140" s="503"/>
      <c r="G140" s="508"/>
      <c r="H140" s="508"/>
      <c r="I140" s="508"/>
      <c r="J140" s="508"/>
      <c r="K140" s="504"/>
      <c r="L140" s="508"/>
      <c r="M140" s="508"/>
      <c r="N140" s="508"/>
      <c r="O140" s="508"/>
      <c r="P140" s="505"/>
      <c r="Q140" s="508"/>
      <c r="R140" s="508"/>
      <c r="S140" s="508"/>
      <c r="T140" s="508"/>
      <c r="U140" s="506"/>
      <c r="V140" s="508"/>
      <c r="W140" s="508"/>
      <c r="X140" s="508"/>
      <c r="Y140" s="508"/>
      <c r="Z140" s="507"/>
      <c r="AA140" s="508"/>
      <c r="AB140" s="508"/>
      <c r="AC140" s="508"/>
      <c r="AD140" s="508"/>
      <c r="AE140" s="509"/>
    </row>
    <row r="141" spans="1:31" x14ac:dyDescent="0.25">
      <c r="A141" s="399">
        <v>130</v>
      </c>
      <c r="B141" s="508"/>
      <c r="C141" s="508"/>
      <c r="D141" s="508"/>
      <c r="E141" s="508"/>
      <c r="F141" s="503"/>
      <c r="G141" s="508"/>
      <c r="H141" s="508"/>
      <c r="I141" s="508"/>
      <c r="J141" s="508"/>
      <c r="K141" s="504"/>
      <c r="L141" s="508"/>
      <c r="M141" s="508"/>
      <c r="N141" s="508"/>
      <c r="O141" s="508"/>
      <c r="P141" s="505"/>
      <c r="Q141" s="508"/>
      <c r="R141" s="508"/>
      <c r="S141" s="508"/>
      <c r="T141" s="508"/>
      <c r="U141" s="506"/>
      <c r="V141" s="508"/>
      <c r="W141" s="508"/>
      <c r="X141" s="508"/>
      <c r="Y141" s="508"/>
      <c r="Z141" s="507"/>
      <c r="AA141" s="508"/>
      <c r="AB141" s="508"/>
      <c r="AC141" s="508"/>
      <c r="AD141" s="508"/>
      <c r="AE141" s="509"/>
    </row>
    <row r="142" spans="1:31" x14ac:dyDescent="0.25">
      <c r="A142" s="399">
        <v>131</v>
      </c>
      <c r="B142" s="508"/>
      <c r="C142" s="508"/>
      <c r="D142" s="508"/>
      <c r="E142" s="508"/>
      <c r="F142" s="503"/>
      <c r="G142" s="508"/>
      <c r="H142" s="508"/>
      <c r="I142" s="508"/>
      <c r="J142" s="508"/>
      <c r="K142" s="504"/>
      <c r="L142" s="508"/>
      <c r="M142" s="508"/>
      <c r="N142" s="508"/>
      <c r="O142" s="508"/>
      <c r="P142" s="505"/>
      <c r="Q142" s="508"/>
      <c r="R142" s="508"/>
      <c r="S142" s="508"/>
      <c r="T142" s="508"/>
      <c r="U142" s="506"/>
      <c r="V142" s="508"/>
      <c r="W142" s="508"/>
      <c r="X142" s="508"/>
      <c r="Y142" s="508"/>
      <c r="Z142" s="507"/>
      <c r="AA142" s="508"/>
      <c r="AB142" s="508"/>
      <c r="AC142" s="508"/>
      <c r="AD142" s="508"/>
      <c r="AE142" s="509"/>
    </row>
    <row r="143" spans="1:31" x14ac:dyDescent="0.25">
      <c r="A143" s="399">
        <v>132</v>
      </c>
      <c r="B143" s="508"/>
      <c r="C143" s="508"/>
      <c r="D143" s="508"/>
      <c r="E143" s="508"/>
      <c r="F143" s="503"/>
      <c r="G143" s="508"/>
      <c r="H143" s="508"/>
      <c r="I143" s="508"/>
      <c r="J143" s="508"/>
      <c r="K143" s="504"/>
      <c r="L143" s="508"/>
      <c r="M143" s="508"/>
      <c r="N143" s="508"/>
      <c r="O143" s="508"/>
      <c r="P143" s="505"/>
      <c r="Q143" s="508"/>
      <c r="R143" s="508"/>
      <c r="S143" s="508"/>
      <c r="T143" s="508"/>
      <c r="U143" s="506"/>
      <c r="V143" s="508"/>
      <c r="W143" s="508"/>
      <c r="X143" s="508"/>
      <c r="Y143" s="508"/>
      <c r="Z143" s="507"/>
      <c r="AA143" s="508"/>
      <c r="AB143" s="508"/>
      <c r="AC143" s="508"/>
      <c r="AD143" s="508"/>
      <c r="AE143" s="509"/>
    </row>
    <row r="144" spans="1:31" x14ac:dyDescent="0.25">
      <c r="A144" s="399">
        <v>133</v>
      </c>
      <c r="B144" s="508"/>
      <c r="C144" s="508"/>
      <c r="D144" s="508"/>
      <c r="E144" s="508"/>
      <c r="F144" s="503"/>
      <c r="G144" s="508"/>
      <c r="H144" s="508"/>
      <c r="I144" s="508"/>
      <c r="J144" s="508"/>
      <c r="K144" s="504"/>
      <c r="L144" s="508"/>
      <c r="M144" s="508"/>
      <c r="N144" s="508"/>
      <c r="O144" s="508"/>
      <c r="P144" s="505"/>
      <c r="Q144" s="508"/>
      <c r="R144" s="508"/>
      <c r="S144" s="508"/>
      <c r="T144" s="508"/>
      <c r="U144" s="506"/>
      <c r="V144" s="508"/>
      <c r="W144" s="508"/>
      <c r="X144" s="508"/>
      <c r="Y144" s="508"/>
      <c r="Z144" s="507"/>
      <c r="AA144" s="508"/>
      <c r="AB144" s="508"/>
      <c r="AC144" s="508"/>
      <c r="AD144" s="508"/>
      <c r="AE144" s="509"/>
    </row>
    <row r="145" spans="1:31" x14ac:dyDescent="0.25">
      <c r="A145" s="399">
        <v>134</v>
      </c>
      <c r="B145" s="508"/>
      <c r="C145" s="508"/>
      <c r="D145" s="508"/>
      <c r="E145" s="508"/>
      <c r="F145" s="503"/>
      <c r="G145" s="508"/>
      <c r="H145" s="508"/>
      <c r="I145" s="508"/>
      <c r="J145" s="508"/>
      <c r="K145" s="504"/>
      <c r="L145" s="508"/>
      <c r="M145" s="508"/>
      <c r="N145" s="508"/>
      <c r="O145" s="508"/>
      <c r="P145" s="505"/>
      <c r="Q145" s="508"/>
      <c r="R145" s="508"/>
      <c r="S145" s="508"/>
      <c r="T145" s="508"/>
      <c r="U145" s="506"/>
      <c r="V145" s="508"/>
      <c r="W145" s="508"/>
      <c r="X145" s="508"/>
      <c r="Y145" s="508"/>
      <c r="Z145" s="507"/>
      <c r="AA145" s="508"/>
      <c r="AB145" s="508"/>
      <c r="AC145" s="508"/>
      <c r="AD145" s="508"/>
      <c r="AE145" s="509"/>
    </row>
    <row r="146" spans="1:31" x14ac:dyDescent="0.25">
      <c r="A146" s="399">
        <v>135</v>
      </c>
      <c r="B146" s="508"/>
      <c r="C146" s="508"/>
      <c r="D146" s="508"/>
      <c r="E146" s="508"/>
      <c r="F146" s="503"/>
      <c r="G146" s="508"/>
      <c r="H146" s="508"/>
      <c r="I146" s="508"/>
      <c r="J146" s="508"/>
      <c r="K146" s="504"/>
      <c r="L146" s="508"/>
      <c r="M146" s="508"/>
      <c r="N146" s="508"/>
      <c r="O146" s="508"/>
      <c r="P146" s="505"/>
      <c r="Q146" s="508"/>
      <c r="R146" s="508"/>
      <c r="S146" s="508"/>
      <c r="T146" s="508"/>
      <c r="U146" s="506"/>
      <c r="V146" s="508"/>
      <c r="W146" s="508"/>
      <c r="X146" s="508"/>
      <c r="Y146" s="508"/>
      <c r="Z146" s="507"/>
      <c r="AA146" s="508"/>
      <c r="AB146" s="508"/>
      <c r="AC146" s="508"/>
      <c r="AD146" s="508"/>
      <c r="AE146" s="509"/>
    </row>
    <row r="147" spans="1:31" x14ac:dyDescent="0.25">
      <c r="A147" s="399">
        <v>136</v>
      </c>
      <c r="B147" s="508"/>
      <c r="C147" s="508"/>
      <c r="D147" s="508"/>
      <c r="E147" s="508"/>
      <c r="F147" s="503"/>
      <c r="G147" s="508"/>
      <c r="H147" s="508"/>
      <c r="I147" s="508"/>
      <c r="J147" s="508"/>
      <c r="K147" s="504"/>
      <c r="L147" s="508"/>
      <c r="M147" s="508"/>
      <c r="N147" s="508"/>
      <c r="O147" s="508"/>
      <c r="P147" s="505"/>
      <c r="Q147" s="508"/>
      <c r="R147" s="508"/>
      <c r="S147" s="508"/>
      <c r="T147" s="508"/>
      <c r="U147" s="506"/>
      <c r="V147" s="508"/>
      <c r="W147" s="508"/>
      <c r="X147" s="508"/>
      <c r="Y147" s="508"/>
      <c r="Z147" s="507"/>
      <c r="AA147" s="508"/>
      <c r="AB147" s="508"/>
      <c r="AC147" s="508"/>
      <c r="AD147" s="508"/>
      <c r="AE147" s="509"/>
    </row>
    <row r="148" spans="1:31" x14ac:dyDescent="0.25">
      <c r="A148" s="399">
        <v>137</v>
      </c>
      <c r="B148" s="508"/>
      <c r="C148" s="508"/>
      <c r="D148" s="508"/>
      <c r="E148" s="508"/>
      <c r="F148" s="503"/>
      <c r="G148" s="508"/>
      <c r="H148" s="508"/>
      <c r="I148" s="508"/>
      <c r="J148" s="508"/>
      <c r="K148" s="504"/>
      <c r="L148" s="508"/>
      <c r="M148" s="508"/>
      <c r="N148" s="508"/>
      <c r="O148" s="508"/>
      <c r="P148" s="505"/>
      <c r="Q148" s="508"/>
      <c r="R148" s="508"/>
      <c r="S148" s="508"/>
      <c r="T148" s="508"/>
      <c r="U148" s="506"/>
      <c r="V148" s="508"/>
      <c r="W148" s="508"/>
      <c r="X148" s="508"/>
      <c r="Y148" s="508"/>
      <c r="Z148" s="507"/>
      <c r="AA148" s="508"/>
      <c r="AB148" s="508"/>
      <c r="AC148" s="508"/>
      <c r="AD148" s="508"/>
      <c r="AE148" s="509"/>
    </row>
    <row r="149" spans="1:31" x14ac:dyDescent="0.25">
      <c r="A149" s="399">
        <v>138</v>
      </c>
      <c r="B149" s="508"/>
      <c r="C149" s="508"/>
      <c r="D149" s="508"/>
      <c r="E149" s="508"/>
      <c r="F149" s="503"/>
      <c r="G149" s="508"/>
      <c r="H149" s="508"/>
      <c r="I149" s="508"/>
      <c r="J149" s="508"/>
      <c r="K149" s="504"/>
      <c r="L149" s="508"/>
      <c r="M149" s="508"/>
      <c r="N149" s="508"/>
      <c r="O149" s="508"/>
      <c r="P149" s="505"/>
      <c r="Q149" s="508"/>
      <c r="R149" s="508"/>
      <c r="S149" s="508"/>
      <c r="T149" s="508"/>
      <c r="U149" s="506"/>
      <c r="V149" s="508"/>
      <c r="W149" s="508"/>
      <c r="X149" s="508"/>
      <c r="Y149" s="508"/>
      <c r="Z149" s="507"/>
      <c r="AA149" s="508"/>
      <c r="AB149" s="508"/>
      <c r="AC149" s="508"/>
      <c r="AD149" s="508"/>
      <c r="AE149" s="509"/>
    </row>
    <row r="150" spans="1:31" x14ac:dyDescent="0.25">
      <c r="A150" s="399">
        <v>139</v>
      </c>
      <c r="B150" s="508"/>
      <c r="C150" s="508"/>
      <c r="D150" s="508"/>
      <c r="E150" s="508"/>
      <c r="F150" s="503"/>
      <c r="G150" s="508"/>
      <c r="H150" s="508"/>
      <c r="I150" s="508"/>
      <c r="J150" s="508"/>
      <c r="K150" s="504"/>
      <c r="L150" s="508"/>
      <c r="M150" s="508"/>
      <c r="N150" s="508"/>
      <c r="O150" s="508"/>
      <c r="P150" s="505"/>
      <c r="Q150" s="508"/>
      <c r="R150" s="508"/>
      <c r="S150" s="508"/>
      <c r="T150" s="508"/>
      <c r="U150" s="506"/>
      <c r="V150" s="508"/>
      <c r="W150" s="508"/>
      <c r="X150" s="508"/>
      <c r="Y150" s="508"/>
      <c r="Z150" s="507"/>
      <c r="AA150" s="508"/>
      <c r="AB150" s="508"/>
      <c r="AC150" s="508"/>
      <c r="AD150" s="508"/>
      <c r="AE150" s="509"/>
    </row>
    <row r="151" spans="1:31" x14ac:dyDescent="0.25">
      <c r="A151" s="399">
        <v>140</v>
      </c>
      <c r="B151" s="508"/>
      <c r="C151" s="508"/>
      <c r="D151" s="508"/>
      <c r="E151" s="508"/>
      <c r="F151" s="503"/>
      <c r="G151" s="508"/>
      <c r="H151" s="508"/>
      <c r="I151" s="508"/>
      <c r="J151" s="508"/>
      <c r="K151" s="504"/>
      <c r="L151" s="508"/>
      <c r="M151" s="508"/>
      <c r="N151" s="508"/>
      <c r="O151" s="508"/>
      <c r="P151" s="505"/>
      <c r="Q151" s="508"/>
      <c r="R151" s="508"/>
      <c r="S151" s="508"/>
      <c r="T151" s="508"/>
      <c r="U151" s="506"/>
      <c r="V151" s="508"/>
      <c r="W151" s="508"/>
      <c r="X151" s="508"/>
      <c r="Y151" s="508"/>
      <c r="Z151" s="507"/>
      <c r="AA151" s="508"/>
      <c r="AB151" s="508"/>
      <c r="AC151" s="508"/>
      <c r="AD151" s="508"/>
      <c r="AE151" s="509"/>
    </row>
    <row r="152" spans="1:31" x14ac:dyDescent="0.25">
      <c r="A152" s="399">
        <v>141</v>
      </c>
      <c r="B152" s="508"/>
      <c r="C152" s="508"/>
      <c r="D152" s="508"/>
      <c r="E152" s="508"/>
      <c r="F152" s="503"/>
      <c r="G152" s="508"/>
      <c r="H152" s="508"/>
      <c r="I152" s="508"/>
      <c r="J152" s="508"/>
      <c r="K152" s="504"/>
      <c r="L152" s="508"/>
      <c r="M152" s="508"/>
      <c r="N152" s="508"/>
      <c r="O152" s="508"/>
      <c r="P152" s="505"/>
      <c r="Q152" s="508"/>
      <c r="R152" s="508"/>
      <c r="S152" s="508"/>
      <c r="T152" s="508"/>
      <c r="U152" s="506"/>
      <c r="V152" s="508"/>
      <c r="W152" s="508"/>
      <c r="X152" s="508"/>
      <c r="Y152" s="508"/>
      <c r="Z152" s="507"/>
      <c r="AA152" s="508"/>
      <c r="AB152" s="508"/>
      <c r="AC152" s="508"/>
      <c r="AD152" s="508"/>
      <c r="AE152" s="509"/>
    </row>
    <row r="153" spans="1:31" x14ac:dyDescent="0.25">
      <c r="A153" s="399">
        <v>142</v>
      </c>
      <c r="B153" s="508"/>
      <c r="C153" s="508"/>
      <c r="D153" s="508"/>
      <c r="E153" s="508"/>
      <c r="F153" s="503"/>
      <c r="G153" s="508"/>
      <c r="H153" s="508"/>
      <c r="I153" s="508"/>
      <c r="J153" s="508"/>
      <c r="K153" s="504"/>
      <c r="L153" s="508"/>
      <c r="M153" s="508"/>
      <c r="N153" s="508"/>
      <c r="O153" s="508"/>
      <c r="P153" s="505"/>
      <c r="Q153" s="508"/>
      <c r="R153" s="508"/>
      <c r="S153" s="508"/>
      <c r="T153" s="508"/>
      <c r="U153" s="506"/>
      <c r="V153" s="508"/>
      <c r="W153" s="508"/>
      <c r="X153" s="508"/>
      <c r="Y153" s="508"/>
      <c r="Z153" s="507"/>
      <c r="AA153" s="508"/>
      <c r="AB153" s="508"/>
      <c r="AC153" s="508"/>
      <c r="AD153" s="508"/>
      <c r="AE153" s="509"/>
    </row>
    <row r="154" spans="1:31" x14ac:dyDescent="0.25">
      <c r="A154" s="399">
        <v>143</v>
      </c>
      <c r="B154" s="508"/>
      <c r="C154" s="508"/>
      <c r="D154" s="508"/>
      <c r="E154" s="508"/>
      <c r="F154" s="503"/>
      <c r="G154" s="508"/>
      <c r="H154" s="508"/>
      <c r="I154" s="508"/>
      <c r="J154" s="508"/>
      <c r="K154" s="504"/>
      <c r="L154" s="508"/>
      <c r="M154" s="508"/>
      <c r="N154" s="508"/>
      <c r="O154" s="508"/>
      <c r="P154" s="505"/>
      <c r="Q154" s="508"/>
      <c r="R154" s="508"/>
      <c r="S154" s="508"/>
      <c r="T154" s="508"/>
      <c r="U154" s="506"/>
      <c r="V154" s="508"/>
      <c r="W154" s="508"/>
      <c r="X154" s="508"/>
      <c r="Y154" s="508"/>
      <c r="Z154" s="507"/>
      <c r="AA154" s="508"/>
      <c r="AB154" s="508"/>
      <c r="AC154" s="508"/>
      <c r="AD154" s="508"/>
      <c r="AE154" s="509"/>
    </row>
    <row r="155" spans="1:31" x14ac:dyDescent="0.25">
      <c r="A155" s="399">
        <v>144</v>
      </c>
      <c r="B155" s="508"/>
      <c r="C155" s="508"/>
      <c r="D155" s="508"/>
      <c r="E155" s="508"/>
      <c r="F155" s="503"/>
      <c r="G155" s="508"/>
      <c r="H155" s="508"/>
      <c r="I155" s="508"/>
      <c r="J155" s="508"/>
      <c r="K155" s="504"/>
      <c r="L155" s="508"/>
      <c r="M155" s="508"/>
      <c r="N155" s="508"/>
      <c r="O155" s="508"/>
      <c r="P155" s="505"/>
      <c r="Q155" s="508"/>
      <c r="R155" s="508"/>
      <c r="S155" s="508"/>
      <c r="T155" s="508"/>
      <c r="U155" s="506"/>
      <c r="V155" s="508"/>
      <c r="W155" s="508"/>
      <c r="X155" s="508"/>
      <c r="Y155" s="508"/>
      <c r="Z155" s="507"/>
      <c r="AA155" s="508"/>
      <c r="AB155" s="508"/>
      <c r="AC155" s="508"/>
      <c r="AD155" s="508"/>
      <c r="AE155" s="509"/>
    </row>
    <row r="156" spans="1:31" x14ac:dyDescent="0.25">
      <c r="A156" s="399">
        <v>145</v>
      </c>
      <c r="B156" s="508"/>
      <c r="C156" s="508"/>
      <c r="D156" s="508"/>
      <c r="E156" s="508"/>
      <c r="F156" s="503"/>
      <c r="G156" s="508"/>
      <c r="H156" s="508"/>
      <c r="I156" s="508"/>
      <c r="J156" s="508"/>
      <c r="K156" s="504"/>
      <c r="L156" s="508"/>
      <c r="M156" s="508"/>
      <c r="N156" s="508"/>
      <c r="O156" s="508"/>
      <c r="P156" s="505"/>
      <c r="Q156" s="508"/>
      <c r="R156" s="508"/>
      <c r="S156" s="508"/>
      <c r="T156" s="508"/>
      <c r="U156" s="506"/>
      <c r="V156" s="508"/>
      <c r="W156" s="508"/>
      <c r="X156" s="508"/>
      <c r="Y156" s="508"/>
      <c r="Z156" s="507"/>
      <c r="AA156" s="508"/>
      <c r="AB156" s="508"/>
      <c r="AC156" s="508"/>
      <c r="AD156" s="508"/>
      <c r="AE156" s="509"/>
    </row>
    <row r="157" spans="1:31" x14ac:dyDescent="0.25">
      <c r="A157" s="399">
        <v>146</v>
      </c>
      <c r="B157" s="508"/>
      <c r="C157" s="508"/>
      <c r="D157" s="508"/>
      <c r="E157" s="508"/>
      <c r="F157" s="503"/>
      <c r="G157" s="508"/>
      <c r="H157" s="508"/>
      <c r="I157" s="508"/>
      <c r="J157" s="508"/>
      <c r="K157" s="504"/>
      <c r="L157" s="508"/>
      <c r="M157" s="508"/>
      <c r="N157" s="508"/>
      <c r="O157" s="508"/>
      <c r="P157" s="505"/>
      <c r="Q157" s="508"/>
      <c r="R157" s="508"/>
      <c r="S157" s="508"/>
      <c r="T157" s="508"/>
      <c r="U157" s="506"/>
      <c r="V157" s="508"/>
      <c r="W157" s="508"/>
      <c r="X157" s="508"/>
      <c r="Y157" s="508"/>
      <c r="Z157" s="507"/>
      <c r="AA157" s="508"/>
      <c r="AB157" s="508"/>
      <c r="AC157" s="508"/>
      <c r="AD157" s="508"/>
      <c r="AE157" s="509"/>
    </row>
    <row r="158" spans="1:31" x14ac:dyDescent="0.25">
      <c r="A158" s="399">
        <v>147</v>
      </c>
      <c r="B158" s="508"/>
      <c r="C158" s="508"/>
      <c r="D158" s="508"/>
      <c r="E158" s="508"/>
      <c r="F158" s="503"/>
      <c r="G158" s="508"/>
      <c r="H158" s="508"/>
      <c r="I158" s="508"/>
      <c r="J158" s="508"/>
      <c r="K158" s="504"/>
      <c r="L158" s="508"/>
      <c r="M158" s="508"/>
      <c r="N158" s="508"/>
      <c r="O158" s="508"/>
      <c r="P158" s="505"/>
      <c r="Q158" s="508"/>
      <c r="R158" s="508"/>
      <c r="S158" s="508"/>
      <c r="T158" s="508"/>
      <c r="U158" s="506"/>
      <c r="V158" s="508"/>
      <c r="W158" s="508"/>
      <c r="X158" s="508"/>
      <c r="Y158" s="508"/>
      <c r="Z158" s="507"/>
      <c r="AA158" s="508"/>
      <c r="AB158" s="508"/>
      <c r="AC158" s="508"/>
      <c r="AD158" s="508"/>
      <c r="AE158" s="509"/>
    </row>
    <row r="159" spans="1:31" x14ac:dyDescent="0.25">
      <c r="A159" s="399">
        <v>148</v>
      </c>
      <c r="B159" s="508"/>
      <c r="C159" s="508"/>
      <c r="D159" s="508"/>
      <c r="E159" s="508"/>
      <c r="F159" s="503"/>
      <c r="G159" s="508"/>
      <c r="H159" s="508"/>
      <c r="I159" s="508"/>
      <c r="J159" s="508"/>
      <c r="K159" s="504"/>
      <c r="L159" s="508"/>
      <c r="M159" s="508"/>
      <c r="N159" s="508"/>
      <c r="O159" s="508"/>
      <c r="P159" s="505"/>
      <c r="Q159" s="508"/>
      <c r="R159" s="508"/>
      <c r="S159" s="508"/>
      <c r="T159" s="508"/>
      <c r="U159" s="506"/>
      <c r="V159" s="508"/>
      <c r="W159" s="508"/>
      <c r="X159" s="508"/>
      <c r="Y159" s="508"/>
      <c r="Z159" s="507"/>
      <c r="AA159" s="508"/>
      <c r="AB159" s="508"/>
      <c r="AC159" s="508"/>
      <c r="AD159" s="508"/>
      <c r="AE159" s="509"/>
    </row>
    <row r="160" spans="1:31" x14ac:dyDescent="0.25">
      <c r="A160" s="399">
        <v>149</v>
      </c>
      <c r="B160" s="508"/>
      <c r="C160" s="508"/>
      <c r="D160" s="508"/>
      <c r="E160" s="508"/>
      <c r="F160" s="503"/>
      <c r="G160" s="508"/>
      <c r="H160" s="508"/>
      <c r="I160" s="508"/>
      <c r="J160" s="508"/>
      <c r="K160" s="504"/>
      <c r="L160" s="508"/>
      <c r="M160" s="508"/>
      <c r="N160" s="508"/>
      <c r="O160" s="508"/>
      <c r="P160" s="505"/>
      <c r="Q160" s="508"/>
      <c r="R160" s="508"/>
      <c r="S160" s="508"/>
      <c r="T160" s="508"/>
      <c r="U160" s="506"/>
      <c r="V160" s="508"/>
      <c r="W160" s="508"/>
      <c r="X160" s="508"/>
      <c r="Y160" s="508"/>
      <c r="Z160" s="507"/>
      <c r="AA160" s="508"/>
      <c r="AB160" s="508"/>
      <c r="AC160" s="508"/>
      <c r="AD160" s="508"/>
      <c r="AE160" s="509"/>
    </row>
    <row r="161" spans="1:31" x14ac:dyDescent="0.25">
      <c r="A161" s="399">
        <v>150</v>
      </c>
      <c r="B161" s="508"/>
      <c r="C161" s="508"/>
      <c r="D161" s="508"/>
      <c r="E161" s="508"/>
      <c r="F161" s="503"/>
      <c r="G161" s="508"/>
      <c r="H161" s="508"/>
      <c r="I161" s="508"/>
      <c r="J161" s="508"/>
      <c r="K161" s="504"/>
      <c r="L161" s="508"/>
      <c r="M161" s="508"/>
      <c r="N161" s="508"/>
      <c r="O161" s="508"/>
      <c r="P161" s="505"/>
      <c r="Q161" s="508"/>
      <c r="R161" s="508"/>
      <c r="S161" s="508"/>
      <c r="T161" s="508"/>
      <c r="U161" s="506"/>
      <c r="V161" s="508"/>
      <c r="W161" s="508"/>
      <c r="X161" s="508"/>
      <c r="Y161" s="508"/>
      <c r="Z161" s="507"/>
      <c r="AA161" s="508"/>
      <c r="AB161" s="508"/>
      <c r="AC161" s="508"/>
      <c r="AD161" s="508"/>
      <c r="AE161" s="509"/>
    </row>
    <row r="162" spans="1:31" x14ac:dyDescent="0.25">
      <c r="A162" s="399">
        <v>151</v>
      </c>
      <c r="B162" s="508"/>
      <c r="C162" s="508"/>
      <c r="D162" s="508"/>
      <c r="E162" s="508"/>
      <c r="F162" s="503"/>
      <c r="G162" s="508"/>
      <c r="H162" s="508"/>
      <c r="I162" s="508"/>
      <c r="J162" s="508"/>
      <c r="K162" s="504"/>
      <c r="L162" s="508"/>
      <c r="M162" s="508"/>
      <c r="N162" s="508"/>
      <c r="O162" s="508"/>
      <c r="P162" s="505"/>
      <c r="Q162" s="508"/>
      <c r="R162" s="508"/>
      <c r="S162" s="508"/>
      <c r="T162" s="508"/>
      <c r="U162" s="506"/>
      <c r="V162" s="508"/>
      <c r="W162" s="508"/>
      <c r="X162" s="508"/>
      <c r="Y162" s="508"/>
      <c r="Z162" s="507"/>
      <c r="AA162" s="508"/>
      <c r="AB162" s="508"/>
      <c r="AC162" s="508"/>
      <c r="AD162" s="508"/>
      <c r="AE162" s="509"/>
    </row>
    <row r="163" spans="1:31" x14ac:dyDescent="0.25">
      <c r="A163" s="399">
        <v>152</v>
      </c>
      <c r="B163" s="508"/>
      <c r="C163" s="508"/>
      <c r="D163" s="508"/>
      <c r="E163" s="508"/>
      <c r="F163" s="503"/>
      <c r="G163" s="508"/>
      <c r="H163" s="508"/>
      <c r="I163" s="508"/>
      <c r="J163" s="508"/>
      <c r="K163" s="504"/>
      <c r="L163" s="508"/>
      <c r="M163" s="508"/>
      <c r="N163" s="508"/>
      <c r="O163" s="508"/>
      <c r="P163" s="505"/>
      <c r="Q163" s="508"/>
      <c r="R163" s="508"/>
      <c r="S163" s="508"/>
      <c r="T163" s="508"/>
      <c r="U163" s="506"/>
      <c r="V163" s="508"/>
      <c r="W163" s="508"/>
      <c r="X163" s="508"/>
      <c r="Y163" s="508"/>
      <c r="Z163" s="507"/>
      <c r="AA163" s="508"/>
      <c r="AB163" s="508"/>
      <c r="AC163" s="508"/>
      <c r="AD163" s="508"/>
      <c r="AE163" s="509"/>
    </row>
    <row r="164" spans="1:31" x14ac:dyDescent="0.25">
      <c r="A164" s="399">
        <v>153</v>
      </c>
      <c r="B164" s="508"/>
      <c r="C164" s="508"/>
      <c r="D164" s="508"/>
      <c r="E164" s="508"/>
      <c r="F164" s="503"/>
      <c r="G164" s="508"/>
      <c r="H164" s="508"/>
      <c r="I164" s="508"/>
      <c r="J164" s="508"/>
      <c r="K164" s="504"/>
      <c r="L164" s="508"/>
      <c r="M164" s="508"/>
      <c r="N164" s="508"/>
      <c r="O164" s="508"/>
      <c r="P164" s="505"/>
      <c r="Q164" s="508"/>
      <c r="R164" s="508"/>
      <c r="S164" s="508"/>
      <c r="T164" s="508"/>
      <c r="U164" s="506"/>
      <c r="V164" s="508"/>
      <c r="W164" s="508"/>
      <c r="X164" s="508"/>
      <c r="Y164" s="508"/>
      <c r="Z164" s="507"/>
      <c r="AA164" s="508"/>
      <c r="AB164" s="508"/>
      <c r="AC164" s="508"/>
      <c r="AD164" s="508"/>
      <c r="AE164" s="509"/>
    </row>
    <row r="165" spans="1:31" x14ac:dyDescent="0.25">
      <c r="A165" s="399">
        <v>154</v>
      </c>
      <c r="B165" s="508"/>
      <c r="C165" s="508"/>
      <c r="D165" s="508"/>
      <c r="E165" s="508"/>
      <c r="F165" s="503"/>
      <c r="G165" s="508"/>
      <c r="H165" s="508"/>
      <c r="I165" s="508"/>
      <c r="J165" s="508"/>
      <c r="K165" s="504"/>
      <c r="L165" s="508"/>
      <c r="M165" s="508"/>
      <c r="N165" s="508"/>
      <c r="O165" s="508"/>
      <c r="P165" s="505"/>
      <c r="Q165" s="508"/>
      <c r="R165" s="508"/>
      <c r="S165" s="508"/>
      <c r="T165" s="508"/>
      <c r="U165" s="506"/>
      <c r="V165" s="508"/>
      <c r="W165" s="508"/>
      <c r="X165" s="508"/>
      <c r="Y165" s="508"/>
      <c r="Z165" s="507"/>
      <c r="AA165" s="508"/>
      <c r="AB165" s="508"/>
      <c r="AC165" s="508"/>
      <c r="AD165" s="508"/>
      <c r="AE165" s="509"/>
    </row>
    <row r="166" spans="1:31" x14ac:dyDescent="0.25">
      <c r="A166" s="399">
        <v>155</v>
      </c>
      <c r="B166" s="508"/>
      <c r="C166" s="508"/>
      <c r="D166" s="508"/>
      <c r="E166" s="508"/>
      <c r="F166" s="503"/>
      <c r="G166" s="508"/>
      <c r="H166" s="508"/>
      <c r="I166" s="508"/>
      <c r="J166" s="508"/>
      <c r="K166" s="504"/>
      <c r="L166" s="508"/>
      <c r="M166" s="508"/>
      <c r="N166" s="508"/>
      <c r="O166" s="508"/>
      <c r="P166" s="505"/>
      <c r="Q166" s="508"/>
      <c r="R166" s="508"/>
      <c r="S166" s="508"/>
      <c r="T166" s="508"/>
      <c r="U166" s="506"/>
      <c r="V166" s="508"/>
      <c r="W166" s="508"/>
      <c r="X166" s="508"/>
      <c r="Y166" s="508"/>
      <c r="Z166" s="507"/>
      <c r="AA166" s="508"/>
      <c r="AB166" s="508"/>
      <c r="AC166" s="508"/>
      <c r="AD166" s="508"/>
      <c r="AE166" s="509"/>
    </row>
    <row r="167" spans="1:31" x14ac:dyDescent="0.25">
      <c r="A167" s="399">
        <v>156</v>
      </c>
      <c r="B167" s="508"/>
      <c r="C167" s="508"/>
      <c r="D167" s="508"/>
      <c r="E167" s="508"/>
      <c r="F167" s="503"/>
      <c r="G167" s="508"/>
      <c r="H167" s="508"/>
      <c r="I167" s="508"/>
      <c r="J167" s="508"/>
      <c r="K167" s="504"/>
      <c r="L167" s="508"/>
      <c r="M167" s="508"/>
      <c r="N167" s="508"/>
      <c r="O167" s="508"/>
      <c r="P167" s="505"/>
      <c r="Q167" s="508"/>
      <c r="R167" s="508"/>
      <c r="S167" s="508"/>
      <c r="T167" s="508"/>
      <c r="U167" s="506"/>
      <c r="V167" s="508"/>
      <c r="W167" s="508"/>
      <c r="X167" s="508"/>
      <c r="Y167" s="508"/>
      <c r="Z167" s="507"/>
      <c r="AA167" s="508"/>
      <c r="AB167" s="508"/>
      <c r="AC167" s="508"/>
      <c r="AD167" s="508"/>
      <c r="AE167" s="509"/>
    </row>
    <row r="168" spans="1:31" x14ac:dyDescent="0.25">
      <c r="A168" s="399">
        <v>157</v>
      </c>
      <c r="B168" s="508"/>
      <c r="C168" s="508"/>
      <c r="D168" s="508"/>
      <c r="E168" s="508"/>
      <c r="F168" s="503"/>
      <c r="G168" s="508"/>
      <c r="H168" s="508"/>
      <c r="I168" s="508"/>
      <c r="J168" s="508"/>
      <c r="K168" s="504"/>
      <c r="L168" s="508"/>
      <c r="M168" s="508"/>
      <c r="N168" s="508"/>
      <c r="O168" s="508"/>
      <c r="P168" s="505"/>
      <c r="Q168" s="508"/>
      <c r="R168" s="508"/>
      <c r="S168" s="508"/>
      <c r="T168" s="508"/>
      <c r="U168" s="506"/>
      <c r="V168" s="508"/>
      <c r="W168" s="508"/>
      <c r="X168" s="508"/>
      <c r="Y168" s="508"/>
      <c r="Z168" s="507"/>
      <c r="AA168" s="508"/>
      <c r="AB168" s="508"/>
      <c r="AC168" s="508"/>
      <c r="AD168" s="508"/>
      <c r="AE168" s="509"/>
    </row>
    <row r="169" spans="1:31" x14ac:dyDescent="0.25">
      <c r="A169" s="399">
        <v>158</v>
      </c>
      <c r="B169" s="508"/>
      <c r="C169" s="508"/>
      <c r="D169" s="508"/>
      <c r="E169" s="508"/>
      <c r="F169" s="503"/>
      <c r="G169" s="508"/>
      <c r="H169" s="508"/>
      <c r="I169" s="508"/>
      <c r="J169" s="508"/>
      <c r="K169" s="504"/>
      <c r="L169" s="508"/>
      <c r="M169" s="508"/>
      <c r="N169" s="508"/>
      <c r="O169" s="508"/>
      <c r="P169" s="505"/>
      <c r="Q169" s="508"/>
      <c r="R169" s="508"/>
      <c r="S169" s="508"/>
      <c r="T169" s="508"/>
      <c r="U169" s="506"/>
      <c r="V169" s="508"/>
      <c r="W169" s="508"/>
      <c r="X169" s="508"/>
      <c r="Y169" s="508"/>
      <c r="Z169" s="507"/>
      <c r="AA169" s="508"/>
      <c r="AB169" s="508"/>
      <c r="AC169" s="508"/>
      <c r="AD169" s="508"/>
      <c r="AE169" s="509"/>
    </row>
    <row r="170" spans="1:31" x14ac:dyDescent="0.25">
      <c r="A170" s="399">
        <v>159</v>
      </c>
      <c r="B170" s="508"/>
      <c r="C170" s="508"/>
      <c r="D170" s="508"/>
      <c r="E170" s="508"/>
      <c r="F170" s="503"/>
      <c r="G170" s="508"/>
      <c r="H170" s="508"/>
      <c r="I170" s="508"/>
      <c r="J170" s="508"/>
      <c r="K170" s="504"/>
      <c r="L170" s="508"/>
      <c r="M170" s="508"/>
      <c r="N170" s="508"/>
      <c r="O170" s="508"/>
      <c r="P170" s="505"/>
      <c r="Q170" s="508"/>
      <c r="R170" s="508"/>
      <c r="S170" s="508"/>
      <c r="T170" s="508"/>
      <c r="U170" s="506"/>
      <c r="V170" s="508"/>
      <c r="W170" s="508"/>
      <c r="X170" s="508"/>
      <c r="Y170" s="508"/>
      <c r="Z170" s="507"/>
      <c r="AA170" s="508"/>
      <c r="AB170" s="508"/>
      <c r="AC170" s="508"/>
      <c r="AD170" s="508"/>
      <c r="AE170" s="509"/>
    </row>
    <row r="171" spans="1:31" x14ac:dyDescent="0.25">
      <c r="A171" s="399">
        <v>160</v>
      </c>
      <c r="B171" s="508"/>
      <c r="C171" s="508"/>
      <c r="D171" s="508"/>
      <c r="E171" s="508"/>
      <c r="F171" s="503"/>
      <c r="G171" s="508"/>
      <c r="H171" s="508"/>
      <c r="I171" s="508"/>
      <c r="J171" s="508"/>
      <c r="K171" s="504"/>
      <c r="L171" s="508"/>
      <c r="M171" s="508"/>
      <c r="N171" s="508"/>
      <c r="O171" s="508"/>
      <c r="P171" s="505"/>
      <c r="Q171" s="508"/>
      <c r="R171" s="508"/>
      <c r="S171" s="508"/>
      <c r="T171" s="508"/>
      <c r="U171" s="506"/>
      <c r="V171" s="508"/>
      <c r="W171" s="508"/>
      <c r="X171" s="508"/>
      <c r="Y171" s="508"/>
      <c r="Z171" s="507"/>
      <c r="AA171" s="508"/>
      <c r="AB171" s="508"/>
      <c r="AC171" s="508"/>
      <c r="AD171" s="508"/>
      <c r="AE171" s="509"/>
    </row>
    <row r="172" spans="1:31" x14ac:dyDescent="0.25">
      <c r="A172" s="399">
        <v>161</v>
      </c>
      <c r="B172" s="508"/>
      <c r="C172" s="508"/>
      <c r="D172" s="508"/>
      <c r="E172" s="508"/>
      <c r="F172" s="503"/>
      <c r="G172" s="508"/>
      <c r="H172" s="508"/>
      <c r="I172" s="508"/>
      <c r="J172" s="508"/>
      <c r="K172" s="504"/>
      <c r="L172" s="508"/>
      <c r="M172" s="508"/>
      <c r="N172" s="508"/>
      <c r="O172" s="508"/>
      <c r="P172" s="505"/>
      <c r="Q172" s="508"/>
      <c r="R172" s="508"/>
      <c r="S172" s="508"/>
      <c r="T172" s="508"/>
      <c r="U172" s="506"/>
      <c r="V172" s="508"/>
      <c r="W172" s="508"/>
      <c r="X172" s="508"/>
      <c r="Y172" s="508"/>
      <c r="Z172" s="507"/>
      <c r="AA172" s="508"/>
      <c r="AB172" s="508"/>
      <c r="AC172" s="508"/>
      <c r="AD172" s="508"/>
      <c r="AE172" s="509"/>
    </row>
    <row r="173" spans="1:31" x14ac:dyDescent="0.25">
      <c r="A173" s="399">
        <v>162</v>
      </c>
      <c r="B173" s="508"/>
      <c r="C173" s="508"/>
      <c r="D173" s="508"/>
      <c r="E173" s="508"/>
      <c r="F173" s="503"/>
      <c r="G173" s="508"/>
      <c r="H173" s="508"/>
      <c r="I173" s="508"/>
      <c r="J173" s="508"/>
      <c r="K173" s="504"/>
      <c r="L173" s="508"/>
      <c r="M173" s="508"/>
      <c r="N173" s="508"/>
      <c r="O173" s="508"/>
      <c r="P173" s="505"/>
      <c r="Q173" s="508"/>
      <c r="R173" s="508"/>
      <c r="S173" s="508"/>
      <c r="T173" s="508"/>
      <c r="U173" s="506"/>
      <c r="V173" s="508"/>
      <c r="W173" s="508"/>
      <c r="X173" s="508"/>
      <c r="Y173" s="508"/>
      <c r="Z173" s="507"/>
      <c r="AA173" s="508"/>
      <c r="AB173" s="508"/>
      <c r="AC173" s="508"/>
      <c r="AD173" s="508"/>
      <c r="AE173" s="509"/>
    </row>
    <row r="174" spans="1:31" x14ac:dyDescent="0.25">
      <c r="A174" s="399">
        <v>163</v>
      </c>
      <c r="B174" s="508"/>
      <c r="C174" s="508"/>
      <c r="D174" s="508"/>
      <c r="E174" s="508"/>
      <c r="F174" s="503"/>
      <c r="G174" s="508"/>
      <c r="H174" s="508"/>
      <c r="I174" s="508"/>
      <c r="J174" s="508"/>
      <c r="K174" s="504"/>
      <c r="L174" s="508"/>
      <c r="M174" s="508"/>
      <c r="N174" s="508"/>
      <c r="O174" s="508"/>
      <c r="P174" s="505"/>
      <c r="Q174" s="508"/>
      <c r="R174" s="508"/>
      <c r="S174" s="508"/>
      <c r="T174" s="508"/>
      <c r="U174" s="506"/>
      <c r="V174" s="508"/>
      <c r="W174" s="508"/>
      <c r="X174" s="508"/>
      <c r="Y174" s="508"/>
      <c r="Z174" s="507"/>
      <c r="AA174" s="508"/>
      <c r="AB174" s="508"/>
      <c r="AC174" s="508"/>
      <c r="AD174" s="508"/>
      <c r="AE174" s="509"/>
    </row>
    <row r="175" spans="1:31" x14ac:dyDescent="0.25">
      <c r="A175" s="399">
        <v>164</v>
      </c>
      <c r="B175" s="508"/>
      <c r="C175" s="508"/>
      <c r="D175" s="508"/>
      <c r="E175" s="508"/>
      <c r="F175" s="503"/>
      <c r="G175" s="508"/>
      <c r="H175" s="508"/>
      <c r="I175" s="508"/>
      <c r="J175" s="508"/>
      <c r="K175" s="504"/>
      <c r="L175" s="508"/>
      <c r="M175" s="508"/>
      <c r="N175" s="508"/>
      <c r="O175" s="508"/>
      <c r="P175" s="505"/>
      <c r="Q175" s="508"/>
      <c r="R175" s="508"/>
      <c r="S175" s="508"/>
      <c r="T175" s="508"/>
      <c r="U175" s="506"/>
      <c r="V175" s="508"/>
      <c r="W175" s="508"/>
      <c r="X175" s="508"/>
      <c r="Y175" s="508"/>
      <c r="Z175" s="507"/>
      <c r="AA175" s="508"/>
      <c r="AB175" s="508"/>
      <c r="AC175" s="508"/>
      <c r="AD175" s="508"/>
      <c r="AE175" s="509"/>
    </row>
    <row r="176" spans="1:31" x14ac:dyDescent="0.25">
      <c r="A176" s="399">
        <v>165</v>
      </c>
      <c r="B176" s="508"/>
      <c r="C176" s="508"/>
      <c r="D176" s="508"/>
      <c r="E176" s="508"/>
      <c r="F176" s="503"/>
      <c r="G176" s="508"/>
      <c r="H176" s="508"/>
      <c r="I176" s="508"/>
      <c r="J176" s="508"/>
      <c r="K176" s="504"/>
      <c r="L176" s="508"/>
      <c r="M176" s="508"/>
      <c r="N176" s="508"/>
      <c r="O176" s="508"/>
      <c r="P176" s="505"/>
      <c r="Q176" s="508"/>
      <c r="R176" s="508"/>
      <c r="S176" s="508"/>
      <c r="T176" s="508"/>
      <c r="U176" s="506"/>
      <c r="V176" s="508"/>
      <c r="W176" s="508"/>
      <c r="X176" s="508"/>
      <c r="Y176" s="508"/>
      <c r="Z176" s="507"/>
      <c r="AA176" s="508"/>
      <c r="AB176" s="508"/>
      <c r="AC176" s="508"/>
      <c r="AD176" s="508"/>
      <c r="AE176" s="509"/>
    </row>
    <row r="177" spans="1:31" x14ac:dyDescent="0.25">
      <c r="A177" s="399">
        <v>166</v>
      </c>
      <c r="B177" s="508"/>
      <c r="C177" s="508"/>
      <c r="D177" s="508"/>
      <c r="E177" s="508"/>
      <c r="F177" s="503"/>
      <c r="G177" s="508"/>
      <c r="H177" s="508"/>
      <c r="I177" s="508"/>
      <c r="J177" s="508"/>
      <c r="K177" s="504"/>
      <c r="L177" s="508"/>
      <c r="M177" s="508"/>
      <c r="N177" s="508"/>
      <c r="O177" s="508"/>
      <c r="P177" s="505"/>
      <c r="Q177" s="508"/>
      <c r="R177" s="508"/>
      <c r="S177" s="508"/>
      <c r="T177" s="508"/>
      <c r="U177" s="506"/>
      <c r="V177" s="508"/>
      <c r="W177" s="508"/>
      <c r="X177" s="508"/>
      <c r="Y177" s="508"/>
      <c r="Z177" s="507"/>
      <c r="AA177" s="508"/>
      <c r="AB177" s="508"/>
      <c r="AC177" s="508"/>
      <c r="AD177" s="508"/>
      <c r="AE177" s="509"/>
    </row>
    <row r="178" spans="1:31" x14ac:dyDescent="0.25">
      <c r="A178" s="399">
        <v>167</v>
      </c>
      <c r="B178" s="508"/>
      <c r="C178" s="508"/>
      <c r="D178" s="508"/>
      <c r="E178" s="508"/>
      <c r="F178" s="503"/>
      <c r="G178" s="508"/>
      <c r="H178" s="508"/>
      <c r="I178" s="508"/>
      <c r="J178" s="508"/>
      <c r="K178" s="504"/>
      <c r="L178" s="508"/>
      <c r="M178" s="508"/>
      <c r="N178" s="508"/>
      <c r="O178" s="508"/>
      <c r="P178" s="505"/>
      <c r="Q178" s="508"/>
      <c r="R178" s="508"/>
      <c r="S178" s="508"/>
      <c r="T178" s="508"/>
      <c r="U178" s="506"/>
      <c r="V178" s="508"/>
      <c r="W178" s="508"/>
      <c r="X178" s="508"/>
      <c r="Y178" s="508"/>
      <c r="Z178" s="507"/>
      <c r="AA178" s="508"/>
      <c r="AB178" s="508"/>
      <c r="AC178" s="508"/>
      <c r="AD178" s="508"/>
      <c r="AE178" s="509"/>
    </row>
    <row r="179" spans="1:31" x14ac:dyDescent="0.25">
      <c r="A179" s="399">
        <v>168</v>
      </c>
      <c r="B179" s="508"/>
      <c r="C179" s="508"/>
      <c r="D179" s="508"/>
      <c r="E179" s="508"/>
      <c r="F179" s="503"/>
      <c r="G179" s="508"/>
      <c r="H179" s="508"/>
      <c r="I179" s="508"/>
      <c r="J179" s="508"/>
      <c r="K179" s="504"/>
      <c r="L179" s="508"/>
      <c r="M179" s="508"/>
      <c r="N179" s="508"/>
      <c r="O179" s="508"/>
      <c r="P179" s="505"/>
      <c r="Q179" s="508"/>
      <c r="R179" s="508"/>
      <c r="S179" s="508"/>
      <c r="T179" s="508"/>
      <c r="U179" s="506"/>
      <c r="V179" s="508"/>
      <c r="W179" s="508"/>
      <c r="X179" s="508"/>
      <c r="Y179" s="508"/>
      <c r="Z179" s="507"/>
      <c r="AA179" s="508"/>
      <c r="AB179" s="508"/>
      <c r="AC179" s="508"/>
      <c r="AD179" s="508"/>
      <c r="AE179" s="509"/>
    </row>
    <row r="180" spans="1:31" x14ac:dyDescent="0.25">
      <c r="A180" s="399">
        <v>169</v>
      </c>
      <c r="B180" s="508"/>
      <c r="C180" s="508"/>
      <c r="D180" s="508"/>
      <c r="E180" s="508"/>
      <c r="F180" s="503"/>
      <c r="G180" s="508"/>
      <c r="H180" s="508"/>
      <c r="I180" s="508"/>
      <c r="J180" s="508"/>
      <c r="K180" s="504"/>
      <c r="L180" s="508"/>
      <c r="M180" s="508"/>
      <c r="N180" s="508"/>
      <c r="O180" s="508"/>
      <c r="P180" s="505"/>
      <c r="Q180" s="508"/>
      <c r="R180" s="508"/>
      <c r="S180" s="508"/>
      <c r="T180" s="508"/>
      <c r="U180" s="506"/>
      <c r="V180" s="508"/>
      <c r="W180" s="508"/>
      <c r="X180" s="508"/>
      <c r="Y180" s="508"/>
      <c r="Z180" s="507"/>
      <c r="AA180" s="508"/>
      <c r="AB180" s="508"/>
      <c r="AC180" s="508"/>
      <c r="AD180" s="508"/>
      <c r="AE180" s="509"/>
    </row>
    <row r="181" spans="1:31" x14ac:dyDescent="0.25">
      <c r="A181" s="399">
        <v>170</v>
      </c>
      <c r="B181" s="508"/>
      <c r="C181" s="508"/>
      <c r="D181" s="508"/>
      <c r="E181" s="508"/>
      <c r="F181" s="503"/>
      <c r="G181" s="508"/>
      <c r="H181" s="508"/>
      <c r="I181" s="508"/>
      <c r="J181" s="508"/>
      <c r="K181" s="504"/>
      <c r="L181" s="508"/>
      <c r="M181" s="508"/>
      <c r="N181" s="508"/>
      <c r="O181" s="508"/>
      <c r="P181" s="505"/>
      <c r="Q181" s="508"/>
      <c r="R181" s="508"/>
      <c r="S181" s="508"/>
      <c r="T181" s="508"/>
      <c r="U181" s="506"/>
      <c r="V181" s="508"/>
      <c r="W181" s="508"/>
      <c r="X181" s="508"/>
      <c r="Y181" s="508"/>
      <c r="Z181" s="507"/>
      <c r="AA181" s="508"/>
      <c r="AB181" s="508"/>
      <c r="AC181" s="508"/>
      <c r="AD181" s="508"/>
      <c r="AE181" s="509"/>
    </row>
    <row r="182" spans="1:31" x14ac:dyDescent="0.25">
      <c r="A182" s="399">
        <v>171</v>
      </c>
      <c r="B182" s="508"/>
      <c r="C182" s="508"/>
      <c r="D182" s="508"/>
      <c r="E182" s="508"/>
      <c r="F182" s="503"/>
      <c r="G182" s="508"/>
      <c r="H182" s="508"/>
      <c r="I182" s="508"/>
      <c r="J182" s="508"/>
      <c r="K182" s="504"/>
      <c r="L182" s="508"/>
      <c r="M182" s="508"/>
      <c r="N182" s="508"/>
      <c r="O182" s="508"/>
      <c r="P182" s="505"/>
      <c r="Q182" s="508"/>
      <c r="R182" s="508"/>
      <c r="S182" s="508"/>
      <c r="T182" s="508"/>
      <c r="U182" s="506"/>
      <c r="V182" s="508"/>
      <c r="W182" s="508"/>
      <c r="X182" s="508"/>
      <c r="Y182" s="508"/>
      <c r="Z182" s="507"/>
      <c r="AA182" s="508"/>
      <c r="AB182" s="508"/>
      <c r="AC182" s="508"/>
      <c r="AD182" s="508"/>
      <c r="AE182" s="509"/>
    </row>
    <row r="183" spans="1:31" x14ac:dyDescent="0.25">
      <c r="A183" s="399">
        <v>172</v>
      </c>
      <c r="B183" s="508"/>
      <c r="C183" s="508"/>
      <c r="D183" s="508"/>
      <c r="E183" s="508"/>
      <c r="F183" s="503"/>
      <c r="G183" s="508"/>
      <c r="H183" s="508"/>
      <c r="I183" s="508"/>
      <c r="J183" s="508"/>
      <c r="K183" s="504"/>
      <c r="L183" s="508"/>
      <c r="M183" s="508"/>
      <c r="N183" s="508"/>
      <c r="O183" s="508"/>
      <c r="P183" s="505"/>
      <c r="Q183" s="508"/>
      <c r="R183" s="508"/>
      <c r="S183" s="508"/>
      <c r="T183" s="508"/>
      <c r="U183" s="506"/>
      <c r="V183" s="508"/>
      <c r="W183" s="508"/>
      <c r="X183" s="508"/>
      <c r="Y183" s="508"/>
      <c r="Z183" s="507"/>
      <c r="AA183" s="508"/>
      <c r="AB183" s="508"/>
      <c r="AC183" s="508"/>
      <c r="AD183" s="508"/>
      <c r="AE183" s="509"/>
    </row>
    <row r="184" spans="1:31" x14ac:dyDescent="0.25">
      <c r="A184" s="399">
        <v>173</v>
      </c>
      <c r="B184" s="508"/>
      <c r="C184" s="508"/>
      <c r="D184" s="508"/>
      <c r="E184" s="508"/>
      <c r="F184" s="503"/>
      <c r="G184" s="508"/>
      <c r="H184" s="508"/>
      <c r="I184" s="508"/>
      <c r="J184" s="508"/>
      <c r="K184" s="504"/>
      <c r="L184" s="508"/>
      <c r="M184" s="508"/>
      <c r="N184" s="508"/>
      <c r="O184" s="508"/>
      <c r="P184" s="505"/>
      <c r="Q184" s="508"/>
      <c r="R184" s="508"/>
      <c r="S184" s="508"/>
      <c r="T184" s="508"/>
      <c r="U184" s="506"/>
      <c r="V184" s="508"/>
      <c r="W184" s="508"/>
      <c r="X184" s="508"/>
      <c r="Y184" s="508"/>
      <c r="Z184" s="507"/>
      <c r="AA184" s="508"/>
      <c r="AB184" s="508"/>
      <c r="AC184" s="508"/>
      <c r="AD184" s="508"/>
      <c r="AE184" s="509"/>
    </row>
    <row r="185" spans="1:31" x14ac:dyDescent="0.25">
      <c r="A185" s="399">
        <v>174</v>
      </c>
      <c r="B185" s="508"/>
      <c r="C185" s="508"/>
      <c r="D185" s="508"/>
      <c r="E185" s="508"/>
      <c r="F185" s="503"/>
      <c r="G185" s="508"/>
      <c r="H185" s="508"/>
      <c r="I185" s="508"/>
      <c r="J185" s="508"/>
      <c r="K185" s="504"/>
      <c r="L185" s="508"/>
      <c r="M185" s="508"/>
      <c r="N185" s="508"/>
      <c r="O185" s="508"/>
      <c r="P185" s="505"/>
      <c r="Q185" s="508"/>
      <c r="R185" s="508"/>
      <c r="S185" s="508"/>
      <c r="T185" s="508"/>
      <c r="U185" s="506"/>
      <c r="V185" s="508"/>
      <c r="W185" s="508"/>
      <c r="X185" s="508"/>
      <c r="Y185" s="508"/>
      <c r="Z185" s="507"/>
      <c r="AA185" s="508"/>
      <c r="AB185" s="508"/>
      <c r="AC185" s="508"/>
      <c r="AD185" s="508"/>
      <c r="AE185" s="509"/>
    </row>
    <row r="186" spans="1:31" x14ac:dyDescent="0.25">
      <c r="A186" s="399">
        <v>175</v>
      </c>
      <c r="B186" s="508"/>
      <c r="C186" s="508"/>
      <c r="D186" s="508"/>
      <c r="E186" s="508"/>
      <c r="F186" s="503"/>
      <c r="G186" s="508"/>
      <c r="H186" s="508"/>
      <c r="I186" s="508"/>
      <c r="J186" s="508"/>
      <c r="K186" s="504"/>
      <c r="L186" s="508"/>
      <c r="M186" s="508"/>
      <c r="N186" s="508"/>
      <c r="O186" s="508"/>
      <c r="P186" s="505"/>
      <c r="Q186" s="508"/>
      <c r="R186" s="508"/>
      <c r="S186" s="508"/>
      <c r="T186" s="508"/>
      <c r="U186" s="506"/>
      <c r="V186" s="508"/>
      <c r="W186" s="508"/>
      <c r="X186" s="508"/>
      <c r="Y186" s="508"/>
      <c r="Z186" s="507"/>
      <c r="AA186" s="508"/>
      <c r="AB186" s="508"/>
      <c r="AC186" s="508"/>
      <c r="AD186" s="508"/>
      <c r="AE186" s="509"/>
    </row>
    <row r="187" spans="1:31" x14ac:dyDescent="0.25">
      <c r="A187" s="399">
        <v>176</v>
      </c>
      <c r="B187" s="508"/>
      <c r="C187" s="508"/>
      <c r="D187" s="508"/>
      <c r="E187" s="508"/>
      <c r="F187" s="503"/>
      <c r="G187" s="508"/>
      <c r="H187" s="508"/>
      <c r="I187" s="508"/>
      <c r="J187" s="508"/>
      <c r="K187" s="504"/>
      <c r="L187" s="508"/>
      <c r="M187" s="508"/>
      <c r="N187" s="508"/>
      <c r="O187" s="508"/>
      <c r="P187" s="505"/>
      <c r="Q187" s="508"/>
      <c r="R187" s="508"/>
      <c r="S187" s="508"/>
      <c r="T187" s="508"/>
      <c r="U187" s="506"/>
      <c r="V187" s="508"/>
      <c r="W187" s="508"/>
      <c r="X187" s="508"/>
      <c r="Y187" s="508"/>
      <c r="Z187" s="507"/>
      <c r="AA187" s="508"/>
      <c r="AB187" s="508"/>
      <c r="AC187" s="508"/>
      <c r="AD187" s="508"/>
      <c r="AE187" s="509"/>
    </row>
    <row r="188" spans="1:31" x14ac:dyDescent="0.25">
      <c r="A188" s="399">
        <v>177</v>
      </c>
      <c r="B188" s="508"/>
      <c r="C188" s="508"/>
      <c r="D188" s="508"/>
      <c r="E188" s="508"/>
      <c r="F188" s="503"/>
      <c r="G188" s="508"/>
      <c r="H188" s="508"/>
      <c r="I188" s="508"/>
      <c r="J188" s="508"/>
      <c r="K188" s="504"/>
      <c r="L188" s="508"/>
      <c r="M188" s="508"/>
      <c r="N188" s="508"/>
      <c r="O188" s="508"/>
      <c r="P188" s="505"/>
      <c r="Q188" s="508"/>
      <c r="R188" s="508"/>
      <c r="S188" s="508"/>
      <c r="T188" s="508"/>
      <c r="U188" s="506"/>
      <c r="V188" s="508"/>
      <c r="W188" s="508"/>
      <c r="X188" s="508"/>
      <c r="Y188" s="508"/>
      <c r="Z188" s="507"/>
      <c r="AA188" s="508"/>
      <c r="AB188" s="508"/>
      <c r="AC188" s="508"/>
      <c r="AD188" s="508"/>
      <c r="AE188" s="509"/>
    </row>
    <row r="189" spans="1:31" x14ac:dyDescent="0.25">
      <c r="A189" s="399">
        <v>178</v>
      </c>
      <c r="B189" s="508"/>
      <c r="C189" s="508"/>
      <c r="D189" s="508"/>
      <c r="E189" s="508"/>
      <c r="F189" s="503"/>
      <c r="G189" s="508"/>
      <c r="H189" s="508"/>
      <c r="I189" s="508"/>
      <c r="J189" s="508"/>
      <c r="K189" s="504"/>
      <c r="L189" s="508"/>
      <c r="M189" s="508"/>
      <c r="N189" s="508"/>
      <c r="O189" s="508"/>
      <c r="P189" s="505"/>
      <c r="Q189" s="508"/>
      <c r="R189" s="508"/>
      <c r="S189" s="508"/>
      <c r="T189" s="508"/>
      <c r="U189" s="506"/>
      <c r="V189" s="508"/>
      <c r="W189" s="508"/>
      <c r="X189" s="508"/>
      <c r="Y189" s="508"/>
      <c r="Z189" s="507"/>
      <c r="AA189" s="508"/>
      <c r="AB189" s="508"/>
      <c r="AC189" s="508"/>
      <c r="AD189" s="508"/>
      <c r="AE189" s="509"/>
    </row>
    <row r="190" spans="1:31" x14ac:dyDescent="0.25">
      <c r="A190" s="399">
        <v>179</v>
      </c>
      <c r="B190" s="508"/>
      <c r="C190" s="508"/>
      <c r="D190" s="508"/>
      <c r="E190" s="508"/>
      <c r="F190" s="503"/>
      <c r="G190" s="508"/>
      <c r="H190" s="508"/>
      <c r="I190" s="508"/>
      <c r="J190" s="508"/>
      <c r="K190" s="504"/>
      <c r="L190" s="508"/>
      <c r="M190" s="508"/>
      <c r="N190" s="508"/>
      <c r="O190" s="508"/>
      <c r="P190" s="505"/>
      <c r="Q190" s="508"/>
      <c r="R190" s="508"/>
      <c r="S190" s="508"/>
      <c r="T190" s="508"/>
      <c r="U190" s="506"/>
      <c r="V190" s="508"/>
      <c r="W190" s="508"/>
      <c r="X190" s="508"/>
      <c r="Y190" s="508"/>
      <c r="Z190" s="507"/>
      <c r="AA190" s="508"/>
      <c r="AB190" s="508"/>
      <c r="AC190" s="508"/>
      <c r="AD190" s="508"/>
      <c r="AE190" s="509"/>
    </row>
    <row r="191" spans="1:31" x14ac:dyDescent="0.25">
      <c r="A191" s="399">
        <v>180</v>
      </c>
      <c r="B191" s="508"/>
      <c r="C191" s="508"/>
      <c r="D191" s="508"/>
      <c r="E191" s="508"/>
      <c r="F191" s="503"/>
      <c r="G191" s="508"/>
      <c r="H191" s="508"/>
      <c r="I191" s="508"/>
      <c r="J191" s="508"/>
      <c r="K191" s="504"/>
      <c r="L191" s="508"/>
      <c r="M191" s="508"/>
      <c r="N191" s="508"/>
      <c r="O191" s="508"/>
      <c r="P191" s="505"/>
      <c r="Q191" s="508"/>
      <c r="R191" s="508"/>
      <c r="S191" s="508"/>
      <c r="T191" s="508"/>
      <c r="U191" s="506"/>
      <c r="V191" s="508"/>
      <c r="W191" s="508"/>
      <c r="X191" s="508"/>
      <c r="Y191" s="508"/>
      <c r="Z191" s="507"/>
      <c r="AA191" s="508"/>
      <c r="AB191" s="508"/>
      <c r="AC191" s="508"/>
      <c r="AD191" s="508"/>
      <c r="AE191" s="509"/>
    </row>
    <row r="192" spans="1:31" x14ac:dyDescent="0.25">
      <c r="A192" s="399">
        <v>181</v>
      </c>
      <c r="B192" s="508"/>
      <c r="C192" s="508"/>
      <c r="D192" s="508"/>
      <c r="E192" s="508"/>
      <c r="F192" s="503"/>
      <c r="G192" s="508"/>
      <c r="H192" s="508"/>
      <c r="I192" s="508"/>
      <c r="J192" s="508"/>
      <c r="K192" s="504"/>
      <c r="L192" s="508"/>
      <c r="M192" s="508"/>
      <c r="N192" s="508"/>
      <c r="O192" s="508"/>
      <c r="P192" s="505"/>
      <c r="Q192" s="508"/>
      <c r="R192" s="508"/>
      <c r="S192" s="508"/>
      <c r="T192" s="508"/>
      <c r="U192" s="506"/>
      <c r="V192" s="508"/>
      <c r="W192" s="508"/>
      <c r="X192" s="508"/>
      <c r="Y192" s="508"/>
      <c r="Z192" s="507"/>
      <c r="AA192" s="508"/>
      <c r="AB192" s="508"/>
      <c r="AC192" s="508"/>
      <c r="AD192" s="508"/>
      <c r="AE192" s="509"/>
    </row>
    <row r="193" spans="1:31" x14ac:dyDescent="0.25">
      <c r="A193" s="399">
        <v>182</v>
      </c>
      <c r="B193" s="508"/>
      <c r="C193" s="508"/>
      <c r="D193" s="508"/>
      <c r="E193" s="508"/>
      <c r="F193" s="503"/>
      <c r="G193" s="508"/>
      <c r="H193" s="508"/>
      <c r="I193" s="508"/>
      <c r="J193" s="508"/>
      <c r="K193" s="504"/>
      <c r="L193" s="508"/>
      <c r="M193" s="508"/>
      <c r="N193" s="508"/>
      <c r="O193" s="508"/>
      <c r="P193" s="505"/>
      <c r="Q193" s="508"/>
      <c r="R193" s="508"/>
      <c r="S193" s="508"/>
      <c r="T193" s="508"/>
      <c r="U193" s="506"/>
      <c r="V193" s="508"/>
      <c r="W193" s="508"/>
      <c r="X193" s="508"/>
      <c r="Y193" s="508"/>
      <c r="Z193" s="507"/>
      <c r="AA193" s="508"/>
      <c r="AB193" s="508"/>
      <c r="AC193" s="508"/>
      <c r="AD193" s="508"/>
      <c r="AE193" s="509"/>
    </row>
    <row r="194" spans="1:31" x14ac:dyDescent="0.25">
      <c r="A194" s="399">
        <v>183</v>
      </c>
      <c r="B194" s="508"/>
      <c r="C194" s="508"/>
      <c r="D194" s="508"/>
      <c r="E194" s="508"/>
      <c r="F194" s="503"/>
      <c r="G194" s="508"/>
      <c r="H194" s="508"/>
      <c r="I194" s="508"/>
      <c r="J194" s="508"/>
      <c r="K194" s="504"/>
      <c r="L194" s="508"/>
      <c r="M194" s="508"/>
      <c r="N194" s="508"/>
      <c r="O194" s="508"/>
      <c r="P194" s="505"/>
      <c r="Q194" s="508"/>
      <c r="R194" s="508"/>
      <c r="S194" s="508"/>
      <c r="T194" s="508"/>
      <c r="U194" s="506"/>
      <c r="V194" s="508"/>
      <c r="W194" s="508"/>
      <c r="X194" s="508"/>
      <c r="Y194" s="508"/>
      <c r="Z194" s="507"/>
      <c r="AA194" s="508"/>
      <c r="AB194" s="508"/>
      <c r="AC194" s="508"/>
      <c r="AD194" s="508"/>
      <c r="AE194" s="509"/>
    </row>
    <row r="195" spans="1:31" x14ac:dyDescent="0.25">
      <c r="A195" s="399">
        <v>184</v>
      </c>
      <c r="B195" s="508"/>
      <c r="C195" s="508"/>
      <c r="D195" s="508"/>
      <c r="E195" s="508"/>
      <c r="F195" s="503"/>
      <c r="G195" s="508"/>
      <c r="H195" s="508"/>
      <c r="I195" s="508"/>
      <c r="J195" s="508"/>
      <c r="K195" s="504"/>
      <c r="L195" s="508"/>
      <c r="M195" s="508"/>
      <c r="N195" s="508"/>
      <c r="O195" s="508"/>
      <c r="P195" s="505"/>
      <c r="Q195" s="508"/>
      <c r="R195" s="508"/>
      <c r="S195" s="508"/>
      <c r="T195" s="508"/>
      <c r="U195" s="506"/>
      <c r="V195" s="508"/>
      <c r="W195" s="508"/>
      <c r="X195" s="508"/>
      <c r="Y195" s="508"/>
      <c r="Z195" s="507"/>
      <c r="AA195" s="508"/>
      <c r="AB195" s="508"/>
      <c r="AC195" s="508"/>
      <c r="AD195" s="508"/>
      <c r="AE195" s="509"/>
    </row>
    <row r="196" spans="1:31" x14ac:dyDescent="0.25">
      <c r="A196" s="399">
        <v>185</v>
      </c>
      <c r="B196" s="508"/>
      <c r="C196" s="508"/>
      <c r="D196" s="508"/>
      <c r="E196" s="508"/>
      <c r="F196" s="503"/>
      <c r="G196" s="508"/>
      <c r="H196" s="508"/>
      <c r="I196" s="508"/>
      <c r="J196" s="508"/>
      <c r="K196" s="504"/>
      <c r="L196" s="508"/>
      <c r="M196" s="508"/>
      <c r="N196" s="508"/>
      <c r="O196" s="508"/>
      <c r="P196" s="505"/>
      <c r="Q196" s="508"/>
      <c r="R196" s="508"/>
      <c r="S196" s="508"/>
      <c r="T196" s="508"/>
      <c r="U196" s="506"/>
      <c r="V196" s="508"/>
      <c r="W196" s="508"/>
      <c r="X196" s="508"/>
      <c r="Y196" s="508"/>
      <c r="Z196" s="507"/>
      <c r="AA196" s="508"/>
      <c r="AB196" s="508"/>
      <c r="AC196" s="508"/>
      <c r="AD196" s="508"/>
      <c r="AE196" s="509"/>
    </row>
    <row r="197" spans="1:31" x14ac:dyDescent="0.25">
      <c r="A197" s="399">
        <v>186</v>
      </c>
      <c r="B197" s="508"/>
      <c r="C197" s="508"/>
      <c r="D197" s="508"/>
      <c r="E197" s="508"/>
      <c r="F197" s="503"/>
      <c r="G197" s="508"/>
      <c r="H197" s="508"/>
      <c r="I197" s="508"/>
      <c r="J197" s="508"/>
      <c r="K197" s="504"/>
      <c r="L197" s="508"/>
      <c r="M197" s="508"/>
      <c r="N197" s="508"/>
      <c r="O197" s="508"/>
      <c r="P197" s="505"/>
      <c r="Q197" s="508"/>
      <c r="R197" s="508"/>
      <c r="S197" s="508"/>
      <c r="T197" s="508"/>
      <c r="U197" s="506"/>
      <c r="V197" s="508"/>
      <c r="W197" s="508"/>
      <c r="X197" s="508"/>
      <c r="Y197" s="508"/>
      <c r="Z197" s="507"/>
      <c r="AA197" s="508"/>
      <c r="AB197" s="508"/>
      <c r="AC197" s="508"/>
      <c r="AD197" s="508"/>
      <c r="AE197" s="509"/>
    </row>
    <row r="198" spans="1:31" x14ac:dyDescent="0.25">
      <c r="A198" s="399">
        <v>187</v>
      </c>
      <c r="B198" s="508"/>
      <c r="C198" s="508"/>
      <c r="D198" s="508"/>
      <c r="E198" s="508"/>
      <c r="F198" s="503"/>
      <c r="G198" s="508"/>
      <c r="H198" s="508"/>
      <c r="I198" s="508"/>
      <c r="J198" s="508"/>
      <c r="K198" s="504"/>
      <c r="L198" s="508"/>
      <c r="M198" s="508"/>
      <c r="N198" s="508"/>
      <c r="O198" s="508"/>
      <c r="P198" s="505"/>
      <c r="Q198" s="508"/>
      <c r="R198" s="508"/>
      <c r="S198" s="508"/>
      <c r="T198" s="508"/>
      <c r="U198" s="506"/>
      <c r="V198" s="508"/>
      <c r="W198" s="508"/>
      <c r="X198" s="508"/>
      <c r="Y198" s="508"/>
      <c r="Z198" s="507"/>
      <c r="AA198" s="508"/>
      <c r="AB198" s="508"/>
      <c r="AC198" s="508"/>
      <c r="AD198" s="508"/>
      <c r="AE198" s="509"/>
    </row>
    <row r="199" spans="1:31" x14ac:dyDescent="0.25">
      <c r="A199" s="399">
        <v>188</v>
      </c>
      <c r="B199" s="508"/>
      <c r="C199" s="508"/>
      <c r="D199" s="508"/>
      <c r="E199" s="508"/>
      <c r="F199" s="503"/>
      <c r="G199" s="508"/>
      <c r="H199" s="508"/>
      <c r="I199" s="508"/>
      <c r="J199" s="508"/>
      <c r="K199" s="504"/>
      <c r="L199" s="508"/>
      <c r="M199" s="508"/>
      <c r="N199" s="508"/>
      <c r="O199" s="508"/>
      <c r="P199" s="505"/>
      <c r="Q199" s="508"/>
      <c r="R199" s="508"/>
      <c r="S199" s="508"/>
      <c r="T199" s="508"/>
      <c r="U199" s="506"/>
      <c r="V199" s="508"/>
      <c r="W199" s="508"/>
      <c r="X199" s="508"/>
      <c r="Y199" s="508"/>
      <c r="Z199" s="507"/>
      <c r="AA199" s="508"/>
      <c r="AB199" s="508"/>
      <c r="AC199" s="508"/>
      <c r="AD199" s="508"/>
      <c r="AE199" s="509"/>
    </row>
    <row r="200" spans="1:31" x14ac:dyDescent="0.25">
      <c r="A200" s="399">
        <v>189</v>
      </c>
      <c r="B200" s="508"/>
      <c r="C200" s="508"/>
      <c r="D200" s="508"/>
      <c r="E200" s="508"/>
      <c r="F200" s="503"/>
      <c r="G200" s="508"/>
      <c r="H200" s="508"/>
      <c r="I200" s="508"/>
      <c r="J200" s="508"/>
      <c r="K200" s="504"/>
      <c r="L200" s="508"/>
      <c r="M200" s="508"/>
      <c r="N200" s="508"/>
      <c r="O200" s="508"/>
      <c r="P200" s="505"/>
      <c r="Q200" s="508"/>
      <c r="R200" s="508"/>
      <c r="S200" s="508"/>
      <c r="T200" s="508"/>
      <c r="U200" s="506"/>
      <c r="V200" s="508"/>
      <c r="W200" s="508"/>
      <c r="X200" s="508"/>
      <c r="Y200" s="508"/>
      <c r="Z200" s="507"/>
      <c r="AA200" s="508"/>
      <c r="AB200" s="508"/>
      <c r="AC200" s="508"/>
      <c r="AD200" s="508"/>
      <c r="AE200" s="509"/>
    </row>
    <row r="201" spans="1:31" x14ac:dyDescent="0.25">
      <c r="A201" s="399">
        <v>190</v>
      </c>
      <c r="B201" s="508"/>
      <c r="C201" s="508"/>
      <c r="D201" s="508"/>
      <c r="E201" s="508"/>
      <c r="F201" s="503"/>
      <c r="G201" s="508"/>
      <c r="H201" s="508"/>
      <c r="I201" s="508"/>
      <c r="J201" s="508"/>
      <c r="K201" s="504"/>
      <c r="L201" s="508"/>
      <c r="M201" s="508"/>
      <c r="N201" s="508"/>
      <c r="O201" s="508"/>
      <c r="P201" s="505"/>
      <c r="Q201" s="508"/>
      <c r="R201" s="508"/>
      <c r="S201" s="508"/>
      <c r="T201" s="508"/>
      <c r="U201" s="506"/>
      <c r="V201" s="508"/>
      <c r="W201" s="508"/>
      <c r="X201" s="508"/>
      <c r="Y201" s="508"/>
      <c r="Z201" s="507"/>
      <c r="AA201" s="508"/>
      <c r="AB201" s="508"/>
      <c r="AC201" s="508"/>
      <c r="AD201" s="508"/>
      <c r="AE201" s="509"/>
    </row>
    <row r="202" spans="1:31" x14ac:dyDescent="0.25">
      <c r="A202" s="399">
        <v>191</v>
      </c>
      <c r="B202" s="508"/>
      <c r="C202" s="508"/>
      <c r="D202" s="508"/>
      <c r="E202" s="508"/>
      <c r="F202" s="503"/>
      <c r="G202" s="508"/>
      <c r="H202" s="508"/>
      <c r="I202" s="508"/>
      <c r="J202" s="508"/>
      <c r="K202" s="504"/>
      <c r="L202" s="508"/>
      <c r="M202" s="508"/>
      <c r="N202" s="508"/>
      <c r="O202" s="508"/>
      <c r="P202" s="505"/>
      <c r="Q202" s="508"/>
      <c r="R202" s="508"/>
      <c r="S202" s="508"/>
      <c r="T202" s="508"/>
      <c r="U202" s="506"/>
      <c r="V202" s="508"/>
      <c r="W202" s="508"/>
      <c r="X202" s="508"/>
      <c r="Y202" s="508"/>
      <c r="Z202" s="507"/>
      <c r="AA202" s="508"/>
      <c r="AB202" s="508"/>
      <c r="AC202" s="508"/>
      <c r="AD202" s="508"/>
      <c r="AE202" s="509"/>
    </row>
    <row r="203" spans="1:31" x14ac:dyDescent="0.25">
      <c r="A203" s="399">
        <v>192</v>
      </c>
      <c r="B203" s="508"/>
      <c r="C203" s="508"/>
      <c r="D203" s="508"/>
      <c r="E203" s="508"/>
      <c r="F203" s="503"/>
      <c r="G203" s="508"/>
      <c r="H203" s="508"/>
      <c r="I203" s="508"/>
      <c r="J203" s="508"/>
      <c r="K203" s="504"/>
      <c r="L203" s="508"/>
      <c r="M203" s="508"/>
      <c r="N203" s="508"/>
      <c r="O203" s="508"/>
      <c r="P203" s="505"/>
      <c r="Q203" s="508"/>
      <c r="R203" s="508"/>
      <c r="S203" s="508"/>
      <c r="T203" s="508"/>
      <c r="U203" s="506"/>
      <c r="V203" s="508"/>
      <c r="W203" s="508"/>
      <c r="X203" s="508"/>
      <c r="Y203" s="508"/>
      <c r="Z203" s="507"/>
      <c r="AA203" s="508"/>
      <c r="AB203" s="508"/>
      <c r="AC203" s="508"/>
      <c r="AD203" s="508"/>
      <c r="AE203" s="509"/>
    </row>
    <row r="204" spans="1:31" x14ac:dyDescent="0.25">
      <c r="A204" s="399">
        <v>193</v>
      </c>
      <c r="B204" s="508"/>
      <c r="C204" s="508"/>
      <c r="D204" s="508"/>
      <c r="E204" s="508"/>
      <c r="F204" s="503"/>
      <c r="G204" s="508"/>
      <c r="H204" s="508"/>
      <c r="I204" s="508"/>
      <c r="J204" s="508"/>
      <c r="K204" s="504"/>
      <c r="L204" s="508"/>
      <c r="M204" s="508"/>
      <c r="N204" s="508"/>
      <c r="O204" s="508"/>
      <c r="P204" s="505"/>
      <c r="Q204" s="508"/>
      <c r="R204" s="508"/>
      <c r="S204" s="508"/>
      <c r="T204" s="508"/>
      <c r="U204" s="506"/>
      <c r="V204" s="508"/>
      <c r="W204" s="508"/>
      <c r="X204" s="508"/>
      <c r="Y204" s="508"/>
      <c r="Z204" s="507"/>
      <c r="AA204" s="508"/>
      <c r="AB204" s="508"/>
      <c r="AC204" s="508"/>
      <c r="AD204" s="508"/>
      <c r="AE204" s="509"/>
    </row>
    <row r="205" spans="1:31" x14ac:dyDescent="0.25">
      <c r="A205" s="399">
        <v>194</v>
      </c>
      <c r="B205" s="508"/>
      <c r="C205" s="508"/>
      <c r="D205" s="508"/>
      <c r="E205" s="508"/>
      <c r="F205" s="503"/>
      <c r="G205" s="508"/>
      <c r="H205" s="508"/>
      <c r="I205" s="508"/>
      <c r="J205" s="508"/>
      <c r="K205" s="504"/>
      <c r="L205" s="508"/>
      <c r="M205" s="508"/>
      <c r="N205" s="508"/>
      <c r="O205" s="508"/>
      <c r="P205" s="505"/>
      <c r="Q205" s="508"/>
      <c r="R205" s="508"/>
      <c r="S205" s="508"/>
      <c r="T205" s="508"/>
      <c r="U205" s="506"/>
      <c r="V205" s="508"/>
      <c r="W205" s="508"/>
      <c r="X205" s="508"/>
      <c r="Y205" s="508"/>
      <c r="Z205" s="507"/>
      <c r="AA205" s="508"/>
      <c r="AB205" s="508"/>
      <c r="AC205" s="508"/>
      <c r="AD205" s="508"/>
      <c r="AE205" s="509"/>
    </row>
    <row r="206" spans="1:31" x14ac:dyDescent="0.25">
      <c r="A206" s="399">
        <v>195</v>
      </c>
      <c r="B206" s="508"/>
      <c r="C206" s="508"/>
      <c r="D206" s="508"/>
      <c r="E206" s="508"/>
      <c r="F206" s="503"/>
      <c r="G206" s="508"/>
      <c r="H206" s="508"/>
      <c r="I206" s="508"/>
      <c r="J206" s="508"/>
      <c r="K206" s="504"/>
      <c r="L206" s="508"/>
      <c r="M206" s="508"/>
      <c r="N206" s="508"/>
      <c r="O206" s="508"/>
      <c r="P206" s="505"/>
      <c r="Q206" s="508"/>
      <c r="R206" s="508"/>
      <c r="S206" s="508"/>
      <c r="T206" s="508"/>
      <c r="U206" s="506"/>
      <c r="V206" s="508"/>
      <c r="W206" s="508"/>
      <c r="X206" s="508"/>
      <c r="Y206" s="508"/>
      <c r="Z206" s="507"/>
      <c r="AA206" s="508"/>
      <c r="AB206" s="508"/>
      <c r="AC206" s="508"/>
      <c r="AD206" s="508"/>
      <c r="AE206" s="509"/>
    </row>
    <row r="207" spans="1:31" x14ac:dyDescent="0.25">
      <c r="A207" s="399">
        <v>196</v>
      </c>
      <c r="B207" s="508"/>
      <c r="C207" s="508"/>
      <c r="D207" s="508"/>
      <c r="E207" s="508"/>
      <c r="F207" s="503"/>
      <c r="G207" s="508"/>
      <c r="H207" s="508"/>
      <c r="I207" s="508"/>
      <c r="J207" s="508"/>
      <c r="K207" s="504"/>
      <c r="L207" s="508"/>
      <c r="M207" s="508"/>
      <c r="N207" s="508"/>
      <c r="O207" s="508"/>
      <c r="P207" s="505"/>
      <c r="Q207" s="508"/>
      <c r="R207" s="508"/>
      <c r="S207" s="508"/>
      <c r="T207" s="508"/>
      <c r="U207" s="506"/>
      <c r="V207" s="508"/>
      <c r="W207" s="508"/>
      <c r="X207" s="508"/>
      <c r="Y207" s="508"/>
      <c r="Z207" s="507"/>
      <c r="AA207" s="508"/>
      <c r="AB207" s="508"/>
      <c r="AC207" s="508"/>
      <c r="AD207" s="508"/>
      <c r="AE207" s="509"/>
    </row>
    <row r="208" spans="1:31" x14ac:dyDescent="0.25">
      <c r="A208" s="399">
        <v>197</v>
      </c>
      <c r="B208" s="508"/>
      <c r="C208" s="508"/>
      <c r="D208" s="508"/>
      <c r="E208" s="508"/>
      <c r="F208" s="503"/>
      <c r="G208" s="508"/>
      <c r="H208" s="508"/>
      <c r="I208" s="508"/>
      <c r="J208" s="508"/>
      <c r="K208" s="504"/>
      <c r="L208" s="508"/>
      <c r="M208" s="508"/>
      <c r="N208" s="508"/>
      <c r="O208" s="508"/>
      <c r="P208" s="505"/>
      <c r="Q208" s="508"/>
      <c r="R208" s="508"/>
      <c r="S208" s="508"/>
      <c r="T208" s="508"/>
      <c r="U208" s="506"/>
      <c r="V208" s="508"/>
      <c r="W208" s="508"/>
      <c r="X208" s="508"/>
      <c r="Y208" s="508"/>
      <c r="Z208" s="507"/>
      <c r="AA208" s="508"/>
      <c r="AB208" s="508"/>
      <c r="AC208" s="508"/>
      <c r="AD208" s="508"/>
      <c r="AE208" s="509"/>
    </row>
    <row r="209" spans="1:31" x14ac:dyDescent="0.25">
      <c r="A209" s="399">
        <v>198</v>
      </c>
      <c r="B209" s="508"/>
      <c r="C209" s="508"/>
      <c r="D209" s="508"/>
      <c r="E209" s="508"/>
      <c r="F209" s="503"/>
      <c r="G209" s="508"/>
      <c r="H209" s="508"/>
      <c r="I209" s="508"/>
      <c r="J209" s="508"/>
      <c r="K209" s="504"/>
      <c r="L209" s="508"/>
      <c r="M209" s="508"/>
      <c r="N209" s="508"/>
      <c r="O209" s="508"/>
      <c r="P209" s="505"/>
      <c r="Q209" s="508"/>
      <c r="R209" s="508"/>
      <c r="S209" s="508"/>
      <c r="T209" s="508"/>
      <c r="U209" s="506"/>
      <c r="V209" s="508"/>
      <c r="W209" s="508"/>
      <c r="X209" s="508"/>
      <c r="Y209" s="508"/>
      <c r="Z209" s="507"/>
      <c r="AA209" s="508"/>
      <c r="AB209" s="508"/>
      <c r="AC209" s="508"/>
      <c r="AD209" s="508"/>
      <c r="AE209" s="509"/>
    </row>
    <row r="210" spans="1:31" x14ac:dyDescent="0.25">
      <c r="A210" s="399">
        <v>199</v>
      </c>
      <c r="B210" s="508"/>
      <c r="C210" s="508"/>
      <c r="D210" s="508"/>
      <c r="E210" s="508"/>
      <c r="F210" s="503"/>
      <c r="G210" s="508"/>
      <c r="H210" s="508"/>
      <c r="I210" s="508"/>
      <c r="J210" s="508"/>
      <c r="K210" s="504"/>
      <c r="L210" s="508"/>
      <c r="M210" s="508"/>
      <c r="N210" s="508"/>
      <c r="O210" s="508"/>
      <c r="P210" s="505"/>
      <c r="Q210" s="508"/>
      <c r="R210" s="508"/>
      <c r="S210" s="508"/>
      <c r="T210" s="508"/>
      <c r="U210" s="506"/>
      <c r="V210" s="508"/>
      <c r="W210" s="508"/>
      <c r="X210" s="508"/>
      <c r="Y210" s="508"/>
      <c r="Z210" s="507"/>
      <c r="AA210" s="508"/>
      <c r="AB210" s="508"/>
      <c r="AC210" s="508"/>
      <c r="AD210" s="508"/>
      <c r="AE210" s="509"/>
    </row>
    <row r="211" spans="1:31" x14ac:dyDescent="0.25">
      <c r="A211" s="399">
        <v>200</v>
      </c>
      <c r="B211" s="508"/>
      <c r="C211" s="508"/>
      <c r="D211" s="508"/>
      <c r="E211" s="508"/>
      <c r="F211" s="503"/>
      <c r="G211" s="508"/>
      <c r="H211" s="508"/>
      <c r="I211" s="508"/>
      <c r="J211" s="508"/>
      <c r="K211" s="504"/>
      <c r="L211" s="508"/>
      <c r="M211" s="508"/>
      <c r="N211" s="508"/>
      <c r="O211" s="508"/>
      <c r="P211" s="505"/>
      <c r="Q211" s="508"/>
      <c r="R211" s="508"/>
      <c r="S211" s="508"/>
      <c r="T211" s="508"/>
      <c r="U211" s="506"/>
      <c r="V211" s="508"/>
      <c r="W211" s="508"/>
      <c r="X211" s="508"/>
      <c r="Y211" s="508"/>
      <c r="Z211" s="507"/>
      <c r="AA211" s="508"/>
      <c r="AB211" s="508"/>
      <c r="AC211" s="508"/>
      <c r="AD211" s="508"/>
      <c r="AE211" s="509"/>
    </row>
    <row r="212" spans="1:31" x14ac:dyDescent="0.25">
      <c r="A212" s="399">
        <v>201</v>
      </c>
      <c r="B212" s="508"/>
      <c r="C212" s="508"/>
      <c r="D212" s="508"/>
      <c r="E212" s="508"/>
      <c r="F212" s="503"/>
      <c r="G212" s="508"/>
      <c r="H212" s="508"/>
      <c r="I212" s="508"/>
      <c r="J212" s="508"/>
      <c r="K212" s="504"/>
      <c r="L212" s="508"/>
      <c r="M212" s="508"/>
      <c r="N212" s="508"/>
      <c r="O212" s="508"/>
      <c r="P212" s="505"/>
      <c r="Q212" s="508"/>
      <c r="R212" s="508"/>
      <c r="S212" s="508"/>
      <c r="T212" s="508"/>
      <c r="U212" s="506"/>
      <c r="V212" s="508"/>
      <c r="W212" s="508"/>
      <c r="X212" s="508"/>
      <c r="Y212" s="508"/>
      <c r="Z212" s="507"/>
      <c r="AA212" s="508"/>
      <c r="AB212" s="508"/>
      <c r="AC212" s="508"/>
      <c r="AD212" s="508"/>
      <c r="AE212" s="509"/>
    </row>
    <row r="213" spans="1:31" x14ac:dyDescent="0.25">
      <c r="A213" s="399">
        <v>202</v>
      </c>
      <c r="B213" s="508"/>
      <c r="C213" s="508"/>
      <c r="D213" s="508"/>
      <c r="E213" s="508"/>
      <c r="F213" s="503"/>
      <c r="G213" s="508"/>
      <c r="H213" s="508"/>
      <c r="I213" s="508"/>
      <c r="J213" s="508"/>
      <c r="K213" s="504"/>
      <c r="L213" s="508"/>
      <c r="M213" s="508"/>
      <c r="N213" s="508"/>
      <c r="O213" s="508"/>
      <c r="P213" s="505"/>
      <c r="Q213" s="508"/>
      <c r="R213" s="508"/>
      <c r="S213" s="508"/>
      <c r="T213" s="508"/>
      <c r="U213" s="506"/>
      <c r="V213" s="508"/>
      <c r="W213" s="508"/>
      <c r="X213" s="508"/>
      <c r="Y213" s="508"/>
      <c r="Z213" s="507"/>
      <c r="AA213" s="508"/>
      <c r="AB213" s="508"/>
      <c r="AC213" s="508"/>
      <c r="AD213" s="508"/>
      <c r="AE213" s="509"/>
    </row>
    <row r="214" spans="1:31" x14ac:dyDescent="0.25">
      <c r="A214" s="399">
        <v>203</v>
      </c>
      <c r="B214" s="508"/>
      <c r="C214" s="508"/>
      <c r="D214" s="508"/>
      <c r="E214" s="508"/>
      <c r="F214" s="503"/>
      <c r="G214" s="508"/>
      <c r="H214" s="508"/>
      <c r="I214" s="508"/>
      <c r="J214" s="508"/>
      <c r="K214" s="504"/>
      <c r="L214" s="508"/>
      <c r="M214" s="508"/>
      <c r="N214" s="508"/>
      <c r="O214" s="508"/>
      <c r="P214" s="505"/>
      <c r="Q214" s="508"/>
      <c r="R214" s="508"/>
      <c r="S214" s="508"/>
      <c r="T214" s="508"/>
      <c r="U214" s="506"/>
      <c r="V214" s="508"/>
      <c r="W214" s="508"/>
      <c r="X214" s="508"/>
      <c r="Y214" s="508"/>
      <c r="Z214" s="507"/>
      <c r="AA214" s="508"/>
      <c r="AB214" s="508"/>
      <c r="AC214" s="508"/>
      <c r="AD214" s="508"/>
      <c r="AE214" s="509"/>
    </row>
    <row r="215" spans="1:31" x14ac:dyDescent="0.25">
      <c r="A215" s="399">
        <v>204</v>
      </c>
      <c r="B215" s="508"/>
      <c r="C215" s="508"/>
      <c r="D215" s="508"/>
      <c r="E215" s="508"/>
      <c r="F215" s="503"/>
      <c r="G215" s="508"/>
      <c r="H215" s="508"/>
      <c r="I215" s="508"/>
      <c r="J215" s="508"/>
      <c r="K215" s="504"/>
      <c r="L215" s="508"/>
      <c r="M215" s="508"/>
      <c r="N215" s="508"/>
      <c r="O215" s="508"/>
      <c r="P215" s="505"/>
      <c r="Q215" s="508"/>
      <c r="R215" s="508"/>
      <c r="S215" s="508"/>
      <c r="T215" s="508"/>
      <c r="U215" s="506"/>
      <c r="V215" s="508"/>
      <c r="W215" s="508"/>
      <c r="X215" s="508"/>
      <c r="Y215" s="508"/>
      <c r="Z215" s="507"/>
      <c r="AA215" s="508"/>
      <c r="AB215" s="508"/>
      <c r="AC215" s="508"/>
      <c r="AD215" s="508"/>
      <c r="AE215" s="509"/>
    </row>
    <row r="216" spans="1:31" x14ac:dyDescent="0.25">
      <c r="A216" s="399">
        <v>205</v>
      </c>
      <c r="B216" s="508"/>
      <c r="C216" s="508"/>
      <c r="D216" s="508"/>
      <c r="E216" s="508"/>
      <c r="F216" s="503"/>
      <c r="G216" s="508"/>
      <c r="H216" s="508"/>
      <c r="I216" s="508"/>
      <c r="J216" s="508"/>
      <c r="K216" s="504"/>
      <c r="L216" s="508"/>
      <c r="M216" s="508"/>
      <c r="N216" s="508"/>
      <c r="O216" s="508"/>
      <c r="P216" s="505"/>
      <c r="Q216" s="508"/>
      <c r="R216" s="508"/>
      <c r="S216" s="508"/>
      <c r="T216" s="508"/>
      <c r="U216" s="506"/>
      <c r="V216" s="508"/>
      <c r="W216" s="508"/>
      <c r="X216" s="508"/>
      <c r="Y216" s="508"/>
      <c r="Z216" s="507"/>
      <c r="AA216" s="508"/>
      <c r="AB216" s="508"/>
      <c r="AC216" s="508"/>
      <c r="AD216" s="508"/>
      <c r="AE216" s="509"/>
    </row>
    <row r="217" spans="1:31" x14ac:dyDescent="0.25">
      <c r="A217" s="399">
        <v>206</v>
      </c>
      <c r="B217" s="508"/>
      <c r="C217" s="508"/>
      <c r="D217" s="508"/>
      <c r="E217" s="508"/>
      <c r="F217" s="503"/>
      <c r="G217" s="508"/>
      <c r="H217" s="508"/>
      <c r="I217" s="508"/>
      <c r="J217" s="508"/>
      <c r="K217" s="504"/>
      <c r="L217" s="508"/>
      <c r="M217" s="508"/>
      <c r="N217" s="508"/>
      <c r="O217" s="508"/>
      <c r="P217" s="505"/>
      <c r="Q217" s="508"/>
      <c r="R217" s="508"/>
      <c r="S217" s="508"/>
      <c r="T217" s="508"/>
      <c r="U217" s="506"/>
      <c r="V217" s="508"/>
      <c r="W217" s="508"/>
      <c r="X217" s="508"/>
      <c r="Y217" s="508"/>
      <c r="Z217" s="507"/>
      <c r="AA217" s="508"/>
      <c r="AB217" s="508"/>
      <c r="AC217" s="508"/>
      <c r="AD217" s="508"/>
      <c r="AE217" s="509"/>
    </row>
    <row r="218" spans="1:31" x14ac:dyDescent="0.25">
      <c r="A218" s="399">
        <v>207</v>
      </c>
      <c r="B218" s="508"/>
      <c r="C218" s="508"/>
      <c r="D218" s="508"/>
      <c r="E218" s="508"/>
      <c r="F218" s="503"/>
      <c r="G218" s="508"/>
      <c r="H218" s="508"/>
      <c r="I218" s="508"/>
      <c r="J218" s="508"/>
      <c r="K218" s="504"/>
      <c r="L218" s="508"/>
      <c r="M218" s="508"/>
      <c r="N218" s="508"/>
      <c r="O218" s="508"/>
      <c r="P218" s="505"/>
      <c r="Q218" s="508"/>
      <c r="R218" s="508"/>
      <c r="S218" s="508"/>
      <c r="T218" s="508"/>
      <c r="U218" s="506"/>
      <c r="V218" s="508"/>
      <c r="W218" s="508"/>
      <c r="X218" s="508"/>
      <c r="Y218" s="508"/>
      <c r="Z218" s="507"/>
      <c r="AA218" s="508"/>
      <c r="AB218" s="508"/>
      <c r="AC218" s="508"/>
      <c r="AD218" s="508"/>
      <c r="AE218" s="509"/>
    </row>
    <row r="219" spans="1:31" x14ac:dyDescent="0.25">
      <c r="A219" s="399">
        <v>208</v>
      </c>
      <c r="B219" s="508"/>
      <c r="C219" s="508"/>
      <c r="D219" s="508"/>
      <c r="E219" s="508"/>
      <c r="F219" s="503"/>
      <c r="G219" s="508"/>
      <c r="H219" s="508"/>
      <c r="I219" s="508"/>
      <c r="J219" s="508"/>
      <c r="K219" s="504"/>
      <c r="L219" s="508"/>
      <c r="M219" s="508"/>
      <c r="N219" s="508"/>
      <c r="O219" s="508"/>
      <c r="P219" s="505"/>
      <c r="Q219" s="508"/>
      <c r="R219" s="508"/>
      <c r="S219" s="508"/>
      <c r="T219" s="508"/>
      <c r="U219" s="506"/>
      <c r="V219" s="508"/>
      <c r="W219" s="508"/>
      <c r="X219" s="508"/>
      <c r="Y219" s="508"/>
      <c r="Z219" s="507"/>
      <c r="AA219" s="508"/>
      <c r="AB219" s="508"/>
      <c r="AC219" s="508"/>
      <c r="AD219" s="508"/>
      <c r="AE219" s="509"/>
    </row>
    <row r="220" spans="1:31" x14ac:dyDescent="0.25">
      <c r="A220" s="399">
        <v>209</v>
      </c>
      <c r="B220" s="508"/>
      <c r="C220" s="508"/>
      <c r="D220" s="508"/>
      <c r="E220" s="508"/>
      <c r="F220" s="503"/>
      <c r="G220" s="508"/>
      <c r="H220" s="508"/>
      <c r="I220" s="508"/>
      <c r="J220" s="508"/>
      <c r="K220" s="504"/>
      <c r="L220" s="508"/>
      <c r="M220" s="508"/>
      <c r="N220" s="508"/>
      <c r="O220" s="508"/>
      <c r="P220" s="505"/>
      <c r="Q220" s="508"/>
      <c r="R220" s="508"/>
      <c r="S220" s="508"/>
      <c r="T220" s="508"/>
      <c r="U220" s="506"/>
      <c r="V220" s="508"/>
      <c r="W220" s="508"/>
      <c r="X220" s="508"/>
      <c r="Y220" s="508"/>
      <c r="Z220" s="507"/>
      <c r="AA220" s="508"/>
      <c r="AB220" s="508"/>
      <c r="AC220" s="508"/>
      <c r="AD220" s="508"/>
      <c r="AE220" s="509"/>
    </row>
    <row r="221" spans="1:31" x14ac:dyDescent="0.25">
      <c r="A221" s="399">
        <v>210</v>
      </c>
      <c r="B221" s="508"/>
      <c r="C221" s="508"/>
      <c r="D221" s="508"/>
      <c r="E221" s="508"/>
      <c r="F221" s="503"/>
      <c r="G221" s="508"/>
      <c r="H221" s="508"/>
      <c r="I221" s="508"/>
      <c r="J221" s="508"/>
      <c r="K221" s="504"/>
      <c r="L221" s="508"/>
      <c r="M221" s="508"/>
      <c r="N221" s="508"/>
      <c r="O221" s="508"/>
      <c r="P221" s="505"/>
      <c r="Q221" s="508"/>
      <c r="R221" s="508"/>
      <c r="S221" s="508"/>
      <c r="T221" s="508"/>
      <c r="U221" s="506"/>
      <c r="V221" s="508"/>
      <c r="W221" s="508"/>
      <c r="X221" s="508"/>
      <c r="Y221" s="508"/>
      <c r="Z221" s="507"/>
      <c r="AA221" s="508"/>
      <c r="AB221" s="508"/>
      <c r="AC221" s="508"/>
      <c r="AD221" s="508"/>
      <c r="AE221" s="509"/>
    </row>
    <row r="222" spans="1:31" x14ac:dyDescent="0.25">
      <c r="A222" s="399">
        <v>211</v>
      </c>
      <c r="B222" s="508"/>
      <c r="C222" s="508"/>
      <c r="D222" s="508"/>
      <c r="E222" s="508"/>
      <c r="F222" s="503"/>
      <c r="G222" s="508"/>
      <c r="H222" s="508"/>
      <c r="I222" s="508"/>
      <c r="J222" s="508"/>
      <c r="K222" s="504"/>
      <c r="L222" s="508"/>
      <c r="M222" s="508"/>
      <c r="N222" s="508"/>
      <c r="O222" s="508"/>
      <c r="P222" s="505"/>
      <c r="Q222" s="508"/>
      <c r="R222" s="508"/>
      <c r="S222" s="508"/>
      <c r="T222" s="508"/>
      <c r="U222" s="506"/>
      <c r="V222" s="508"/>
      <c r="W222" s="508"/>
      <c r="X222" s="508"/>
      <c r="Y222" s="508"/>
      <c r="Z222" s="507"/>
      <c r="AA222" s="508"/>
      <c r="AB222" s="508"/>
      <c r="AC222" s="508"/>
      <c r="AD222" s="508"/>
      <c r="AE222" s="509"/>
    </row>
    <row r="223" spans="1:31" x14ac:dyDescent="0.25">
      <c r="A223" s="399">
        <v>212</v>
      </c>
      <c r="B223" s="508"/>
      <c r="C223" s="508"/>
      <c r="D223" s="508"/>
      <c r="E223" s="508"/>
      <c r="F223" s="503"/>
      <c r="G223" s="508"/>
      <c r="H223" s="508"/>
      <c r="I223" s="508"/>
      <c r="J223" s="508"/>
      <c r="K223" s="504"/>
      <c r="L223" s="508"/>
      <c r="M223" s="508"/>
      <c r="N223" s="508"/>
      <c r="O223" s="508"/>
      <c r="P223" s="505"/>
      <c r="Q223" s="508"/>
      <c r="R223" s="508"/>
      <c r="S223" s="508"/>
      <c r="T223" s="508"/>
      <c r="U223" s="506"/>
      <c r="V223" s="508"/>
      <c r="W223" s="508"/>
      <c r="X223" s="508"/>
      <c r="Y223" s="508"/>
      <c r="Z223" s="507"/>
      <c r="AA223" s="508"/>
      <c r="AB223" s="508"/>
      <c r="AC223" s="508"/>
      <c r="AD223" s="508"/>
      <c r="AE223" s="509"/>
    </row>
    <row r="224" spans="1:31" x14ac:dyDescent="0.25">
      <c r="A224" s="399">
        <v>213</v>
      </c>
      <c r="B224" s="508"/>
      <c r="C224" s="508"/>
      <c r="D224" s="508"/>
      <c r="E224" s="508"/>
      <c r="F224" s="503"/>
      <c r="G224" s="508"/>
      <c r="H224" s="508"/>
      <c r="I224" s="508"/>
      <c r="J224" s="508"/>
      <c r="K224" s="504"/>
      <c r="L224" s="508"/>
      <c r="M224" s="508"/>
      <c r="N224" s="508"/>
      <c r="O224" s="508"/>
      <c r="P224" s="505"/>
      <c r="Q224" s="508"/>
      <c r="R224" s="508"/>
      <c r="S224" s="508"/>
      <c r="T224" s="508"/>
      <c r="U224" s="506"/>
      <c r="V224" s="508"/>
      <c r="W224" s="508"/>
      <c r="X224" s="508"/>
      <c r="Y224" s="508"/>
      <c r="Z224" s="507"/>
      <c r="AA224" s="508"/>
      <c r="AB224" s="508"/>
      <c r="AC224" s="508"/>
      <c r="AD224" s="508"/>
      <c r="AE224" s="509"/>
    </row>
    <row r="225" spans="1:31" x14ac:dyDescent="0.25">
      <c r="A225" s="399">
        <v>214</v>
      </c>
      <c r="B225" s="508"/>
      <c r="C225" s="508"/>
      <c r="D225" s="508"/>
      <c r="E225" s="508"/>
      <c r="F225" s="503"/>
      <c r="G225" s="508"/>
      <c r="H225" s="508"/>
      <c r="I225" s="508"/>
      <c r="J225" s="508"/>
      <c r="K225" s="504"/>
      <c r="L225" s="508"/>
      <c r="M225" s="508"/>
      <c r="N225" s="508"/>
      <c r="O225" s="508"/>
      <c r="P225" s="505"/>
      <c r="Q225" s="508"/>
      <c r="R225" s="508"/>
      <c r="S225" s="508"/>
      <c r="T225" s="508"/>
      <c r="U225" s="506"/>
      <c r="V225" s="508"/>
      <c r="W225" s="508"/>
      <c r="X225" s="508"/>
      <c r="Y225" s="508"/>
      <c r="Z225" s="507"/>
      <c r="AA225" s="508"/>
      <c r="AB225" s="508"/>
      <c r="AC225" s="508"/>
      <c r="AD225" s="508"/>
      <c r="AE225" s="509"/>
    </row>
    <row r="226" spans="1:31" x14ac:dyDescent="0.25">
      <c r="A226" s="399">
        <v>215</v>
      </c>
      <c r="B226" s="508"/>
      <c r="C226" s="508"/>
      <c r="D226" s="508"/>
      <c r="E226" s="508"/>
      <c r="F226" s="503"/>
      <c r="G226" s="508"/>
      <c r="H226" s="508"/>
      <c r="I226" s="508"/>
      <c r="J226" s="508"/>
      <c r="K226" s="504"/>
      <c r="L226" s="508"/>
      <c r="M226" s="508"/>
      <c r="N226" s="508"/>
      <c r="O226" s="508"/>
      <c r="P226" s="505"/>
      <c r="Q226" s="508"/>
      <c r="R226" s="508"/>
      <c r="S226" s="508"/>
      <c r="T226" s="508"/>
      <c r="U226" s="506"/>
      <c r="V226" s="508"/>
      <c r="W226" s="508"/>
      <c r="X226" s="508"/>
      <c r="Y226" s="508"/>
      <c r="Z226" s="507"/>
      <c r="AA226" s="508"/>
      <c r="AB226" s="508"/>
      <c r="AC226" s="508"/>
      <c r="AD226" s="508"/>
      <c r="AE226" s="509"/>
    </row>
    <row r="227" spans="1:31" x14ac:dyDescent="0.25">
      <c r="A227" s="399">
        <v>216</v>
      </c>
      <c r="B227" s="508"/>
      <c r="C227" s="508"/>
      <c r="D227" s="508"/>
      <c r="E227" s="508"/>
      <c r="F227" s="503"/>
      <c r="G227" s="508"/>
      <c r="H227" s="508"/>
      <c r="I227" s="508"/>
      <c r="J227" s="508"/>
      <c r="K227" s="504"/>
      <c r="L227" s="508"/>
      <c r="M227" s="508"/>
      <c r="N227" s="508"/>
      <c r="O227" s="508"/>
      <c r="P227" s="505"/>
      <c r="Q227" s="508"/>
      <c r="R227" s="508"/>
      <c r="S227" s="508"/>
      <c r="T227" s="508"/>
      <c r="U227" s="506"/>
      <c r="V227" s="508"/>
      <c r="W227" s="508"/>
      <c r="X227" s="508"/>
      <c r="Y227" s="508"/>
      <c r="Z227" s="507"/>
      <c r="AA227" s="508"/>
      <c r="AB227" s="508"/>
      <c r="AC227" s="508"/>
      <c r="AD227" s="508"/>
      <c r="AE227" s="509"/>
    </row>
    <row r="228" spans="1:31" x14ac:dyDescent="0.25">
      <c r="A228" s="399">
        <v>217</v>
      </c>
      <c r="B228" s="508"/>
      <c r="C228" s="508"/>
      <c r="D228" s="508"/>
      <c r="E228" s="508"/>
      <c r="F228" s="503"/>
      <c r="G228" s="508"/>
      <c r="H228" s="508"/>
      <c r="I228" s="508"/>
      <c r="J228" s="508"/>
      <c r="K228" s="504"/>
      <c r="L228" s="508"/>
      <c r="M228" s="508"/>
      <c r="N228" s="508"/>
      <c r="O228" s="508"/>
      <c r="P228" s="505"/>
      <c r="Q228" s="508"/>
      <c r="R228" s="508"/>
      <c r="S228" s="508"/>
      <c r="T228" s="508"/>
      <c r="U228" s="506"/>
      <c r="V228" s="508"/>
      <c r="W228" s="508"/>
      <c r="X228" s="508"/>
      <c r="Y228" s="508"/>
      <c r="Z228" s="507"/>
      <c r="AA228" s="508"/>
      <c r="AB228" s="508"/>
      <c r="AC228" s="508"/>
      <c r="AD228" s="508"/>
      <c r="AE228" s="509"/>
    </row>
    <row r="229" spans="1:31" x14ac:dyDescent="0.25">
      <c r="A229" s="399">
        <v>218</v>
      </c>
      <c r="B229" s="508"/>
      <c r="C229" s="508"/>
      <c r="D229" s="508"/>
      <c r="E229" s="508"/>
      <c r="F229" s="503"/>
      <c r="G229" s="508"/>
      <c r="H229" s="508"/>
      <c r="I229" s="508"/>
      <c r="J229" s="508"/>
      <c r="K229" s="504"/>
      <c r="L229" s="508"/>
      <c r="M229" s="508"/>
      <c r="N229" s="508"/>
      <c r="O229" s="508"/>
      <c r="P229" s="505"/>
      <c r="Q229" s="508"/>
      <c r="R229" s="508"/>
      <c r="S229" s="508"/>
      <c r="T229" s="508"/>
      <c r="U229" s="506"/>
      <c r="V229" s="508"/>
      <c r="W229" s="508"/>
      <c r="X229" s="508"/>
      <c r="Y229" s="508"/>
      <c r="Z229" s="507"/>
      <c r="AA229" s="508"/>
      <c r="AB229" s="508"/>
      <c r="AC229" s="508"/>
      <c r="AD229" s="508"/>
      <c r="AE229" s="509"/>
    </row>
    <row r="230" spans="1:31" x14ac:dyDescent="0.25">
      <c r="A230" s="399">
        <v>219</v>
      </c>
      <c r="B230" s="508"/>
      <c r="C230" s="508"/>
      <c r="D230" s="508"/>
      <c r="E230" s="508"/>
      <c r="F230" s="503"/>
      <c r="G230" s="508"/>
      <c r="H230" s="508"/>
      <c r="I230" s="508"/>
      <c r="J230" s="508"/>
      <c r="K230" s="504"/>
      <c r="L230" s="508"/>
      <c r="M230" s="508"/>
      <c r="N230" s="508"/>
      <c r="O230" s="508"/>
      <c r="P230" s="505"/>
      <c r="Q230" s="508"/>
      <c r="R230" s="508"/>
      <c r="S230" s="508"/>
      <c r="T230" s="508"/>
      <c r="U230" s="506"/>
      <c r="V230" s="508"/>
      <c r="W230" s="508"/>
      <c r="X230" s="508"/>
      <c r="Y230" s="508"/>
      <c r="Z230" s="507"/>
      <c r="AA230" s="508"/>
      <c r="AB230" s="508"/>
      <c r="AC230" s="508"/>
      <c r="AD230" s="508"/>
      <c r="AE230" s="509"/>
    </row>
    <row r="231" spans="1:31" x14ac:dyDescent="0.25">
      <c r="A231" s="399">
        <v>220</v>
      </c>
      <c r="B231" s="508"/>
      <c r="C231" s="508"/>
      <c r="D231" s="508"/>
      <c r="E231" s="508"/>
      <c r="F231" s="503"/>
      <c r="G231" s="508"/>
      <c r="H231" s="508"/>
      <c r="I231" s="508"/>
      <c r="J231" s="508"/>
      <c r="K231" s="504"/>
      <c r="L231" s="508"/>
      <c r="M231" s="508"/>
      <c r="N231" s="508"/>
      <c r="O231" s="508"/>
      <c r="P231" s="505"/>
      <c r="Q231" s="508"/>
      <c r="R231" s="508"/>
      <c r="S231" s="508"/>
      <c r="T231" s="508"/>
      <c r="U231" s="506"/>
      <c r="V231" s="508"/>
      <c r="W231" s="508"/>
      <c r="X231" s="508"/>
      <c r="Y231" s="508"/>
      <c r="Z231" s="507"/>
      <c r="AA231" s="508"/>
      <c r="AB231" s="508"/>
      <c r="AC231" s="508"/>
      <c r="AD231" s="508"/>
      <c r="AE231" s="509"/>
    </row>
    <row r="232" spans="1:31" x14ac:dyDescent="0.25">
      <c r="A232" s="399">
        <v>221</v>
      </c>
      <c r="B232" s="508"/>
      <c r="C232" s="508"/>
      <c r="D232" s="508"/>
      <c r="E232" s="508"/>
      <c r="F232" s="503"/>
      <c r="G232" s="508"/>
      <c r="H232" s="508"/>
      <c r="I232" s="508"/>
      <c r="J232" s="508"/>
      <c r="K232" s="504"/>
      <c r="L232" s="508"/>
      <c r="M232" s="508"/>
      <c r="N232" s="508"/>
      <c r="O232" s="508"/>
      <c r="P232" s="505"/>
      <c r="Q232" s="508"/>
      <c r="R232" s="508"/>
      <c r="S232" s="508"/>
      <c r="T232" s="508"/>
      <c r="U232" s="506"/>
      <c r="V232" s="508"/>
      <c r="W232" s="508"/>
      <c r="X232" s="508"/>
      <c r="Y232" s="508"/>
      <c r="Z232" s="507"/>
      <c r="AA232" s="508"/>
      <c r="AB232" s="508"/>
      <c r="AC232" s="508"/>
      <c r="AD232" s="508"/>
      <c r="AE232" s="509"/>
    </row>
    <row r="233" spans="1:31" x14ac:dyDescent="0.25">
      <c r="A233" s="399">
        <v>222</v>
      </c>
      <c r="B233" s="508"/>
      <c r="C233" s="508"/>
      <c r="D233" s="508"/>
      <c r="E233" s="508"/>
      <c r="F233" s="503"/>
      <c r="G233" s="508"/>
      <c r="H233" s="508"/>
      <c r="I233" s="508"/>
      <c r="J233" s="508"/>
      <c r="K233" s="504"/>
      <c r="L233" s="508"/>
      <c r="M233" s="508"/>
      <c r="N233" s="508"/>
      <c r="O233" s="508"/>
      <c r="P233" s="505"/>
      <c r="Q233" s="508"/>
      <c r="R233" s="508"/>
      <c r="S233" s="508"/>
      <c r="T233" s="508"/>
      <c r="U233" s="506"/>
      <c r="V233" s="508"/>
      <c r="W233" s="508"/>
      <c r="X233" s="508"/>
      <c r="Y233" s="508"/>
      <c r="Z233" s="507"/>
      <c r="AA233" s="508"/>
      <c r="AB233" s="508"/>
      <c r="AC233" s="508"/>
      <c r="AD233" s="508"/>
      <c r="AE233" s="509"/>
    </row>
    <row r="234" spans="1:31" x14ac:dyDescent="0.25">
      <c r="A234" s="399">
        <v>223</v>
      </c>
      <c r="B234" s="508"/>
      <c r="C234" s="508"/>
      <c r="D234" s="508"/>
      <c r="E234" s="508"/>
      <c r="F234" s="503"/>
      <c r="G234" s="508"/>
      <c r="H234" s="508"/>
      <c r="I234" s="508"/>
      <c r="J234" s="508"/>
      <c r="K234" s="504"/>
      <c r="L234" s="508"/>
      <c r="M234" s="508"/>
      <c r="N234" s="508"/>
      <c r="O234" s="508"/>
      <c r="P234" s="505"/>
      <c r="Q234" s="508"/>
      <c r="R234" s="508"/>
      <c r="S234" s="508"/>
      <c r="T234" s="508"/>
      <c r="U234" s="506"/>
      <c r="V234" s="508"/>
      <c r="W234" s="508"/>
      <c r="X234" s="508"/>
      <c r="Y234" s="508"/>
      <c r="Z234" s="507"/>
      <c r="AA234" s="508"/>
      <c r="AB234" s="508"/>
      <c r="AC234" s="508"/>
      <c r="AD234" s="508"/>
      <c r="AE234" s="509"/>
    </row>
    <row r="235" spans="1:31" x14ac:dyDescent="0.25">
      <c r="A235" s="399">
        <v>224</v>
      </c>
      <c r="B235" s="508"/>
      <c r="C235" s="508"/>
      <c r="D235" s="508"/>
      <c r="E235" s="508"/>
      <c r="F235" s="503"/>
      <c r="G235" s="508"/>
      <c r="H235" s="508"/>
      <c r="I235" s="508"/>
      <c r="J235" s="508"/>
      <c r="K235" s="504"/>
      <c r="L235" s="508"/>
      <c r="M235" s="508"/>
      <c r="N235" s="508"/>
      <c r="O235" s="508"/>
      <c r="P235" s="505"/>
      <c r="Q235" s="508"/>
      <c r="R235" s="508"/>
      <c r="S235" s="508"/>
      <c r="T235" s="508"/>
      <c r="U235" s="506"/>
      <c r="V235" s="508"/>
      <c r="W235" s="508"/>
      <c r="X235" s="508"/>
      <c r="Y235" s="508"/>
      <c r="Z235" s="507"/>
      <c r="AA235" s="508"/>
      <c r="AB235" s="508"/>
      <c r="AC235" s="508"/>
      <c r="AD235" s="508"/>
      <c r="AE235" s="509"/>
    </row>
    <row r="236" spans="1:31" x14ac:dyDescent="0.25">
      <c r="A236" s="399">
        <v>225</v>
      </c>
      <c r="B236" s="508"/>
      <c r="C236" s="508"/>
      <c r="D236" s="508"/>
      <c r="E236" s="508"/>
      <c r="F236" s="503"/>
      <c r="G236" s="508"/>
      <c r="H236" s="508"/>
      <c r="I236" s="508"/>
      <c r="J236" s="508"/>
      <c r="K236" s="504"/>
      <c r="L236" s="508"/>
      <c r="M236" s="508"/>
      <c r="N236" s="508"/>
      <c r="O236" s="508"/>
      <c r="P236" s="505"/>
      <c r="Q236" s="508"/>
      <c r="R236" s="508"/>
      <c r="S236" s="508"/>
      <c r="T236" s="508"/>
      <c r="U236" s="506"/>
      <c r="V236" s="508"/>
      <c r="W236" s="508"/>
      <c r="X236" s="508"/>
      <c r="Y236" s="508"/>
      <c r="Z236" s="507"/>
      <c r="AA236" s="508"/>
      <c r="AB236" s="508"/>
      <c r="AC236" s="508"/>
      <c r="AD236" s="508"/>
      <c r="AE236" s="509"/>
    </row>
    <row r="237" spans="1:31" x14ac:dyDescent="0.25">
      <c r="A237" s="399">
        <v>226</v>
      </c>
      <c r="B237" s="508"/>
      <c r="C237" s="508"/>
      <c r="D237" s="508"/>
      <c r="E237" s="508"/>
      <c r="F237" s="503"/>
      <c r="G237" s="508"/>
      <c r="H237" s="508"/>
      <c r="I237" s="508"/>
      <c r="J237" s="508"/>
      <c r="K237" s="504"/>
      <c r="L237" s="508"/>
      <c r="M237" s="508"/>
      <c r="N237" s="508"/>
      <c r="O237" s="508"/>
      <c r="P237" s="505"/>
      <c r="Q237" s="508"/>
      <c r="R237" s="508"/>
      <c r="S237" s="508"/>
      <c r="T237" s="508"/>
      <c r="U237" s="506"/>
      <c r="V237" s="508"/>
      <c r="W237" s="508"/>
      <c r="X237" s="508"/>
      <c r="Y237" s="508"/>
      <c r="Z237" s="507"/>
      <c r="AA237" s="508"/>
      <c r="AB237" s="508"/>
      <c r="AC237" s="508"/>
      <c r="AD237" s="508"/>
      <c r="AE237" s="509"/>
    </row>
    <row r="238" spans="1:31" x14ac:dyDescent="0.25">
      <c r="A238" s="399">
        <v>227</v>
      </c>
      <c r="B238" s="508"/>
      <c r="C238" s="508"/>
      <c r="D238" s="508"/>
      <c r="E238" s="508"/>
      <c r="F238" s="503"/>
      <c r="G238" s="508"/>
      <c r="H238" s="508"/>
      <c r="I238" s="508"/>
      <c r="J238" s="508"/>
      <c r="K238" s="504"/>
      <c r="L238" s="508"/>
      <c r="M238" s="508"/>
      <c r="N238" s="508"/>
      <c r="O238" s="508"/>
      <c r="P238" s="505"/>
      <c r="Q238" s="508"/>
      <c r="R238" s="508"/>
      <c r="S238" s="508"/>
      <c r="T238" s="508"/>
      <c r="U238" s="506"/>
      <c r="V238" s="508"/>
      <c r="W238" s="508"/>
      <c r="X238" s="508"/>
      <c r="Y238" s="508"/>
      <c r="Z238" s="507"/>
      <c r="AA238" s="508"/>
      <c r="AB238" s="508"/>
      <c r="AC238" s="508"/>
      <c r="AD238" s="508"/>
      <c r="AE238" s="509"/>
    </row>
    <row r="239" spans="1:31" x14ac:dyDescent="0.25">
      <c r="A239" s="399">
        <v>228</v>
      </c>
      <c r="B239" s="508"/>
      <c r="C239" s="508"/>
      <c r="D239" s="508"/>
      <c r="E239" s="508"/>
      <c r="F239" s="503"/>
      <c r="G239" s="508"/>
      <c r="H239" s="508"/>
      <c r="I239" s="508"/>
      <c r="J239" s="508"/>
      <c r="K239" s="504"/>
      <c r="L239" s="508"/>
      <c r="M239" s="508"/>
      <c r="N239" s="508"/>
      <c r="O239" s="508"/>
      <c r="P239" s="505"/>
      <c r="Q239" s="508"/>
      <c r="R239" s="508"/>
      <c r="S239" s="508"/>
      <c r="T239" s="508"/>
      <c r="U239" s="506"/>
      <c r="V239" s="508"/>
      <c r="W239" s="508"/>
      <c r="X239" s="508"/>
      <c r="Y239" s="508"/>
      <c r="Z239" s="507"/>
      <c r="AA239" s="508"/>
      <c r="AB239" s="508"/>
      <c r="AC239" s="508"/>
      <c r="AD239" s="508"/>
      <c r="AE239" s="509"/>
    </row>
    <row r="240" spans="1:31" x14ac:dyDescent="0.25">
      <c r="A240" s="399">
        <v>229</v>
      </c>
      <c r="B240" s="508"/>
      <c r="C240" s="508"/>
      <c r="D240" s="508"/>
      <c r="E240" s="508"/>
      <c r="F240" s="503"/>
      <c r="G240" s="508"/>
      <c r="H240" s="508"/>
      <c r="I240" s="508"/>
      <c r="J240" s="508"/>
      <c r="K240" s="504"/>
      <c r="L240" s="508"/>
      <c r="M240" s="508"/>
      <c r="N240" s="508"/>
      <c r="O240" s="508"/>
      <c r="P240" s="505"/>
      <c r="Q240" s="508"/>
      <c r="R240" s="508"/>
      <c r="S240" s="508"/>
      <c r="T240" s="508"/>
      <c r="U240" s="506"/>
      <c r="V240" s="508"/>
      <c r="W240" s="508"/>
      <c r="X240" s="508"/>
      <c r="Y240" s="508"/>
      <c r="Z240" s="507"/>
      <c r="AA240" s="508"/>
      <c r="AB240" s="508"/>
      <c r="AC240" s="508"/>
      <c r="AD240" s="508"/>
      <c r="AE240" s="509"/>
    </row>
    <row r="241" spans="1:31" x14ac:dyDescent="0.25">
      <c r="A241" s="399">
        <v>230</v>
      </c>
      <c r="B241" s="508"/>
      <c r="C241" s="508"/>
      <c r="D241" s="508"/>
      <c r="E241" s="508"/>
      <c r="F241" s="503"/>
      <c r="G241" s="508"/>
      <c r="H241" s="508"/>
      <c r="I241" s="508"/>
      <c r="J241" s="508"/>
      <c r="K241" s="504"/>
      <c r="L241" s="508"/>
      <c r="M241" s="508"/>
      <c r="N241" s="508"/>
      <c r="O241" s="508"/>
      <c r="P241" s="505"/>
      <c r="Q241" s="508"/>
      <c r="R241" s="508"/>
      <c r="S241" s="508"/>
      <c r="T241" s="508"/>
      <c r="U241" s="506"/>
      <c r="V241" s="508"/>
      <c r="W241" s="508"/>
      <c r="X241" s="508"/>
      <c r="Y241" s="508"/>
      <c r="Z241" s="507"/>
      <c r="AA241" s="508"/>
      <c r="AB241" s="508"/>
      <c r="AC241" s="508"/>
      <c r="AD241" s="508"/>
      <c r="AE241" s="509"/>
    </row>
    <row r="242" spans="1:31" x14ac:dyDescent="0.25">
      <c r="A242" s="399">
        <v>231</v>
      </c>
      <c r="B242" s="508"/>
      <c r="C242" s="508"/>
      <c r="D242" s="508"/>
      <c r="E242" s="508"/>
      <c r="F242" s="503"/>
      <c r="G242" s="508"/>
      <c r="H242" s="508"/>
      <c r="I242" s="508"/>
      <c r="J242" s="508"/>
      <c r="K242" s="504"/>
      <c r="L242" s="508"/>
      <c r="M242" s="508"/>
      <c r="N242" s="508"/>
      <c r="O242" s="508"/>
      <c r="P242" s="505"/>
      <c r="Q242" s="508"/>
      <c r="R242" s="508"/>
      <c r="S242" s="508"/>
      <c r="T242" s="508"/>
      <c r="U242" s="506"/>
      <c r="V242" s="508"/>
      <c r="W242" s="508"/>
      <c r="X242" s="508"/>
      <c r="Y242" s="508"/>
      <c r="Z242" s="507"/>
      <c r="AA242" s="508"/>
      <c r="AB242" s="508"/>
      <c r="AC242" s="508"/>
      <c r="AD242" s="508"/>
      <c r="AE242" s="509"/>
    </row>
    <row r="243" spans="1:31" x14ac:dyDescent="0.25">
      <c r="A243" s="399">
        <v>232</v>
      </c>
      <c r="B243" s="508"/>
      <c r="C243" s="508"/>
      <c r="D243" s="508"/>
      <c r="E243" s="508"/>
      <c r="F243" s="503"/>
      <c r="G243" s="508"/>
      <c r="H243" s="508"/>
      <c r="I243" s="508"/>
      <c r="J243" s="508"/>
      <c r="K243" s="504"/>
      <c r="L243" s="508"/>
      <c r="M243" s="508"/>
      <c r="N243" s="508"/>
      <c r="O243" s="508"/>
      <c r="P243" s="505"/>
      <c r="Q243" s="508"/>
      <c r="R243" s="508"/>
      <c r="S243" s="508"/>
      <c r="T243" s="508"/>
      <c r="U243" s="506"/>
      <c r="V243" s="508"/>
      <c r="W243" s="508"/>
      <c r="X243" s="508"/>
      <c r="Y243" s="508"/>
      <c r="Z243" s="507"/>
      <c r="AA243" s="508"/>
      <c r="AB243" s="508"/>
      <c r="AC243" s="508"/>
      <c r="AD243" s="508"/>
      <c r="AE243" s="509"/>
    </row>
    <row r="244" spans="1:31" x14ac:dyDescent="0.25">
      <c r="A244" s="399">
        <v>233</v>
      </c>
      <c r="B244" s="508"/>
      <c r="C244" s="508"/>
      <c r="D244" s="508"/>
      <c r="E244" s="508"/>
      <c r="F244" s="503"/>
      <c r="G244" s="508"/>
      <c r="H244" s="508"/>
      <c r="I244" s="508"/>
      <c r="J244" s="508"/>
      <c r="K244" s="504"/>
      <c r="L244" s="508"/>
      <c r="M244" s="508"/>
      <c r="N244" s="508"/>
      <c r="O244" s="508"/>
      <c r="P244" s="505"/>
      <c r="Q244" s="508"/>
      <c r="R244" s="508"/>
      <c r="S244" s="508"/>
      <c r="T244" s="508"/>
      <c r="U244" s="506"/>
      <c r="V244" s="508"/>
      <c r="W244" s="508"/>
      <c r="X244" s="508"/>
      <c r="Y244" s="508"/>
      <c r="Z244" s="507"/>
      <c r="AA244" s="508"/>
      <c r="AB244" s="508"/>
      <c r="AC244" s="508"/>
      <c r="AD244" s="508"/>
      <c r="AE244" s="509"/>
    </row>
    <row r="245" spans="1:31" x14ac:dyDescent="0.25">
      <c r="A245" s="399">
        <v>234</v>
      </c>
      <c r="B245" s="508"/>
      <c r="C245" s="508"/>
      <c r="D245" s="508"/>
      <c r="E245" s="508"/>
      <c r="F245" s="503"/>
      <c r="G245" s="508"/>
      <c r="H245" s="508"/>
      <c r="I245" s="508"/>
      <c r="J245" s="508"/>
      <c r="K245" s="504"/>
      <c r="L245" s="508"/>
      <c r="M245" s="508"/>
      <c r="N245" s="508"/>
      <c r="O245" s="508"/>
      <c r="P245" s="505"/>
      <c r="Q245" s="508"/>
      <c r="R245" s="508"/>
      <c r="S245" s="508"/>
      <c r="T245" s="508"/>
      <c r="U245" s="506"/>
      <c r="V245" s="508"/>
      <c r="W245" s="508"/>
      <c r="X245" s="508"/>
      <c r="Y245" s="508"/>
      <c r="Z245" s="507"/>
      <c r="AA245" s="508"/>
      <c r="AB245" s="508"/>
      <c r="AC245" s="508"/>
      <c r="AD245" s="508"/>
      <c r="AE245" s="509"/>
    </row>
    <row r="246" spans="1:31" x14ac:dyDescent="0.25">
      <c r="A246" s="399">
        <v>235</v>
      </c>
      <c r="B246" s="508"/>
      <c r="C246" s="508"/>
      <c r="D246" s="508"/>
      <c r="E246" s="508"/>
      <c r="F246" s="503"/>
      <c r="G246" s="508"/>
      <c r="H246" s="508"/>
      <c r="I246" s="508"/>
      <c r="J246" s="508"/>
      <c r="K246" s="504"/>
      <c r="L246" s="508"/>
      <c r="M246" s="508"/>
      <c r="N246" s="508"/>
      <c r="O246" s="508"/>
      <c r="P246" s="505"/>
      <c r="Q246" s="508"/>
      <c r="R246" s="508"/>
      <c r="S246" s="508"/>
      <c r="T246" s="508"/>
      <c r="U246" s="506"/>
      <c r="V246" s="508"/>
      <c r="W246" s="508"/>
      <c r="X246" s="508"/>
      <c r="Y246" s="508"/>
      <c r="Z246" s="507"/>
      <c r="AA246" s="508"/>
      <c r="AB246" s="508"/>
      <c r="AC246" s="508"/>
      <c r="AD246" s="508"/>
      <c r="AE246" s="509"/>
    </row>
    <row r="247" spans="1:31" x14ac:dyDescent="0.25">
      <c r="A247" s="399">
        <v>236</v>
      </c>
      <c r="B247" s="508"/>
      <c r="C247" s="508"/>
      <c r="D247" s="508"/>
      <c r="E247" s="508"/>
      <c r="F247" s="503"/>
      <c r="G247" s="508"/>
      <c r="H247" s="508"/>
      <c r="I247" s="508"/>
      <c r="J247" s="508"/>
      <c r="K247" s="504"/>
      <c r="L247" s="508"/>
      <c r="M247" s="508"/>
      <c r="N247" s="508"/>
      <c r="O247" s="508"/>
      <c r="P247" s="505"/>
      <c r="Q247" s="508"/>
      <c r="R247" s="508"/>
      <c r="S247" s="508"/>
      <c r="T247" s="508"/>
      <c r="U247" s="506"/>
      <c r="V247" s="508"/>
      <c r="W247" s="508"/>
      <c r="X247" s="508"/>
      <c r="Y247" s="508"/>
      <c r="Z247" s="507"/>
      <c r="AA247" s="508"/>
      <c r="AB247" s="508"/>
      <c r="AC247" s="508"/>
      <c r="AD247" s="508"/>
      <c r="AE247" s="509"/>
    </row>
    <row r="248" spans="1:31" x14ac:dyDescent="0.25">
      <c r="A248" s="399">
        <v>237</v>
      </c>
      <c r="B248" s="508"/>
      <c r="C248" s="508"/>
      <c r="D248" s="508"/>
      <c r="E248" s="508"/>
      <c r="F248" s="503"/>
      <c r="G248" s="508"/>
      <c r="H248" s="508"/>
      <c r="I248" s="508"/>
      <c r="J248" s="508"/>
      <c r="K248" s="504"/>
      <c r="L248" s="508"/>
      <c r="M248" s="508"/>
      <c r="N248" s="508"/>
      <c r="O248" s="508"/>
      <c r="P248" s="505"/>
      <c r="Q248" s="508"/>
      <c r="R248" s="508"/>
      <c r="S248" s="508"/>
      <c r="T248" s="508"/>
      <c r="U248" s="506"/>
      <c r="V248" s="508"/>
      <c r="W248" s="508"/>
      <c r="X248" s="508"/>
      <c r="Y248" s="508"/>
      <c r="Z248" s="507"/>
      <c r="AA248" s="508"/>
      <c r="AB248" s="508"/>
      <c r="AC248" s="508"/>
      <c r="AD248" s="508"/>
      <c r="AE248" s="509"/>
    </row>
    <row r="249" spans="1:31" x14ac:dyDescent="0.25">
      <c r="A249" s="399">
        <v>238</v>
      </c>
      <c r="B249" s="508"/>
      <c r="C249" s="508"/>
      <c r="D249" s="508"/>
      <c r="E249" s="508"/>
      <c r="F249" s="503"/>
      <c r="G249" s="508"/>
      <c r="H249" s="508"/>
      <c r="I249" s="508"/>
      <c r="J249" s="508"/>
      <c r="K249" s="504"/>
      <c r="L249" s="508"/>
      <c r="M249" s="508"/>
      <c r="N249" s="508"/>
      <c r="O249" s="508"/>
      <c r="P249" s="505"/>
      <c r="Q249" s="508"/>
      <c r="R249" s="508"/>
      <c r="S249" s="508"/>
      <c r="T249" s="508"/>
      <c r="U249" s="506"/>
      <c r="V249" s="508"/>
      <c r="W249" s="508"/>
      <c r="X249" s="508"/>
      <c r="Y249" s="508"/>
      <c r="Z249" s="507"/>
      <c r="AA249" s="508"/>
      <c r="AB249" s="508"/>
      <c r="AC249" s="508"/>
      <c r="AD249" s="508"/>
      <c r="AE249" s="509"/>
    </row>
    <row r="250" spans="1:31" x14ac:dyDescent="0.25">
      <c r="A250" s="399">
        <v>239</v>
      </c>
      <c r="B250" s="508"/>
      <c r="C250" s="508"/>
      <c r="D250" s="508"/>
      <c r="E250" s="508"/>
      <c r="F250" s="503"/>
      <c r="G250" s="508"/>
      <c r="H250" s="508"/>
      <c r="I250" s="508"/>
      <c r="J250" s="508"/>
      <c r="K250" s="504"/>
      <c r="L250" s="508"/>
      <c r="M250" s="508"/>
      <c r="N250" s="508"/>
      <c r="O250" s="508"/>
      <c r="P250" s="505"/>
      <c r="Q250" s="508"/>
      <c r="R250" s="508"/>
      <c r="S250" s="508"/>
      <c r="T250" s="508"/>
      <c r="U250" s="506"/>
      <c r="V250" s="508"/>
      <c r="W250" s="508"/>
      <c r="X250" s="508"/>
      <c r="Y250" s="508"/>
      <c r="Z250" s="507"/>
      <c r="AA250" s="508"/>
      <c r="AB250" s="508"/>
      <c r="AC250" s="508"/>
      <c r="AD250" s="508"/>
      <c r="AE250" s="509"/>
    </row>
    <row r="251" spans="1:31" x14ac:dyDescent="0.25">
      <c r="A251" s="399">
        <v>240</v>
      </c>
      <c r="B251" s="508"/>
      <c r="C251" s="508"/>
      <c r="D251" s="508"/>
      <c r="E251" s="508"/>
      <c r="F251" s="503"/>
      <c r="G251" s="508"/>
      <c r="H251" s="508"/>
      <c r="I251" s="508"/>
      <c r="J251" s="508"/>
      <c r="K251" s="504"/>
      <c r="L251" s="508"/>
      <c r="M251" s="508"/>
      <c r="N251" s="508"/>
      <c r="O251" s="508"/>
      <c r="P251" s="505"/>
      <c r="Q251" s="508"/>
      <c r="R251" s="508"/>
      <c r="S251" s="508"/>
      <c r="T251" s="508"/>
      <c r="U251" s="506"/>
      <c r="V251" s="508"/>
      <c r="W251" s="508"/>
      <c r="X251" s="508"/>
      <c r="Y251" s="508"/>
      <c r="Z251" s="507"/>
      <c r="AA251" s="508"/>
      <c r="AB251" s="508"/>
      <c r="AC251" s="508"/>
      <c r="AD251" s="508"/>
      <c r="AE251" s="509"/>
    </row>
    <row r="252" spans="1:31" x14ac:dyDescent="0.25">
      <c r="A252" s="399">
        <v>241</v>
      </c>
      <c r="B252" s="508"/>
      <c r="C252" s="508"/>
      <c r="D252" s="508"/>
      <c r="E252" s="508"/>
      <c r="F252" s="503"/>
      <c r="G252" s="508"/>
      <c r="H252" s="508"/>
      <c r="I252" s="508"/>
      <c r="J252" s="508"/>
      <c r="K252" s="504"/>
      <c r="L252" s="508"/>
      <c r="M252" s="508"/>
      <c r="N252" s="508"/>
      <c r="O252" s="508"/>
      <c r="P252" s="505"/>
      <c r="Q252" s="508"/>
      <c r="R252" s="508"/>
      <c r="S252" s="508"/>
      <c r="T252" s="508"/>
      <c r="U252" s="506"/>
      <c r="V252" s="508"/>
      <c r="W252" s="508"/>
      <c r="X252" s="508"/>
      <c r="Y252" s="508"/>
      <c r="Z252" s="507"/>
      <c r="AA252" s="508"/>
      <c r="AB252" s="508"/>
      <c r="AC252" s="508"/>
      <c r="AD252" s="508"/>
      <c r="AE252" s="509"/>
    </row>
    <row r="253" spans="1:31" x14ac:dyDescent="0.25">
      <c r="A253" s="399">
        <v>242</v>
      </c>
      <c r="B253" s="508"/>
      <c r="C253" s="508"/>
      <c r="D253" s="508"/>
      <c r="E253" s="508"/>
      <c r="F253" s="503"/>
      <c r="G253" s="508"/>
      <c r="H253" s="508"/>
      <c r="I253" s="508"/>
      <c r="J253" s="508"/>
      <c r="K253" s="504"/>
      <c r="L253" s="508"/>
      <c r="M253" s="508"/>
      <c r="N253" s="508"/>
      <c r="O253" s="508"/>
      <c r="P253" s="505"/>
      <c r="Q253" s="508"/>
      <c r="R253" s="508"/>
      <c r="S253" s="508"/>
      <c r="T253" s="508"/>
      <c r="U253" s="506"/>
      <c r="V253" s="508"/>
      <c r="W253" s="508"/>
      <c r="X253" s="508"/>
      <c r="Y253" s="508"/>
      <c r="Z253" s="507"/>
      <c r="AA253" s="508"/>
      <c r="AB253" s="508"/>
      <c r="AC253" s="508"/>
      <c r="AD253" s="508"/>
      <c r="AE253" s="509"/>
    </row>
    <row r="254" spans="1:31" x14ac:dyDescent="0.25">
      <c r="A254" s="399">
        <v>243</v>
      </c>
      <c r="B254" s="508"/>
      <c r="C254" s="508"/>
      <c r="D254" s="508"/>
      <c r="E254" s="508"/>
      <c r="F254" s="503"/>
      <c r="G254" s="508"/>
      <c r="H254" s="508"/>
      <c r="I254" s="508"/>
      <c r="J254" s="508"/>
      <c r="K254" s="504"/>
      <c r="L254" s="508"/>
      <c r="M254" s="508"/>
      <c r="N254" s="508"/>
      <c r="O254" s="508"/>
      <c r="P254" s="505"/>
      <c r="Q254" s="508"/>
      <c r="R254" s="508"/>
      <c r="S254" s="508"/>
      <c r="T254" s="508"/>
      <c r="U254" s="506"/>
      <c r="V254" s="508"/>
      <c r="W254" s="508"/>
      <c r="X254" s="508"/>
      <c r="Y254" s="508"/>
      <c r="Z254" s="507"/>
      <c r="AA254" s="508"/>
      <c r="AB254" s="508"/>
      <c r="AC254" s="508"/>
      <c r="AD254" s="508"/>
      <c r="AE254" s="509"/>
    </row>
    <row r="255" spans="1:31" x14ac:dyDescent="0.25">
      <c r="A255" s="399">
        <v>244</v>
      </c>
      <c r="B255" s="508"/>
      <c r="C255" s="508"/>
      <c r="D255" s="508"/>
      <c r="E255" s="508"/>
      <c r="F255" s="503"/>
      <c r="G255" s="508"/>
      <c r="H255" s="508"/>
      <c r="I255" s="508"/>
      <c r="J255" s="508"/>
      <c r="K255" s="504"/>
      <c r="L255" s="508"/>
      <c r="M255" s="508"/>
      <c r="N255" s="508"/>
      <c r="O255" s="508"/>
      <c r="P255" s="505"/>
      <c r="Q255" s="508"/>
      <c r="R255" s="508"/>
      <c r="S255" s="508"/>
      <c r="T255" s="508"/>
      <c r="U255" s="506"/>
      <c r="V255" s="508"/>
      <c r="W255" s="508"/>
      <c r="X255" s="508"/>
      <c r="Y255" s="508"/>
      <c r="Z255" s="507"/>
      <c r="AA255" s="508"/>
      <c r="AB255" s="508"/>
      <c r="AC255" s="508"/>
      <c r="AD255" s="508"/>
      <c r="AE255" s="509"/>
    </row>
    <row r="256" spans="1:31" x14ac:dyDescent="0.25">
      <c r="A256" s="399">
        <v>245</v>
      </c>
      <c r="B256" s="508"/>
      <c r="C256" s="508"/>
      <c r="D256" s="508"/>
      <c r="E256" s="508"/>
      <c r="F256" s="503"/>
      <c r="G256" s="508"/>
      <c r="H256" s="508"/>
      <c r="I256" s="508"/>
      <c r="J256" s="508"/>
      <c r="K256" s="504"/>
      <c r="L256" s="508"/>
      <c r="M256" s="508"/>
      <c r="N256" s="508"/>
      <c r="O256" s="508"/>
      <c r="P256" s="505"/>
      <c r="Q256" s="508"/>
      <c r="R256" s="508"/>
      <c r="S256" s="508"/>
      <c r="T256" s="508"/>
      <c r="U256" s="506"/>
      <c r="V256" s="508"/>
      <c r="W256" s="508"/>
      <c r="X256" s="508"/>
      <c r="Y256" s="508"/>
      <c r="Z256" s="507"/>
      <c r="AA256" s="508"/>
      <c r="AB256" s="508"/>
      <c r="AC256" s="508"/>
      <c r="AD256" s="508"/>
      <c r="AE256" s="509"/>
    </row>
    <row r="257" spans="1:31" x14ac:dyDescent="0.25">
      <c r="A257" s="399">
        <v>246</v>
      </c>
      <c r="B257" s="508"/>
      <c r="C257" s="508"/>
      <c r="D257" s="508"/>
      <c r="E257" s="508"/>
      <c r="F257" s="503"/>
      <c r="G257" s="508"/>
      <c r="H257" s="508"/>
      <c r="I257" s="508"/>
      <c r="J257" s="508"/>
      <c r="K257" s="504"/>
      <c r="L257" s="508"/>
      <c r="M257" s="508"/>
      <c r="N257" s="508"/>
      <c r="O257" s="508"/>
      <c r="P257" s="505"/>
      <c r="Q257" s="508"/>
      <c r="R257" s="508"/>
      <c r="S257" s="508"/>
      <c r="T257" s="508"/>
      <c r="U257" s="506"/>
      <c r="V257" s="508"/>
      <c r="W257" s="508"/>
      <c r="X257" s="508"/>
      <c r="Y257" s="508"/>
      <c r="Z257" s="507"/>
      <c r="AA257" s="508"/>
      <c r="AB257" s="508"/>
      <c r="AC257" s="508"/>
      <c r="AD257" s="508"/>
      <c r="AE257" s="509"/>
    </row>
    <row r="258" spans="1:31" x14ac:dyDescent="0.25">
      <c r="A258" s="399">
        <v>247</v>
      </c>
      <c r="B258" s="508"/>
      <c r="C258" s="508"/>
      <c r="D258" s="508"/>
      <c r="E258" s="508"/>
      <c r="F258" s="503"/>
      <c r="G258" s="508"/>
      <c r="H258" s="508"/>
      <c r="I258" s="508"/>
      <c r="J258" s="508"/>
      <c r="K258" s="504"/>
      <c r="L258" s="508"/>
      <c r="M258" s="508"/>
      <c r="N258" s="508"/>
      <c r="O258" s="508"/>
      <c r="P258" s="505"/>
      <c r="Q258" s="508"/>
      <c r="R258" s="508"/>
      <c r="S258" s="508"/>
      <c r="T258" s="508"/>
      <c r="U258" s="506"/>
      <c r="V258" s="508"/>
      <c r="W258" s="508"/>
      <c r="X258" s="508"/>
      <c r="Y258" s="508"/>
      <c r="Z258" s="507"/>
      <c r="AA258" s="508"/>
      <c r="AB258" s="508"/>
      <c r="AC258" s="508"/>
      <c r="AD258" s="508"/>
      <c r="AE258" s="509"/>
    </row>
    <row r="259" spans="1:31" x14ac:dyDescent="0.25">
      <c r="A259" s="399">
        <v>248</v>
      </c>
      <c r="B259" s="508"/>
      <c r="C259" s="508"/>
      <c r="D259" s="508"/>
      <c r="E259" s="508"/>
      <c r="F259" s="503"/>
      <c r="G259" s="508"/>
      <c r="H259" s="508"/>
      <c r="I259" s="508"/>
      <c r="J259" s="508"/>
      <c r="K259" s="504"/>
      <c r="L259" s="508"/>
      <c r="M259" s="508"/>
      <c r="N259" s="508"/>
      <c r="O259" s="508"/>
      <c r="P259" s="505"/>
      <c r="Q259" s="508"/>
      <c r="R259" s="508"/>
      <c r="S259" s="508"/>
      <c r="T259" s="508"/>
      <c r="U259" s="506"/>
      <c r="V259" s="508"/>
      <c r="W259" s="508"/>
      <c r="X259" s="508"/>
      <c r="Y259" s="508"/>
      <c r="Z259" s="507"/>
      <c r="AA259" s="508"/>
      <c r="AB259" s="508"/>
      <c r="AC259" s="508"/>
      <c r="AD259" s="508"/>
      <c r="AE259" s="509"/>
    </row>
    <row r="260" spans="1:31" x14ac:dyDescent="0.25">
      <c r="A260" s="399">
        <v>249</v>
      </c>
      <c r="B260" s="508"/>
      <c r="C260" s="508"/>
      <c r="D260" s="508"/>
      <c r="E260" s="508"/>
      <c r="F260" s="503"/>
      <c r="G260" s="508"/>
      <c r="H260" s="508"/>
      <c r="I260" s="508"/>
      <c r="J260" s="508"/>
      <c r="K260" s="504"/>
      <c r="L260" s="508"/>
      <c r="M260" s="508"/>
      <c r="N260" s="508"/>
      <c r="O260" s="508"/>
      <c r="P260" s="505"/>
      <c r="Q260" s="508"/>
      <c r="R260" s="508"/>
      <c r="S260" s="508"/>
      <c r="T260" s="508"/>
      <c r="U260" s="506"/>
      <c r="V260" s="508"/>
      <c r="W260" s="508"/>
      <c r="X260" s="508"/>
      <c r="Y260" s="508"/>
      <c r="Z260" s="507"/>
      <c r="AA260" s="508"/>
      <c r="AB260" s="508"/>
      <c r="AC260" s="508"/>
      <c r="AD260" s="508"/>
      <c r="AE260" s="509"/>
    </row>
    <row r="261" spans="1:31" x14ac:dyDescent="0.25">
      <c r="A261" s="399">
        <v>250</v>
      </c>
      <c r="B261" s="508"/>
      <c r="C261" s="508"/>
      <c r="D261" s="508"/>
      <c r="E261" s="508"/>
      <c r="F261" s="503"/>
      <c r="G261" s="508"/>
      <c r="H261" s="508"/>
      <c r="I261" s="508"/>
      <c r="J261" s="508"/>
      <c r="K261" s="504"/>
      <c r="L261" s="508"/>
      <c r="M261" s="508"/>
      <c r="N261" s="508"/>
      <c r="O261" s="508"/>
      <c r="P261" s="505"/>
      <c r="Q261" s="508"/>
      <c r="R261" s="508"/>
      <c r="S261" s="508"/>
      <c r="T261" s="508"/>
      <c r="U261" s="506"/>
      <c r="V261" s="508"/>
      <c r="W261" s="508"/>
      <c r="X261" s="508"/>
      <c r="Y261" s="508"/>
      <c r="Z261" s="507"/>
      <c r="AA261" s="508"/>
      <c r="AB261" s="508"/>
      <c r="AC261" s="508"/>
      <c r="AD261" s="508"/>
      <c r="AE261" s="509"/>
    </row>
    <row r="262" spans="1:31" ht="15.75" thickBot="1" x14ac:dyDescent="0.3">
      <c r="A262" s="411"/>
      <c r="B262" s="510"/>
      <c r="C262" s="510"/>
      <c r="D262" s="510"/>
      <c r="E262" s="510"/>
      <c r="F262" s="510"/>
      <c r="G262" s="510"/>
      <c r="H262" s="510"/>
      <c r="I262" s="510"/>
      <c r="J262" s="510"/>
      <c r="K262" s="510"/>
      <c r="L262" s="510"/>
      <c r="M262" s="510"/>
      <c r="N262" s="510"/>
      <c r="O262" s="510"/>
      <c r="P262" s="510"/>
      <c r="Q262" s="510"/>
      <c r="R262" s="510"/>
      <c r="S262" s="510"/>
      <c r="T262" s="510"/>
      <c r="U262" s="510"/>
      <c r="V262" s="510"/>
      <c r="W262" s="510"/>
      <c r="X262" s="510"/>
      <c r="Y262" s="510"/>
      <c r="Z262" s="510"/>
      <c r="AA262" s="411"/>
      <c r="AB262" s="411"/>
      <c r="AC262" s="411"/>
    </row>
  </sheetData>
  <sheetProtection sheet="1" objects="1" scenarios="1"/>
  <mergeCells count="6">
    <mergeCell ref="AA1:AD1"/>
    <mergeCell ref="V1:Y1"/>
    <mergeCell ref="B1:E1"/>
    <mergeCell ref="G1:J1"/>
    <mergeCell ref="L1:O1"/>
    <mergeCell ref="Q1:T1"/>
  </mergeCells>
  <conditionalFormatting sqref="F3">
    <cfRule type="expression" dxfId="28" priority="6">
      <formula>ISERR(F3)</formula>
    </cfRule>
  </conditionalFormatting>
  <conditionalFormatting sqref="K3">
    <cfRule type="expression" dxfId="27" priority="5">
      <formula>ISERR(K3)</formula>
    </cfRule>
  </conditionalFormatting>
  <conditionalFormatting sqref="P3">
    <cfRule type="expression" dxfId="26" priority="4">
      <formula>ISERR(P3)</formula>
    </cfRule>
  </conditionalFormatting>
  <conditionalFormatting sqref="U3">
    <cfRule type="expression" dxfId="25" priority="3">
      <formula>ISERR(U3)</formula>
    </cfRule>
  </conditionalFormatting>
  <conditionalFormatting sqref="Z3">
    <cfRule type="expression" dxfId="24" priority="2">
      <formula>ISERR(Z3)</formula>
    </cfRule>
  </conditionalFormatting>
  <conditionalFormatting sqref="AE3">
    <cfRule type="expression" dxfId="23" priority="1">
      <formula>ISERR(AE3)</formula>
    </cfRule>
  </conditionalFormatting>
  <pageMargins left="0.7" right="0.7" top="0.75" bottom="0.75" header="0.3" footer="0.3"/>
  <pageSetup scale="40" fitToHeight="3"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rgb="FFC00000"/>
    <pageSetUpPr fitToPage="1"/>
  </sheetPr>
  <dimension ref="A1:AI262"/>
  <sheetViews>
    <sheetView workbookViewId="0">
      <pane xSplit="1" ySplit="10" topLeftCell="B11" activePane="bottomRight" state="frozen"/>
      <selection activeCell="AA2" sqref="AA2:AD2"/>
      <selection pane="topRight" activeCell="AA2" sqref="AA2:AD2"/>
      <selection pane="bottomLeft" activeCell="AA2" sqref="AA2:AD2"/>
      <selection pane="bottomRight" activeCell="B11" sqref="B11"/>
    </sheetView>
  </sheetViews>
  <sheetFormatPr defaultColWidth="8.85546875" defaultRowHeight="15" x14ac:dyDescent="0.25"/>
  <cols>
    <col min="1" max="1" width="14.85546875" customWidth="1"/>
    <col min="2" max="2" width="8.42578125" customWidth="1"/>
    <col min="3" max="3" width="8.85546875" customWidth="1"/>
    <col min="6" max="6" width="10" customWidth="1"/>
    <col min="11" max="11" width="10" customWidth="1"/>
    <col min="12" max="12" width="9.140625" customWidth="1"/>
    <col min="16" max="16" width="10" customWidth="1"/>
    <col min="19" max="20" width="9.140625" customWidth="1"/>
    <col min="21" max="21" width="10" customWidth="1"/>
    <col min="26" max="26" width="10" customWidth="1"/>
    <col min="31" max="31" width="10" customWidth="1"/>
  </cols>
  <sheetData>
    <row r="1" spans="1:35" s="201" customFormat="1" ht="19.5" thickBot="1" x14ac:dyDescent="0.35">
      <c r="A1" s="199"/>
      <c r="B1" s="1489"/>
      <c r="C1" s="1490"/>
      <c r="D1" s="1490"/>
      <c r="E1" s="1491"/>
      <c r="F1" s="200"/>
      <c r="G1" s="1492"/>
      <c r="H1" s="1493"/>
      <c r="I1" s="1493"/>
      <c r="J1" s="1494"/>
      <c r="K1" s="200"/>
      <c r="L1" s="1495"/>
      <c r="M1" s="1496"/>
      <c r="N1" s="1496"/>
      <c r="O1" s="1497"/>
      <c r="P1" s="200"/>
      <c r="Q1" s="1498"/>
      <c r="R1" s="1499"/>
      <c r="S1" s="1499"/>
      <c r="T1" s="1500"/>
      <c r="U1" s="200"/>
      <c r="V1" s="1501"/>
      <c r="W1" s="1502"/>
      <c r="X1" s="1502"/>
      <c r="Y1" s="1503"/>
      <c r="Z1" s="200"/>
      <c r="AA1" s="1462"/>
      <c r="AB1" s="1463"/>
      <c r="AC1" s="1463"/>
      <c r="AD1" s="1464"/>
      <c r="AE1" s="205"/>
    </row>
    <row r="2" spans="1:35" ht="108" customHeight="1" thickBot="1" x14ac:dyDescent="0.3">
      <c r="A2" s="38" t="s">
        <v>3</v>
      </c>
      <c r="B2" s="12"/>
      <c r="C2" s="13"/>
      <c r="D2" s="13"/>
      <c r="E2" s="14"/>
      <c r="F2" s="202"/>
      <c r="G2" s="22"/>
      <c r="H2" s="23"/>
      <c r="I2" s="23"/>
      <c r="J2" s="80"/>
      <c r="K2" s="203"/>
      <c r="L2" s="83"/>
      <c r="M2" s="15"/>
      <c r="N2" s="15"/>
      <c r="O2" s="81"/>
      <c r="P2" s="204"/>
      <c r="Q2" s="84"/>
      <c r="R2" s="17"/>
      <c r="S2" s="17"/>
      <c r="T2" s="82"/>
      <c r="U2" s="245"/>
      <c r="V2" s="85"/>
      <c r="W2" s="16"/>
      <c r="X2" s="16"/>
      <c r="Y2" s="24"/>
      <c r="Z2" s="246"/>
      <c r="AA2" s="226"/>
      <c r="AB2" s="227"/>
      <c r="AC2" s="227"/>
      <c r="AD2" s="228"/>
      <c r="AE2" s="247"/>
    </row>
    <row r="3" spans="1:35" ht="15.75" x14ac:dyDescent="0.25">
      <c r="A3" s="36" t="s">
        <v>11</v>
      </c>
      <c r="B3" s="164"/>
      <c r="C3" s="165"/>
      <c r="D3" s="165"/>
      <c r="E3" s="166"/>
      <c r="F3" s="192"/>
      <c r="G3" s="167"/>
      <c r="H3" s="168"/>
      <c r="I3" s="168"/>
      <c r="J3" s="173"/>
      <c r="K3" s="193"/>
      <c r="L3" s="174"/>
      <c r="M3" s="169"/>
      <c r="N3" s="169"/>
      <c r="O3" s="175"/>
      <c r="P3" s="194" t="s">
        <v>122</v>
      </c>
      <c r="Q3" s="176"/>
      <c r="R3" s="170"/>
      <c r="S3" s="170"/>
      <c r="T3" s="177"/>
      <c r="U3" s="195" t="s">
        <v>122</v>
      </c>
      <c r="V3" s="178"/>
      <c r="W3" s="171"/>
      <c r="X3" s="171"/>
      <c r="Y3" s="172"/>
      <c r="Z3" s="196" t="s">
        <v>122</v>
      </c>
      <c r="AA3" s="211"/>
      <c r="AB3" s="212"/>
      <c r="AC3" s="212"/>
      <c r="AD3" s="213"/>
      <c r="AE3" s="243" t="s">
        <v>122</v>
      </c>
      <c r="AF3" s="207"/>
    </row>
    <row r="4" spans="1:35" ht="15.75" thickBot="1" x14ac:dyDescent="0.3">
      <c r="A4" s="36" t="s">
        <v>1</v>
      </c>
      <c r="B4" s="72"/>
      <c r="C4" s="73"/>
      <c r="D4" s="73"/>
      <c r="E4" s="74"/>
      <c r="F4" s="192"/>
      <c r="G4" s="75"/>
      <c r="H4" s="76"/>
      <c r="I4" s="76"/>
      <c r="J4" s="86"/>
      <c r="K4" s="193"/>
      <c r="L4" s="87"/>
      <c r="M4" s="77"/>
      <c r="N4" s="77"/>
      <c r="O4" s="88"/>
      <c r="P4" s="194"/>
      <c r="Q4" s="89"/>
      <c r="R4" s="78"/>
      <c r="S4" s="78"/>
      <c r="T4" s="90"/>
      <c r="U4" s="195"/>
      <c r="V4" s="91"/>
      <c r="W4" s="79"/>
      <c r="X4" s="79"/>
      <c r="Y4" s="92"/>
      <c r="Z4" s="196"/>
      <c r="AA4" s="214"/>
      <c r="AB4" s="215"/>
      <c r="AC4" s="215"/>
      <c r="AD4" s="216"/>
      <c r="AE4" s="243"/>
      <c r="AF4" s="208"/>
    </row>
    <row r="5" spans="1:35" x14ac:dyDescent="0.25">
      <c r="A5" s="111" t="s">
        <v>40</v>
      </c>
      <c r="B5" s="688">
        <v>2</v>
      </c>
      <c r="C5" s="689">
        <v>2</v>
      </c>
      <c r="D5" s="689">
        <v>2</v>
      </c>
      <c r="E5" s="690">
        <v>2</v>
      </c>
      <c r="F5" s="114"/>
      <c r="G5" s="688">
        <v>2</v>
      </c>
      <c r="H5" s="689">
        <v>2</v>
      </c>
      <c r="I5" s="689">
        <v>2</v>
      </c>
      <c r="J5" s="690">
        <v>2</v>
      </c>
      <c r="K5" s="115"/>
      <c r="L5" s="688">
        <v>2</v>
      </c>
      <c r="M5" s="689">
        <v>2</v>
      </c>
      <c r="N5" s="689">
        <v>2</v>
      </c>
      <c r="O5" s="690">
        <v>2</v>
      </c>
      <c r="P5" s="116"/>
      <c r="Q5" s="688">
        <v>2</v>
      </c>
      <c r="R5" s="689">
        <v>2</v>
      </c>
      <c r="S5" s="689">
        <v>2</v>
      </c>
      <c r="T5" s="690">
        <v>2</v>
      </c>
      <c r="U5" s="117"/>
      <c r="V5" s="688">
        <v>2</v>
      </c>
      <c r="W5" s="689">
        <v>2</v>
      </c>
      <c r="X5" s="689">
        <v>2</v>
      </c>
      <c r="Y5" s="690">
        <v>2</v>
      </c>
      <c r="Z5" s="118"/>
      <c r="AA5" s="688">
        <v>2</v>
      </c>
      <c r="AB5" s="689">
        <v>2</v>
      </c>
      <c r="AC5" s="689">
        <v>2</v>
      </c>
      <c r="AD5" s="690">
        <v>2</v>
      </c>
      <c r="AE5" s="242"/>
    </row>
    <row r="6" spans="1:35" x14ac:dyDescent="0.25">
      <c r="A6" s="112" t="s">
        <v>41</v>
      </c>
      <c r="B6" s="691">
        <v>30</v>
      </c>
      <c r="C6" s="692">
        <v>30</v>
      </c>
      <c r="D6" s="692">
        <v>30</v>
      </c>
      <c r="E6" s="693">
        <v>30</v>
      </c>
      <c r="F6" s="1154"/>
      <c r="G6" s="691">
        <v>30</v>
      </c>
      <c r="H6" s="692">
        <v>30</v>
      </c>
      <c r="I6" s="692">
        <v>30</v>
      </c>
      <c r="J6" s="693">
        <v>30</v>
      </c>
      <c r="K6" s="1031"/>
      <c r="L6" s="691">
        <v>30</v>
      </c>
      <c r="M6" s="692">
        <v>30</v>
      </c>
      <c r="N6" s="692">
        <v>30</v>
      </c>
      <c r="O6" s="693">
        <v>30</v>
      </c>
      <c r="P6" s="1033"/>
      <c r="Q6" s="691">
        <v>30</v>
      </c>
      <c r="R6" s="692">
        <v>30</v>
      </c>
      <c r="S6" s="692">
        <v>30</v>
      </c>
      <c r="T6" s="693">
        <v>30</v>
      </c>
      <c r="U6" s="1035"/>
      <c r="V6" s="691">
        <v>30</v>
      </c>
      <c r="W6" s="692">
        <v>30</v>
      </c>
      <c r="X6" s="692">
        <v>30</v>
      </c>
      <c r="Y6" s="693">
        <v>30</v>
      </c>
      <c r="Z6" s="1037"/>
      <c r="AA6" s="691">
        <v>30</v>
      </c>
      <c r="AB6" s="692">
        <v>30</v>
      </c>
      <c r="AC6" s="692">
        <v>30</v>
      </c>
      <c r="AD6" s="693">
        <v>30</v>
      </c>
      <c r="AE6" s="1039"/>
    </row>
    <row r="7" spans="1:35" ht="15" customHeight="1" thickBot="1" x14ac:dyDescent="0.3">
      <c r="A7" s="113" t="s">
        <v>50</v>
      </c>
      <c r="B7" s="147"/>
      <c r="C7" s="148"/>
      <c r="D7" s="148"/>
      <c r="E7" s="182"/>
      <c r="F7" s="1155"/>
      <c r="G7" s="183"/>
      <c r="H7" s="184"/>
      <c r="I7" s="184"/>
      <c r="J7" s="185"/>
      <c r="K7" s="1032"/>
      <c r="L7" s="186"/>
      <c r="M7" s="187"/>
      <c r="N7" s="187"/>
      <c r="O7" s="188"/>
      <c r="P7" s="1034"/>
      <c r="Q7" s="189"/>
      <c r="R7" s="190"/>
      <c r="S7" s="190"/>
      <c r="T7" s="191"/>
      <c r="U7" s="1036"/>
      <c r="V7" s="179"/>
      <c r="W7" s="180"/>
      <c r="X7" s="180"/>
      <c r="Y7" s="181"/>
      <c r="Z7" s="1038"/>
      <c r="AA7" s="236"/>
      <c r="AB7" s="237"/>
      <c r="AC7" s="237"/>
      <c r="AD7" s="238"/>
      <c r="AE7" s="1040"/>
    </row>
    <row r="8" spans="1:35" ht="15.75" x14ac:dyDescent="0.25">
      <c r="A8" s="36" t="s">
        <v>9</v>
      </c>
      <c r="B8" s="132"/>
      <c r="C8" s="133"/>
      <c r="D8" s="133"/>
      <c r="E8" s="134"/>
      <c r="F8" s="1156"/>
      <c r="G8" s="135"/>
      <c r="H8" s="136"/>
      <c r="I8" s="136"/>
      <c r="J8" s="137"/>
      <c r="K8" s="1158"/>
      <c r="L8" s="138"/>
      <c r="M8" s="139"/>
      <c r="N8" s="139"/>
      <c r="O8" s="140"/>
      <c r="P8" s="1160"/>
      <c r="Q8" s="141"/>
      <c r="R8" s="142"/>
      <c r="S8" s="142"/>
      <c r="T8" s="143"/>
      <c r="U8" s="1162"/>
      <c r="V8" s="144"/>
      <c r="W8" s="145"/>
      <c r="X8" s="145"/>
      <c r="Y8" s="146"/>
      <c r="Z8" s="1164"/>
      <c r="AA8" s="233"/>
      <c r="AB8" s="234"/>
      <c r="AC8" s="234"/>
      <c r="AD8" s="235"/>
      <c r="AE8" s="1166"/>
      <c r="AG8" s="206" t="s">
        <v>77</v>
      </c>
      <c r="AH8" s="206" t="s">
        <v>76</v>
      </c>
    </row>
    <row r="9" spans="1:35" ht="15" customHeight="1" thickBot="1" x14ac:dyDescent="0.3">
      <c r="A9" s="36" t="s">
        <v>10</v>
      </c>
      <c r="B9" s="147"/>
      <c r="C9" s="148"/>
      <c r="D9" s="148"/>
      <c r="E9" s="182"/>
      <c r="F9" s="1157"/>
      <c r="G9" s="183"/>
      <c r="H9" s="184"/>
      <c r="I9" s="184"/>
      <c r="J9" s="185"/>
      <c r="K9" s="1159"/>
      <c r="L9" s="186"/>
      <c r="M9" s="187"/>
      <c r="N9" s="187"/>
      <c r="O9" s="188"/>
      <c r="P9" s="1161"/>
      <c r="Q9" s="189"/>
      <c r="R9" s="190"/>
      <c r="S9" s="190"/>
      <c r="T9" s="191"/>
      <c r="U9" s="1163"/>
      <c r="V9" s="179"/>
      <c r="W9" s="180"/>
      <c r="X9" s="180"/>
      <c r="Y9" s="181"/>
      <c r="Z9" s="1165"/>
      <c r="AA9" s="236"/>
      <c r="AB9" s="237"/>
      <c r="AC9" s="237"/>
      <c r="AD9" s="238"/>
      <c r="AE9" s="1167"/>
      <c r="AG9" s="694">
        <v>92</v>
      </c>
      <c r="AH9" s="694">
        <v>98</v>
      </c>
    </row>
    <row r="10" spans="1:35" ht="73.5" customHeight="1" thickBot="1" x14ac:dyDescent="0.3">
      <c r="A10" s="37" t="s">
        <v>0</v>
      </c>
      <c r="B10" s="119"/>
      <c r="C10" s="69"/>
      <c r="D10" s="69"/>
      <c r="E10" s="70"/>
      <c r="F10" s="93"/>
      <c r="G10" s="120"/>
      <c r="H10" s="121"/>
      <c r="I10" s="121"/>
      <c r="J10" s="122"/>
      <c r="K10" s="94"/>
      <c r="L10" s="123"/>
      <c r="M10" s="124"/>
      <c r="N10" s="124"/>
      <c r="O10" s="125"/>
      <c r="P10" s="95"/>
      <c r="Q10" s="126"/>
      <c r="R10" s="127"/>
      <c r="S10" s="127"/>
      <c r="T10" s="128"/>
      <c r="U10" s="96"/>
      <c r="V10" s="129"/>
      <c r="W10" s="130"/>
      <c r="X10" s="130"/>
      <c r="Y10" s="131"/>
      <c r="Z10" s="97"/>
      <c r="AA10" s="239"/>
      <c r="AB10" s="240"/>
      <c r="AC10" s="240"/>
      <c r="AD10" s="241"/>
      <c r="AE10" s="232"/>
    </row>
    <row r="11" spans="1:35" x14ac:dyDescent="0.25">
      <c r="A11" s="108">
        <v>0</v>
      </c>
      <c r="B11" s="3"/>
      <c r="C11" s="3"/>
      <c r="D11" s="3"/>
      <c r="E11" s="2"/>
      <c r="F11" s="40"/>
      <c r="G11" s="2"/>
      <c r="H11" s="2"/>
      <c r="I11" s="2"/>
      <c r="J11" s="2"/>
      <c r="K11" s="42"/>
      <c r="L11" s="2"/>
      <c r="M11" s="2"/>
      <c r="N11" s="2"/>
      <c r="O11" s="2"/>
      <c r="P11" s="45"/>
      <c r="Q11" s="2"/>
      <c r="R11" s="2"/>
      <c r="S11" s="2"/>
      <c r="T11" s="2"/>
      <c r="U11" s="48"/>
      <c r="V11" s="2"/>
      <c r="W11" s="2"/>
      <c r="X11" s="2"/>
      <c r="Y11" s="2"/>
      <c r="Z11" s="51"/>
      <c r="AA11" s="1"/>
      <c r="AB11" s="1"/>
      <c r="AC11" s="1"/>
      <c r="AD11" s="1"/>
      <c r="AE11" s="221"/>
    </row>
    <row r="12" spans="1:35" x14ac:dyDescent="0.25">
      <c r="A12" s="108">
        <v>1</v>
      </c>
      <c r="B12" s="1"/>
      <c r="C12" s="1"/>
      <c r="D12" s="1"/>
      <c r="E12" s="1"/>
      <c r="F12" s="39"/>
      <c r="G12" s="1"/>
      <c r="H12" s="1"/>
      <c r="I12" s="1"/>
      <c r="J12" s="1"/>
      <c r="K12" s="43"/>
      <c r="L12" s="1"/>
      <c r="M12" s="1"/>
      <c r="N12" s="1"/>
      <c r="O12" s="1"/>
      <c r="P12" s="46"/>
      <c r="Q12" s="1"/>
      <c r="R12" s="1"/>
      <c r="S12" s="1"/>
      <c r="T12" s="1"/>
      <c r="U12" s="49"/>
      <c r="V12" s="1"/>
      <c r="W12" s="1"/>
      <c r="X12" s="1"/>
      <c r="Y12" s="1"/>
      <c r="Z12" s="52"/>
      <c r="AA12" s="1"/>
      <c r="AB12" s="1"/>
      <c r="AC12" s="1"/>
      <c r="AD12" s="1"/>
      <c r="AE12" s="221"/>
      <c r="AF12" s="1"/>
    </row>
    <row r="13" spans="1:35" x14ac:dyDescent="0.25">
      <c r="A13" s="108">
        <v>2</v>
      </c>
      <c r="B13" s="1"/>
      <c r="C13" s="1"/>
      <c r="D13" s="1"/>
      <c r="E13" s="1"/>
      <c r="F13" s="39"/>
      <c r="G13" s="1"/>
      <c r="H13" s="1"/>
      <c r="I13" s="1"/>
      <c r="J13" s="1"/>
      <c r="K13" s="43"/>
      <c r="L13" s="1"/>
      <c r="M13" s="1"/>
      <c r="N13" s="1"/>
      <c r="O13" s="1"/>
      <c r="P13" s="46"/>
      <c r="Q13" s="1"/>
      <c r="R13" s="1"/>
      <c r="S13" s="1"/>
      <c r="T13" s="1"/>
      <c r="U13" s="49"/>
      <c r="V13" s="1"/>
      <c r="W13" s="1"/>
      <c r="X13" s="1"/>
      <c r="Y13" s="1"/>
      <c r="Z13" s="52"/>
      <c r="AA13" s="1"/>
      <c r="AB13" s="1"/>
      <c r="AC13" s="1"/>
      <c r="AD13" s="1"/>
      <c r="AE13" s="221"/>
      <c r="AF13" s="1"/>
      <c r="AG13" s="1"/>
      <c r="AH13" s="1"/>
      <c r="AI13" s="1"/>
    </row>
    <row r="14" spans="1:35" x14ac:dyDescent="0.25">
      <c r="A14" s="108">
        <v>3</v>
      </c>
      <c r="B14" s="1"/>
      <c r="C14" s="1"/>
      <c r="D14" s="1"/>
      <c r="E14" s="1"/>
      <c r="F14" s="39"/>
      <c r="G14" s="1"/>
      <c r="H14" s="1"/>
      <c r="I14" s="1"/>
      <c r="J14" s="1"/>
      <c r="K14" s="43"/>
      <c r="L14" s="1"/>
      <c r="M14" s="1"/>
      <c r="N14" s="1"/>
      <c r="O14" s="1"/>
      <c r="P14" s="46"/>
      <c r="Q14" s="1"/>
      <c r="R14" s="1"/>
      <c r="S14" s="1"/>
      <c r="T14" s="1"/>
      <c r="U14" s="49"/>
      <c r="V14" s="1"/>
      <c r="W14" s="1"/>
      <c r="X14" s="1"/>
      <c r="Y14" s="1"/>
      <c r="Z14" s="52"/>
      <c r="AA14" s="1"/>
      <c r="AB14" s="1"/>
      <c r="AC14" s="1"/>
      <c r="AD14" s="1"/>
      <c r="AE14" s="221"/>
    </row>
    <row r="15" spans="1:35" x14ac:dyDescent="0.25">
      <c r="A15" s="108">
        <v>4</v>
      </c>
      <c r="B15" s="1"/>
      <c r="C15" s="1"/>
      <c r="D15" s="1"/>
      <c r="E15" s="1"/>
      <c r="F15" s="39"/>
      <c r="G15" s="1"/>
      <c r="H15" s="1"/>
      <c r="I15" s="1"/>
      <c r="J15" s="1"/>
      <c r="K15" s="43"/>
      <c r="L15" s="1"/>
      <c r="M15" s="1"/>
      <c r="N15" s="1"/>
      <c r="O15" s="1"/>
      <c r="P15" s="46"/>
      <c r="Q15" s="1"/>
      <c r="R15" s="1"/>
      <c r="S15" s="1"/>
      <c r="T15" s="1"/>
      <c r="U15" s="49"/>
      <c r="V15" s="1"/>
      <c r="W15" s="1"/>
      <c r="X15" s="1"/>
      <c r="Y15" s="1"/>
      <c r="Z15" s="52"/>
      <c r="AA15" s="1"/>
      <c r="AB15" s="1"/>
      <c r="AC15" s="1"/>
      <c r="AD15" s="1"/>
      <c r="AE15" s="221"/>
    </row>
    <row r="16" spans="1:35" x14ac:dyDescent="0.25">
      <c r="A16" s="108">
        <v>5</v>
      </c>
      <c r="B16" s="1"/>
      <c r="C16" s="1"/>
      <c r="D16" s="1"/>
      <c r="E16" s="1"/>
      <c r="F16" s="39"/>
      <c r="G16" s="1"/>
      <c r="H16" s="1"/>
      <c r="I16" s="1"/>
      <c r="J16" s="1"/>
      <c r="K16" s="43"/>
      <c r="L16" s="1"/>
      <c r="M16" s="1"/>
      <c r="N16" s="1"/>
      <c r="O16" s="1"/>
      <c r="P16" s="46"/>
      <c r="Q16" s="1"/>
      <c r="R16" s="1"/>
      <c r="S16" s="1"/>
      <c r="T16" s="1"/>
      <c r="U16" s="49"/>
      <c r="V16" s="1"/>
      <c r="W16" s="1"/>
      <c r="X16" s="1"/>
      <c r="Y16" s="1"/>
      <c r="Z16" s="52"/>
      <c r="AA16" s="1"/>
      <c r="AB16" s="1"/>
      <c r="AC16" s="1"/>
      <c r="AD16" s="1"/>
      <c r="AE16" s="221"/>
    </row>
    <row r="17" spans="1:31" x14ac:dyDescent="0.25">
      <c r="A17" s="108">
        <v>6</v>
      </c>
      <c r="B17" s="1"/>
      <c r="C17" s="1"/>
      <c r="D17" s="1"/>
      <c r="E17" s="1"/>
      <c r="F17" s="39"/>
      <c r="G17" s="1"/>
      <c r="H17" s="1"/>
      <c r="I17" s="1"/>
      <c r="J17" s="1"/>
      <c r="K17" s="43"/>
      <c r="L17" s="1"/>
      <c r="M17" s="1"/>
      <c r="N17" s="1"/>
      <c r="O17" s="1"/>
      <c r="P17" s="46"/>
      <c r="Q17" s="1"/>
      <c r="R17" s="1"/>
      <c r="S17" s="1"/>
      <c r="T17" s="1"/>
      <c r="U17" s="49"/>
      <c r="V17" s="1"/>
      <c r="W17" s="1"/>
      <c r="X17" s="1"/>
      <c r="Y17" s="1"/>
      <c r="Z17" s="52"/>
      <c r="AA17" s="1"/>
      <c r="AB17" s="1"/>
      <c r="AC17" s="1"/>
      <c r="AD17" s="1"/>
      <c r="AE17" s="221"/>
    </row>
    <row r="18" spans="1:31" x14ac:dyDescent="0.25">
      <c r="A18" s="108">
        <v>7</v>
      </c>
      <c r="B18" s="1"/>
      <c r="C18" s="1"/>
      <c r="D18" s="1"/>
      <c r="E18" s="1"/>
      <c r="F18" s="39"/>
      <c r="G18" s="1"/>
      <c r="H18" s="1"/>
      <c r="I18" s="1"/>
      <c r="J18" s="1"/>
      <c r="K18" s="43"/>
      <c r="L18" s="1"/>
      <c r="M18" s="1"/>
      <c r="N18" s="1"/>
      <c r="O18" s="1"/>
      <c r="P18" s="46"/>
      <c r="Q18" s="1"/>
      <c r="R18" s="1"/>
      <c r="S18" s="1"/>
      <c r="T18" s="1"/>
      <c r="U18" s="49"/>
      <c r="V18" s="1"/>
      <c r="W18" s="1"/>
      <c r="X18" s="1"/>
      <c r="Y18" s="1"/>
      <c r="Z18" s="52"/>
      <c r="AA18" s="1"/>
      <c r="AB18" s="1"/>
      <c r="AC18" s="1"/>
      <c r="AD18" s="1"/>
      <c r="AE18" s="221"/>
    </row>
    <row r="19" spans="1:31" x14ac:dyDescent="0.25">
      <c r="A19" s="108">
        <v>8</v>
      </c>
      <c r="B19" s="1"/>
      <c r="C19" s="1"/>
      <c r="D19" s="1"/>
      <c r="E19" s="1"/>
      <c r="F19" s="39"/>
      <c r="G19" s="1"/>
      <c r="H19" s="1"/>
      <c r="I19" s="1"/>
      <c r="J19" s="1"/>
      <c r="K19" s="43"/>
      <c r="L19" s="1"/>
      <c r="M19" s="1"/>
      <c r="N19" s="1"/>
      <c r="O19" s="1"/>
      <c r="P19" s="46"/>
      <c r="Q19" s="1"/>
      <c r="R19" s="1"/>
      <c r="S19" s="1"/>
      <c r="T19" s="1"/>
      <c r="U19" s="49"/>
      <c r="V19" s="1"/>
      <c r="W19" s="1"/>
      <c r="X19" s="1"/>
      <c r="Y19" s="1"/>
      <c r="Z19" s="52"/>
      <c r="AA19" s="1"/>
      <c r="AB19" s="1"/>
      <c r="AC19" s="1"/>
      <c r="AD19" s="1"/>
      <c r="AE19" s="221"/>
    </row>
    <row r="20" spans="1:31" x14ac:dyDescent="0.25">
      <c r="A20" s="108">
        <v>9</v>
      </c>
      <c r="B20" s="1"/>
      <c r="C20" s="1"/>
      <c r="D20" s="1"/>
      <c r="E20" s="1"/>
      <c r="F20" s="39"/>
      <c r="G20" s="1"/>
      <c r="H20" s="1"/>
      <c r="I20" s="1"/>
      <c r="J20" s="1"/>
      <c r="K20" s="43"/>
      <c r="L20" s="1"/>
      <c r="M20" s="1"/>
      <c r="N20" s="1"/>
      <c r="O20" s="1"/>
      <c r="P20" s="46"/>
      <c r="Q20" s="1"/>
      <c r="R20" s="1"/>
      <c r="S20" s="1"/>
      <c r="T20" s="1"/>
      <c r="U20" s="49"/>
      <c r="V20" s="1"/>
      <c r="W20" s="1"/>
      <c r="X20" s="1"/>
      <c r="Y20" s="1"/>
      <c r="Z20" s="52"/>
      <c r="AA20" s="1"/>
      <c r="AB20" s="1"/>
      <c r="AC20" s="1"/>
      <c r="AD20" s="1"/>
      <c r="AE20" s="221"/>
    </row>
    <row r="21" spans="1:31" x14ac:dyDescent="0.25">
      <c r="A21" s="108">
        <v>10</v>
      </c>
      <c r="B21" s="1"/>
      <c r="C21" s="1"/>
      <c r="D21" s="1"/>
      <c r="E21" s="1"/>
      <c r="F21" s="39"/>
      <c r="G21" s="1"/>
      <c r="H21" s="1"/>
      <c r="I21" s="1"/>
      <c r="J21" s="1"/>
      <c r="K21" s="43"/>
      <c r="L21" s="1"/>
      <c r="M21" s="1"/>
      <c r="N21" s="1"/>
      <c r="O21" s="1"/>
      <c r="P21" s="46"/>
      <c r="Q21" s="1"/>
      <c r="R21" s="1"/>
      <c r="S21" s="1"/>
      <c r="T21" s="1"/>
      <c r="U21" s="49"/>
      <c r="V21" s="1"/>
      <c r="W21" s="1"/>
      <c r="X21" s="1"/>
      <c r="Y21" s="1"/>
      <c r="Z21" s="52"/>
      <c r="AA21" s="1"/>
      <c r="AB21" s="1"/>
      <c r="AC21" s="1"/>
      <c r="AD21" s="1"/>
      <c r="AE21" s="221"/>
    </row>
    <row r="22" spans="1:31" x14ac:dyDescent="0.25">
      <c r="A22" s="108">
        <v>11</v>
      </c>
      <c r="B22" s="1"/>
      <c r="C22" s="1"/>
      <c r="D22" s="1"/>
      <c r="E22" s="1"/>
      <c r="F22" s="39"/>
      <c r="G22" s="1"/>
      <c r="H22" s="1"/>
      <c r="I22" s="1"/>
      <c r="J22" s="1"/>
      <c r="K22" s="43"/>
      <c r="L22" s="1"/>
      <c r="M22" s="1"/>
      <c r="N22" s="1"/>
      <c r="O22" s="1"/>
      <c r="P22" s="46"/>
      <c r="Q22" s="1"/>
      <c r="R22" s="1"/>
      <c r="S22" s="1"/>
      <c r="T22" s="1"/>
      <c r="U22" s="49"/>
      <c r="V22" s="1"/>
      <c r="W22" s="1"/>
      <c r="X22" s="1"/>
      <c r="Y22" s="1"/>
      <c r="Z22" s="52"/>
      <c r="AA22" s="1"/>
      <c r="AB22" s="1"/>
      <c r="AC22" s="1"/>
      <c r="AD22" s="1"/>
      <c r="AE22" s="221"/>
    </row>
    <row r="23" spans="1:31" x14ac:dyDescent="0.25">
      <c r="A23" s="108">
        <v>12</v>
      </c>
      <c r="B23" s="1"/>
      <c r="C23" s="1"/>
      <c r="D23" s="1"/>
      <c r="E23" s="1"/>
      <c r="F23" s="39"/>
      <c r="G23" s="1"/>
      <c r="H23" s="1"/>
      <c r="I23" s="1"/>
      <c r="J23" s="1"/>
      <c r="K23" s="43"/>
      <c r="L23" s="1"/>
      <c r="M23" s="1"/>
      <c r="N23" s="1"/>
      <c r="O23" s="1"/>
      <c r="P23" s="46"/>
      <c r="Q23" s="1"/>
      <c r="R23" s="1"/>
      <c r="S23" s="1"/>
      <c r="T23" s="1"/>
      <c r="U23" s="49"/>
      <c r="V23" s="1"/>
      <c r="W23" s="1"/>
      <c r="X23" s="1"/>
      <c r="Y23" s="1"/>
      <c r="Z23" s="52"/>
      <c r="AA23" s="1"/>
      <c r="AB23" s="1"/>
      <c r="AC23" s="1"/>
      <c r="AD23" s="1"/>
      <c r="AE23" s="221"/>
    </row>
    <row r="24" spans="1:31" x14ac:dyDescent="0.25">
      <c r="A24" s="108">
        <v>13</v>
      </c>
      <c r="B24" s="1"/>
      <c r="C24" s="1"/>
      <c r="D24" s="1"/>
      <c r="E24" s="1"/>
      <c r="F24" s="39"/>
      <c r="G24" s="1"/>
      <c r="H24" s="1"/>
      <c r="I24" s="1"/>
      <c r="J24" s="1"/>
      <c r="K24" s="43"/>
      <c r="L24" s="1"/>
      <c r="M24" s="1"/>
      <c r="N24" s="1"/>
      <c r="O24" s="1"/>
      <c r="P24" s="46"/>
      <c r="Q24" s="1"/>
      <c r="R24" s="1"/>
      <c r="S24" s="1"/>
      <c r="T24" s="1"/>
      <c r="U24" s="49"/>
      <c r="V24" s="1"/>
      <c r="W24" s="1"/>
      <c r="X24" s="1"/>
      <c r="Y24" s="1"/>
      <c r="Z24" s="52"/>
      <c r="AA24" s="1"/>
      <c r="AB24" s="1"/>
      <c r="AC24" s="1"/>
      <c r="AD24" s="1"/>
      <c r="AE24" s="221"/>
    </row>
    <row r="25" spans="1:31" x14ac:dyDescent="0.25">
      <c r="A25" s="108">
        <v>14</v>
      </c>
      <c r="B25" s="1"/>
      <c r="C25" s="1"/>
      <c r="D25" s="1"/>
      <c r="E25" s="1"/>
      <c r="F25" s="39"/>
      <c r="G25" s="1"/>
      <c r="H25" s="1"/>
      <c r="I25" s="1"/>
      <c r="J25" s="1"/>
      <c r="K25" s="43"/>
      <c r="L25" s="1"/>
      <c r="M25" s="1"/>
      <c r="N25" s="1"/>
      <c r="O25" s="1"/>
      <c r="P25" s="46"/>
      <c r="Q25" s="1"/>
      <c r="R25" s="1"/>
      <c r="S25" s="1"/>
      <c r="T25" s="1"/>
      <c r="U25" s="49"/>
      <c r="V25" s="1"/>
      <c r="W25" s="1"/>
      <c r="X25" s="1"/>
      <c r="Y25" s="1"/>
      <c r="Z25" s="52"/>
      <c r="AA25" s="1"/>
      <c r="AB25" s="1"/>
      <c r="AC25" s="1"/>
      <c r="AD25" s="1"/>
      <c r="AE25" s="221"/>
    </row>
    <row r="26" spans="1:31" x14ac:dyDescent="0.25">
      <c r="A26" s="108">
        <v>15</v>
      </c>
      <c r="B26" s="1"/>
      <c r="C26" s="1"/>
      <c r="D26" s="1"/>
      <c r="E26" s="1"/>
      <c r="F26" s="39"/>
      <c r="G26" s="1"/>
      <c r="H26" s="1"/>
      <c r="I26" s="1"/>
      <c r="J26" s="1"/>
      <c r="K26" s="43"/>
      <c r="L26" s="1"/>
      <c r="M26" s="1"/>
      <c r="N26" s="1"/>
      <c r="O26" s="1"/>
      <c r="P26" s="46"/>
      <c r="Q26" s="1"/>
      <c r="R26" s="1"/>
      <c r="S26" s="1"/>
      <c r="T26" s="1"/>
      <c r="U26" s="49"/>
      <c r="V26" s="1"/>
      <c r="W26" s="1"/>
      <c r="X26" s="1"/>
      <c r="Y26" s="1"/>
      <c r="Z26" s="52"/>
      <c r="AA26" s="1"/>
      <c r="AB26" s="1"/>
      <c r="AC26" s="1"/>
      <c r="AD26" s="1"/>
      <c r="AE26" s="221"/>
    </row>
    <row r="27" spans="1:31" x14ac:dyDescent="0.25">
      <c r="A27" s="108">
        <v>16</v>
      </c>
      <c r="B27" s="1"/>
      <c r="C27" s="1"/>
      <c r="D27" s="1"/>
      <c r="E27" s="1"/>
      <c r="F27" s="39"/>
      <c r="G27" s="1"/>
      <c r="H27" s="1"/>
      <c r="I27" s="1"/>
      <c r="J27" s="1"/>
      <c r="K27" s="43"/>
      <c r="L27" s="1"/>
      <c r="M27" s="1"/>
      <c r="N27" s="1"/>
      <c r="O27" s="1"/>
      <c r="P27" s="46"/>
      <c r="Q27" s="1"/>
      <c r="R27" s="1"/>
      <c r="S27" s="1"/>
      <c r="T27" s="1"/>
      <c r="U27" s="49"/>
      <c r="V27" s="1"/>
      <c r="W27" s="1"/>
      <c r="X27" s="1"/>
      <c r="Y27" s="1"/>
      <c r="Z27" s="52"/>
      <c r="AA27" s="1"/>
      <c r="AB27" s="1"/>
      <c r="AC27" s="1"/>
      <c r="AD27" s="1"/>
      <c r="AE27" s="221"/>
    </row>
    <row r="28" spans="1:31" x14ac:dyDescent="0.25">
      <c r="A28" s="108">
        <v>17</v>
      </c>
      <c r="B28" s="1"/>
      <c r="C28" s="1"/>
      <c r="D28" s="1"/>
      <c r="E28" s="1"/>
      <c r="F28" s="39"/>
      <c r="G28" s="1"/>
      <c r="H28" s="1"/>
      <c r="I28" s="1"/>
      <c r="J28" s="1"/>
      <c r="K28" s="43"/>
      <c r="L28" s="1"/>
      <c r="M28" s="1"/>
      <c r="N28" s="1"/>
      <c r="O28" s="1"/>
      <c r="P28" s="46"/>
      <c r="Q28" s="1"/>
      <c r="R28" s="1"/>
      <c r="S28" s="1"/>
      <c r="T28" s="1"/>
      <c r="U28" s="49"/>
      <c r="V28" s="1"/>
      <c r="W28" s="1"/>
      <c r="X28" s="1"/>
      <c r="Y28" s="1"/>
      <c r="Z28" s="52"/>
      <c r="AA28" s="1"/>
      <c r="AB28" s="1"/>
      <c r="AC28" s="1"/>
      <c r="AD28" s="1"/>
      <c r="AE28" s="221"/>
    </row>
    <row r="29" spans="1:31" x14ac:dyDescent="0.25">
      <c r="A29" s="108">
        <v>18</v>
      </c>
      <c r="B29" s="1"/>
      <c r="C29" s="1"/>
      <c r="D29" s="1"/>
      <c r="E29" s="1"/>
      <c r="F29" s="39"/>
      <c r="G29" s="1"/>
      <c r="H29" s="1"/>
      <c r="I29" s="1"/>
      <c r="J29" s="1"/>
      <c r="K29" s="43"/>
      <c r="L29" s="1"/>
      <c r="M29" s="1"/>
      <c r="N29" s="1"/>
      <c r="O29" s="1"/>
      <c r="P29" s="46"/>
      <c r="Q29" s="1"/>
      <c r="R29" s="1"/>
      <c r="S29" s="1"/>
      <c r="T29" s="1"/>
      <c r="U29" s="49"/>
      <c r="V29" s="1"/>
      <c r="W29" s="1"/>
      <c r="X29" s="1"/>
      <c r="Y29" s="1"/>
      <c r="Z29" s="52"/>
      <c r="AA29" s="1"/>
      <c r="AB29" s="1"/>
      <c r="AC29" s="1"/>
      <c r="AD29" s="1"/>
      <c r="AE29" s="221"/>
    </row>
    <row r="30" spans="1:31" x14ac:dyDescent="0.25">
      <c r="A30" s="108">
        <v>19</v>
      </c>
      <c r="B30" s="1"/>
      <c r="C30" s="1"/>
      <c r="D30" s="1"/>
      <c r="E30" s="1"/>
      <c r="F30" s="39"/>
      <c r="G30" s="1"/>
      <c r="H30" s="1"/>
      <c r="I30" s="1"/>
      <c r="J30" s="1"/>
      <c r="K30" s="43"/>
      <c r="L30" s="1"/>
      <c r="M30" s="1"/>
      <c r="N30" s="1"/>
      <c r="O30" s="1"/>
      <c r="P30" s="46"/>
      <c r="Q30" s="1"/>
      <c r="R30" s="1"/>
      <c r="S30" s="1"/>
      <c r="T30" s="1"/>
      <c r="U30" s="49"/>
      <c r="V30" s="1"/>
      <c r="W30" s="1"/>
      <c r="X30" s="1"/>
      <c r="Y30" s="1"/>
      <c r="Z30" s="52"/>
      <c r="AA30" s="1"/>
      <c r="AB30" s="1"/>
      <c r="AC30" s="1"/>
      <c r="AD30" s="1"/>
      <c r="AE30" s="221"/>
    </row>
    <row r="31" spans="1:31" x14ac:dyDescent="0.25">
      <c r="A31" s="108">
        <v>20</v>
      </c>
      <c r="B31" s="1"/>
      <c r="C31" s="1"/>
      <c r="D31" s="1"/>
      <c r="E31" s="1"/>
      <c r="F31" s="39"/>
      <c r="G31" s="1"/>
      <c r="H31" s="1"/>
      <c r="I31" s="1"/>
      <c r="J31" s="1"/>
      <c r="K31" s="43"/>
      <c r="L31" s="1"/>
      <c r="M31" s="1"/>
      <c r="N31" s="1"/>
      <c r="O31" s="1"/>
      <c r="P31" s="46"/>
      <c r="Q31" s="1"/>
      <c r="R31" s="1"/>
      <c r="S31" s="1"/>
      <c r="T31" s="1"/>
      <c r="U31" s="49"/>
      <c r="V31" s="1"/>
      <c r="W31" s="1"/>
      <c r="X31" s="1"/>
      <c r="Y31" s="1"/>
      <c r="Z31" s="52"/>
      <c r="AA31" s="1"/>
      <c r="AB31" s="1"/>
      <c r="AC31" s="1"/>
      <c r="AD31" s="1"/>
      <c r="AE31" s="221"/>
    </row>
    <row r="32" spans="1:31" x14ac:dyDescent="0.25">
      <c r="A32" s="108">
        <v>21</v>
      </c>
      <c r="B32" s="1"/>
      <c r="C32" s="1"/>
      <c r="D32" s="1"/>
      <c r="E32" s="1"/>
      <c r="F32" s="39"/>
      <c r="G32" s="1"/>
      <c r="H32" s="1"/>
      <c r="I32" s="1"/>
      <c r="J32" s="1"/>
      <c r="K32" s="43"/>
      <c r="L32" s="1"/>
      <c r="M32" s="1"/>
      <c r="N32" s="1"/>
      <c r="O32" s="1"/>
      <c r="P32" s="46"/>
      <c r="Q32" s="1"/>
      <c r="R32" s="1"/>
      <c r="S32" s="1"/>
      <c r="T32" s="1"/>
      <c r="U32" s="49"/>
      <c r="V32" s="1"/>
      <c r="W32" s="1"/>
      <c r="X32" s="1"/>
      <c r="Y32" s="1"/>
      <c r="Z32" s="52"/>
      <c r="AA32" s="1"/>
      <c r="AB32" s="1"/>
      <c r="AC32" s="1"/>
      <c r="AD32" s="1"/>
      <c r="AE32" s="221"/>
    </row>
    <row r="33" spans="1:31" x14ac:dyDescent="0.25">
      <c r="A33" s="108">
        <v>22</v>
      </c>
      <c r="B33" s="1"/>
      <c r="C33" s="1"/>
      <c r="D33" s="1"/>
      <c r="E33" s="1"/>
      <c r="F33" s="39"/>
      <c r="G33" s="1"/>
      <c r="H33" s="1"/>
      <c r="I33" s="1"/>
      <c r="J33" s="1"/>
      <c r="K33" s="43"/>
      <c r="L33" s="1"/>
      <c r="M33" s="1"/>
      <c r="N33" s="1"/>
      <c r="O33" s="1"/>
      <c r="P33" s="46"/>
      <c r="Q33" s="1"/>
      <c r="R33" s="1"/>
      <c r="S33" s="1"/>
      <c r="T33" s="1"/>
      <c r="U33" s="49"/>
      <c r="V33" s="1"/>
      <c r="W33" s="1"/>
      <c r="X33" s="1"/>
      <c r="Y33" s="1"/>
      <c r="Z33" s="52"/>
      <c r="AA33" s="1"/>
      <c r="AB33" s="1"/>
      <c r="AC33" s="1"/>
      <c r="AD33" s="1"/>
      <c r="AE33" s="221"/>
    </row>
    <row r="34" spans="1:31" x14ac:dyDescent="0.25">
      <c r="A34" s="108">
        <v>23</v>
      </c>
      <c r="B34" s="1"/>
      <c r="C34" s="1"/>
      <c r="D34" s="1"/>
      <c r="E34" s="1"/>
      <c r="F34" s="39"/>
      <c r="G34" s="1"/>
      <c r="H34" s="1"/>
      <c r="I34" s="1"/>
      <c r="J34" s="1"/>
      <c r="K34" s="43"/>
      <c r="L34" s="1"/>
      <c r="M34" s="1"/>
      <c r="N34" s="1"/>
      <c r="O34" s="1"/>
      <c r="P34" s="46"/>
      <c r="Q34" s="1"/>
      <c r="R34" s="1"/>
      <c r="S34" s="1"/>
      <c r="T34" s="1"/>
      <c r="U34" s="49"/>
      <c r="V34" s="1"/>
      <c r="W34" s="1"/>
      <c r="X34" s="1"/>
      <c r="Y34" s="1"/>
      <c r="Z34" s="52"/>
      <c r="AA34" s="1"/>
      <c r="AB34" s="1"/>
      <c r="AC34" s="1"/>
      <c r="AD34" s="1"/>
      <c r="AE34" s="221"/>
    </row>
    <row r="35" spans="1:31" x14ac:dyDescent="0.25">
      <c r="A35" s="108">
        <v>24</v>
      </c>
      <c r="B35" s="1"/>
      <c r="C35" s="1"/>
      <c r="D35" s="1"/>
      <c r="E35" s="1"/>
      <c r="F35" s="39"/>
      <c r="G35" s="1"/>
      <c r="H35" s="1"/>
      <c r="I35" s="1"/>
      <c r="J35" s="1"/>
      <c r="K35" s="43"/>
      <c r="L35" s="1"/>
      <c r="M35" s="1"/>
      <c r="N35" s="1"/>
      <c r="O35" s="1"/>
      <c r="P35" s="46"/>
      <c r="Q35" s="1"/>
      <c r="R35" s="1"/>
      <c r="S35" s="1"/>
      <c r="T35" s="1"/>
      <c r="U35" s="49"/>
      <c r="V35" s="1"/>
      <c r="W35" s="1"/>
      <c r="X35" s="1"/>
      <c r="Y35" s="1"/>
      <c r="Z35" s="52"/>
      <c r="AA35" s="1"/>
      <c r="AB35" s="1"/>
      <c r="AC35" s="1"/>
      <c r="AD35" s="1"/>
      <c r="AE35" s="221"/>
    </row>
    <row r="36" spans="1:31" x14ac:dyDescent="0.25">
      <c r="A36" s="108">
        <v>25</v>
      </c>
      <c r="B36" s="1"/>
      <c r="C36" s="1"/>
      <c r="D36" s="1"/>
      <c r="E36" s="1"/>
      <c r="F36" s="39"/>
      <c r="G36" s="1"/>
      <c r="H36" s="1"/>
      <c r="I36" s="1"/>
      <c r="J36" s="1"/>
      <c r="K36" s="43"/>
      <c r="L36" s="1"/>
      <c r="M36" s="1"/>
      <c r="N36" s="1"/>
      <c r="O36" s="1"/>
      <c r="P36" s="46"/>
      <c r="Q36" s="1"/>
      <c r="R36" s="1"/>
      <c r="S36" s="1"/>
      <c r="T36" s="1"/>
      <c r="U36" s="49"/>
      <c r="V36" s="1"/>
      <c r="W36" s="1"/>
      <c r="X36" s="1"/>
      <c r="Y36" s="1"/>
      <c r="Z36" s="52"/>
      <c r="AA36" s="1"/>
      <c r="AB36" s="1"/>
      <c r="AC36" s="1"/>
      <c r="AD36" s="1"/>
      <c r="AE36" s="221"/>
    </row>
    <row r="37" spans="1:31" x14ac:dyDescent="0.25">
      <c r="A37" s="108">
        <v>26</v>
      </c>
      <c r="B37" s="1"/>
      <c r="C37" s="1"/>
      <c r="D37" s="1"/>
      <c r="E37" s="1"/>
      <c r="F37" s="39"/>
      <c r="G37" s="1"/>
      <c r="H37" s="1"/>
      <c r="I37" s="1"/>
      <c r="J37" s="1"/>
      <c r="K37" s="43"/>
      <c r="L37" s="1"/>
      <c r="M37" s="1"/>
      <c r="N37" s="1"/>
      <c r="O37" s="1"/>
      <c r="P37" s="46"/>
      <c r="Q37" s="1"/>
      <c r="R37" s="1"/>
      <c r="S37" s="1"/>
      <c r="T37" s="1"/>
      <c r="U37" s="49"/>
      <c r="V37" s="1"/>
      <c r="W37" s="1"/>
      <c r="X37" s="1"/>
      <c r="Y37" s="1"/>
      <c r="Z37" s="52"/>
      <c r="AA37" s="1"/>
      <c r="AB37" s="1"/>
      <c r="AC37" s="1"/>
      <c r="AD37" s="1"/>
      <c r="AE37" s="221"/>
    </row>
    <row r="38" spans="1:31" x14ac:dyDescent="0.25">
      <c r="A38" s="108">
        <v>27</v>
      </c>
      <c r="B38" s="1"/>
      <c r="C38" s="1"/>
      <c r="D38" s="1"/>
      <c r="E38" s="1"/>
      <c r="F38" s="39"/>
      <c r="G38" s="1"/>
      <c r="H38" s="1"/>
      <c r="I38" s="1"/>
      <c r="J38" s="1"/>
      <c r="K38" s="43"/>
      <c r="L38" s="1"/>
      <c r="M38" s="1"/>
      <c r="N38" s="1"/>
      <c r="O38" s="1"/>
      <c r="P38" s="46"/>
      <c r="Q38" s="1"/>
      <c r="R38" s="1"/>
      <c r="S38" s="1"/>
      <c r="T38" s="1"/>
      <c r="U38" s="49"/>
      <c r="V38" s="1"/>
      <c r="W38" s="1"/>
      <c r="X38" s="1"/>
      <c r="Y38" s="1"/>
      <c r="Z38" s="52"/>
      <c r="AA38" s="1"/>
      <c r="AB38" s="1"/>
      <c r="AC38" s="1"/>
      <c r="AD38" s="1"/>
      <c r="AE38" s="221"/>
    </row>
    <row r="39" spans="1:31" x14ac:dyDescent="0.25">
      <c r="A39" s="108">
        <v>28</v>
      </c>
      <c r="B39" s="1"/>
      <c r="C39" s="1"/>
      <c r="D39" s="1"/>
      <c r="E39" s="1"/>
      <c r="F39" s="39"/>
      <c r="G39" s="1"/>
      <c r="H39" s="1"/>
      <c r="I39" s="1"/>
      <c r="J39" s="1"/>
      <c r="K39" s="43"/>
      <c r="L39" s="1"/>
      <c r="M39" s="1"/>
      <c r="N39" s="1"/>
      <c r="O39" s="1"/>
      <c r="P39" s="46"/>
      <c r="Q39" s="1"/>
      <c r="R39" s="1"/>
      <c r="S39" s="1"/>
      <c r="T39" s="1"/>
      <c r="U39" s="49"/>
      <c r="V39" s="1"/>
      <c r="W39" s="1"/>
      <c r="X39" s="1"/>
      <c r="Y39" s="1"/>
      <c r="Z39" s="52"/>
      <c r="AA39" s="1"/>
      <c r="AB39" s="1"/>
      <c r="AC39" s="1"/>
      <c r="AD39" s="1"/>
      <c r="AE39" s="221"/>
    </row>
    <row r="40" spans="1:31" x14ac:dyDescent="0.25">
      <c r="A40" s="108">
        <v>29</v>
      </c>
      <c r="B40" s="1"/>
      <c r="C40" s="1"/>
      <c r="D40" s="1"/>
      <c r="E40" s="1"/>
      <c r="F40" s="39"/>
      <c r="G40" s="1"/>
      <c r="H40" s="1"/>
      <c r="I40" s="1"/>
      <c r="J40" s="1"/>
      <c r="K40" s="43"/>
      <c r="L40" s="1"/>
      <c r="M40" s="1"/>
      <c r="N40" s="1"/>
      <c r="O40" s="1"/>
      <c r="P40" s="46"/>
      <c r="Q40" s="1"/>
      <c r="R40" s="1"/>
      <c r="S40" s="1"/>
      <c r="T40" s="1"/>
      <c r="U40" s="49"/>
      <c r="V40" s="1"/>
      <c r="W40" s="1"/>
      <c r="X40" s="1"/>
      <c r="Y40" s="1"/>
      <c r="Z40" s="52"/>
      <c r="AA40" s="1"/>
      <c r="AB40" s="1"/>
      <c r="AC40" s="1"/>
      <c r="AD40" s="1"/>
      <c r="AE40" s="221"/>
    </row>
    <row r="41" spans="1:31" x14ac:dyDescent="0.25">
      <c r="A41" s="108">
        <v>30</v>
      </c>
      <c r="B41" s="1"/>
      <c r="C41" s="1"/>
      <c r="D41" s="1"/>
      <c r="E41" s="1"/>
      <c r="F41" s="39"/>
      <c r="G41" s="1"/>
      <c r="H41" s="1"/>
      <c r="I41" s="1"/>
      <c r="J41" s="1"/>
      <c r="K41" s="43"/>
      <c r="L41" s="1"/>
      <c r="M41" s="1"/>
      <c r="N41" s="1"/>
      <c r="O41" s="1"/>
      <c r="P41" s="46"/>
      <c r="Q41" s="1"/>
      <c r="R41" s="1"/>
      <c r="S41" s="1"/>
      <c r="T41" s="1"/>
      <c r="U41" s="49"/>
      <c r="V41" s="1"/>
      <c r="W41" s="1"/>
      <c r="X41" s="1"/>
      <c r="Y41" s="1"/>
      <c r="Z41" s="52"/>
      <c r="AA41" s="1"/>
      <c r="AB41" s="1"/>
      <c r="AC41" s="1"/>
      <c r="AD41" s="1"/>
      <c r="AE41" s="221"/>
    </row>
    <row r="42" spans="1:31" x14ac:dyDescent="0.25">
      <c r="A42" s="108">
        <v>31</v>
      </c>
      <c r="B42" s="1"/>
      <c r="C42" s="1"/>
      <c r="D42" s="1"/>
      <c r="E42" s="1"/>
      <c r="F42" s="39"/>
      <c r="G42" s="1"/>
      <c r="H42" s="1"/>
      <c r="I42" s="1"/>
      <c r="J42" s="1"/>
      <c r="K42" s="43"/>
      <c r="L42" s="1"/>
      <c r="M42" s="1"/>
      <c r="N42" s="1"/>
      <c r="O42" s="1"/>
      <c r="P42" s="46"/>
      <c r="Q42" s="1"/>
      <c r="R42" s="1"/>
      <c r="S42" s="1"/>
      <c r="T42" s="1"/>
      <c r="U42" s="49"/>
      <c r="V42" s="1"/>
      <c r="W42" s="1"/>
      <c r="X42" s="1"/>
      <c r="Y42" s="1"/>
      <c r="Z42" s="52"/>
      <c r="AA42" s="1"/>
      <c r="AB42" s="1"/>
      <c r="AC42" s="1"/>
      <c r="AD42" s="1"/>
      <c r="AE42" s="221"/>
    </row>
    <row r="43" spans="1:31" x14ac:dyDescent="0.25">
      <c r="A43" s="108">
        <v>32</v>
      </c>
      <c r="B43" s="1"/>
      <c r="C43" s="1"/>
      <c r="D43" s="1"/>
      <c r="E43" s="1"/>
      <c r="F43" s="39"/>
      <c r="G43" s="1"/>
      <c r="H43" s="1"/>
      <c r="I43" s="1"/>
      <c r="J43" s="1"/>
      <c r="K43" s="43"/>
      <c r="L43" s="1"/>
      <c r="M43" s="1"/>
      <c r="N43" s="1"/>
      <c r="O43" s="1"/>
      <c r="P43" s="46"/>
      <c r="Q43" s="1"/>
      <c r="R43" s="1"/>
      <c r="S43" s="1"/>
      <c r="T43" s="1"/>
      <c r="U43" s="49"/>
      <c r="V43" s="1"/>
      <c r="W43" s="1"/>
      <c r="X43" s="1"/>
      <c r="Y43" s="1"/>
      <c r="Z43" s="52"/>
      <c r="AA43" s="1"/>
      <c r="AB43" s="1"/>
      <c r="AC43" s="1"/>
      <c r="AD43" s="1"/>
      <c r="AE43" s="221"/>
    </row>
    <row r="44" spans="1:31" x14ac:dyDescent="0.25">
      <c r="A44" s="108">
        <v>33</v>
      </c>
      <c r="B44" s="1"/>
      <c r="C44" s="1"/>
      <c r="D44" s="1"/>
      <c r="E44" s="1"/>
      <c r="F44" s="39"/>
      <c r="G44" s="1"/>
      <c r="H44" s="1"/>
      <c r="I44" s="1"/>
      <c r="J44" s="1"/>
      <c r="K44" s="43"/>
      <c r="L44" s="1"/>
      <c r="M44" s="1"/>
      <c r="N44" s="1"/>
      <c r="O44" s="1"/>
      <c r="P44" s="46"/>
      <c r="Q44" s="1"/>
      <c r="R44" s="1"/>
      <c r="S44" s="1"/>
      <c r="T44" s="1"/>
      <c r="U44" s="49"/>
      <c r="V44" s="1"/>
      <c r="W44" s="1"/>
      <c r="X44" s="1"/>
      <c r="Y44" s="1"/>
      <c r="Z44" s="52"/>
      <c r="AA44" s="1"/>
      <c r="AB44" s="1"/>
      <c r="AC44" s="1"/>
      <c r="AD44" s="1"/>
      <c r="AE44" s="221"/>
    </row>
    <row r="45" spans="1:31" x14ac:dyDescent="0.25">
      <c r="A45" s="108">
        <v>34</v>
      </c>
      <c r="B45" s="1"/>
      <c r="C45" s="1"/>
      <c r="D45" s="1"/>
      <c r="E45" s="1"/>
      <c r="F45" s="39"/>
      <c r="G45" s="1"/>
      <c r="H45" s="1"/>
      <c r="I45" s="1"/>
      <c r="J45" s="1"/>
      <c r="K45" s="43"/>
      <c r="L45" s="1"/>
      <c r="M45" s="1"/>
      <c r="N45" s="1"/>
      <c r="O45" s="1"/>
      <c r="P45" s="46"/>
      <c r="Q45" s="1"/>
      <c r="R45" s="1"/>
      <c r="S45" s="1"/>
      <c r="T45" s="1"/>
      <c r="U45" s="49"/>
      <c r="V45" s="1"/>
      <c r="W45" s="1"/>
      <c r="X45" s="1"/>
      <c r="Y45" s="1"/>
      <c r="Z45" s="52"/>
      <c r="AA45" s="1"/>
      <c r="AB45" s="1"/>
      <c r="AC45" s="1"/>
      <c r="AD45" s="1"/>
      <c r="AE45" s="221"/>
    </row>
    <row r="46" spans="1:31" x14ac:dyDescent="0.25">
      <c r="A46" s="108">
        <v>35</v>
      </c>
      <c r="B46" s="1"/>
      <c r="C46" s="1"/>
      <c r="D46" s="1"/>
      <c r="E46" s="1"/>
      <c r="F46" s="39"/>
      <c r="G46" s="1"/>
      <c r="H46" s="1"/>
      <c r="I46" s="1"/>
      <c r="J46" s="1"/>
      <c r="K46" s="43"/>
      <c r="L46" s="1"/>
      <c r="M46" s="1"/>
      <c r="N46" s="1"/>
      <c r="O46" s="1"/>
      <c r="P46" s="46"/>
      <c r="Q46" s="1"/>
      <c r="R46" s="1"/>
      <c r="S46" s="1"/>
      <c r="T46" s="1"/>
      <c r="U46" s="49"/>
      <c r="V46" s="1"/>
      <c r="W46" s="1"/>
      <c r="X46" s="1"/>
      <c r="Y46" s="1"/>
      <c r="Z46" s="52"/>
      <c r="AA46" s="1"/>
      <c r="AB46" s="1"/>
      <c r="AC46" s="1"/>
      <c r="AD46" s="1"/>
      <c r="AE46" s="221"/>
    </row>
    <row r="47" spans="1:31" x14ac:dyDescent="0.25">
      <c r="A47" s="108">
        <v>36</v>
      </c>
      <c r="B47" s="1"/>
      <c r="C47" s="1"/>
      <c r="D47" s="1"/>
      <c r="E47" s="1"/>
      <c r="F47" s="39"/>
      <c r="G47" s="1"/>
      <c r="H47" s="1"/>
      <c r="I47" s="1"/>
      <c r="J47" s="1"/>
      <c r="K47" s="43"/>
      <c r="L47" s="1"/>
      <c r="M47" s="1"/>
      <c r="N47" s="1"/>
      <c r="O47" s="1"/>
      <c r="P47" s="46"/>
      <c r="Q47" s="1"/>
      <c r="R47" s="1"/>
      <c r="S47" s="1"/>
      <c r="T47" s="1"/>
      <c r="U47" s="49"/>
      <c r="V47" s="1"/>
      <c r="W47" s="1"/>
      <c r="X47" s="1"/>
      <c r="Y47" s="1"/>
      <c r="Z47" s="52"/>
      <c r="AA47" s="1"/>
      <c r="AB47" s="1"/>
      <c r="AC47" s="1"/>
      <c r="AD47" s="1"/>
      <c r="AE47" s="221"/>
    </row>
    <row r="48" spans="1:31" x14ac:dyDescent="0.25">
      <c r="A48" s="108">
        <v>37</v>
      </c>
      <c r="B48" s="1"/>
      <c r="C48" s="1"/>
      <c r="D48" s="1"/>
      <c r="E48" s="1"/>
      <c r="F48" s="39"/>
      <c r="G48" s="1"/>
      <c r="H48" s="1"/>
      <c r="I48" s="1"/>
      <c r="J48" s="1"/>
      <c r="K48" s="43"/>
      <c r="L48" s="1"/>
      <c r="M48" s="1"/>
      <c r="N48" s="1"/>
      <c r="O48" s="1"/>
      <c r="P48" s="46"/>
      <c r="Q48" s="1"/>
      <c r="R48" s="1"/>
      <c r="S48" s="1"/>
      <c r="T48" s="1"/>
      <c r="U48" s="49"/>
      <c r="V48" s="1"/>
      <c r="W48" s="1"/>
      <c r="X48" s="1"/>
      <c r="Y48" s="1"/>
      <c r="Z48" s="52"/>
      <c r="AA48" s="1"/>
      <c r="AB48" s="1"/>
      <c r="AC48" s="1"/>
      <c r="AD48" s="1"/>
      <c r="AE48" s="221"/>
    </row>
    <row r="49" spans="1:31" x14ac:dyDescent="0.25">
      <c r="A49" s="108">
        <v>38</v>
      </c>
      <c r="B49" s="1"/>
      <c r="C49" s="1"/>
      <c r="D49" s="1"/>
      <c r="E49" s="1"/>
      <c r="F49" s="39"/>
      <c r="G49" s="1"/>
      <c r="H49" s="1"/>
      <c r="I49" s="1"/>
      <c r="J49" s="1"/>
      <c r="K49" s="43"/>
      <c r="L49" s="1"/>
      <c r="M49" s="1"/>
      <c r="N49" s="1"/>
      <c r="O49" s="1"/>
      <c r="P49" s="46"/>
      <c r="Q49" s="1"/>
      <c r="R49" s="1"/>
      <c r="S49" s="1"/>
      <c r="T49" s="1"/>
      <c r="U49" s="49"/>
      <c r="V49" s="1"/>
      <c r="W49" s="1"/>
      <c r="X49" s="1"/>
      <c r="Y49" s="1"/>
      <c r="Z49" s="52"/>
      <c r="AA49" s="1"/>
      <c r="AB49" s="1"/>
      <c r="AC49" s="1"/>
      <c r="AD49" s="1"/>
      <c r="AE49" s="221"/>
    </row>
    <row r="50" spans="1:31" x14ac:dyDescent="0.25">
      <c r="A50" s="108">
        <v>39</v>
      </c>
      <c r="B50" s="1"/>
      <c r="C50" s="1"/>
      <c r="D50" s="1"/>
      <c r="E50" s="1"/>
      <c r="F50" s="39"/>
      <c r="G50" s="1"/>
      <c r="H50" s="1"/>
      <c r="I50" s="1"/>
      <c r="J50" s="1"/>
      <c r="K50" s="43"/>
      <c r="L50" s="1"/>
      <c r="M50" s="1"/>
      <c r="N50" s="1"/>
      <c r="O50" s="1"/>
      <c r="P50" s="46"/>
      <c r="Q50" s="1"/>
      <c r="R50" s="1"/>
      <c r="S50" s="1"/>
      <c r="T50" s="1"/>
      <c r="U50" s="49"/>
      <c r="V50" s="1"/>
      <c r="W50" s="1"/>
      <c r="X50" s="1"/>
      <c r="Y50" s="1"/>
      <c r="Z50" s="52"/>
      <c r="AA50" s="1"/>
      <c r="AB50" s="1"/>
      <c r="AC50" s="1"/>
      <c r="AD50" s="1"/>
      <c r="AE50" s="221"/>
    </row>
    <row r="51" spans="1:31" x14ac:dyDescent="0.25">
      <c r="A51" s="108">
        <v>40</v>
      </c>
      <c r="B51" s="1"/>
      <c r="C51" s="1"/>
      <c r="D51" s="1"/>
      <c r="E51" s="1"/>
      <c r="F51" s="39"/>
      <c r="G51" s="1"/>
      <c r="H51" s="1"/>
      <c r="I51" s="1"/>
      <c r="J51" s="1"/>
      <c r="K51" s="43"/>
      <c r="L51" s="1"/>
      <c r="M51" s="1"/>
      <c r="N51" s="1"/>
      <c r="O51" s="1"/>
      <c r="P51" s="46"/>
      <c r="Q51" s="1"/>
      <c r="R51" s="1"/>
      <c r="S51" s="1"/>
      <c r="T51" s="1"/>
      <c r="U51" s="49"/>
      <c r="V51" s="1"/>
      <c r="W51" s="1"/>
      <c r="X51" s="1"/>
      <c r="Y51" s="1"/>
      <c r="Z51" s="52"/>
      <c r="AA51" s="1"/>
      <c r="AB51" s="1"/>
      <c r="AC51" s="1"/>
      <c r="AD51" s="1"/>
      <c r="AE51" s="221"/>
    </row>
    <row r="52" spans="1:31" x14ac:dyDescent="0.25">
      <c r="A52" s="108">
        <v>41</v>
      </c>
      <c r="B52" s="1"/>
      <c r="C52" s="1"/>
      <c r="D52" s="1"/>
      <c r="E52" s="1"/>
      <c r="F52" s="39"/>
      <c r="G52" s="1"/>
      <c r="H52" s="1"/>
      <c r="I52" s="1"/>
      <c r="J52" s="1"/>
      <c r="K52" s="43"/>
      <c r="L52" s="1"/>
      <c r="M52" s="1"/>
      <c r="N52" s="1"/>
      <c r="O52" s="1"/>
      <c r="P52" s="46"/>
      <c r="Q52" s="1"/>
      <c r="R52" s="1"/>
      <c r="S52" s="1"/>
      <c r="T52" s="1"/>
      <c r="U52" s="49"/>
      <c r="V52" s="1"/>
      <c r="W52" s="1"/>
      <c r="X52" s="1"/>
      <c r="Y52" s="1"/>
      <c r="Z52" s="52"/>
      <c r="AA52" s="1"/>
      <c r="AB52" s="1"/>
      <c r="AC52" s="1"/>
      <c r="AD52" s="1"/>
      <c r="AE52" s="221"/>
    </row>
    <row r="53" spans="1:31" x14ac:dyDescent="0.25">
      <c r="A53" s="108">
        <v>42</v>
      </c>
      <c r="B53" s="1"/>
      <c r="C53" s="1"/>
      <c r="D53" s="1"/>
      <c r="E53" s="1"/>
      <c r="F53" s="39"/>
      <c r="G53" s="1"/>
      <c r="H53" s="1"/>
      <c r="I53" s="1"/>
      <c r="J53" s="1"/>
      <c r="K53" s="43"/>
      <c r="L53" s="1"/>
      <c r="M53" s="1"/>
      <c r="N53" s="1"/>
      <c r="O53" s="1"/>
      <c r="P53" s="46"/>
      <c r="Q53" s="1"/>
      <c r="R53" s="1"/>
      <c r="S53" s="1"/>
      <c r="T53" s="1"/>
      <c r="U53" s="49"/>
      <c r="V53" s="1"/>
      <c r="W53" s="1"/>
      <c r="X53" s="1"/>
      <c r="Y53" s="1"/>
      <c r="Z53" s="52"/>
      <c r="AA53" s="1"/>
      <c r="AB53" s="1"/>
      <c r="AC53" s="1"/>
      <c r="AD53" s="1"/>
      <c r="AE53" s="221"/>
    </row>
    <row r="54" spans="1:31" x14ac:dyDescent="0.25">
      <c r="A54" s="108">
        <v>43</v>
      </c>
      <c r="B54" s="1"/>
      <c r="C54" s="1"/>
      <c r="D54" s="1"/>
      <c r="E54" s="1"/>
      <c r="F54" s="39"/>
      <c r="G54" s="1"/>
      <c r="H54" s="1"/>
      <c r="I54" s="1"/>
      <c r="J54" s="1"/>
      <c r="K54" s="43"/>
      <c r="L54" s="1"/>
      <c r="M54" s="1"/>
      <c r="N54" s="1"/>
      <c r="O54" s="1"/>
      <c r="P54" s="46"/>
      <c r="Q54" s="1"/>
      <c r="R54" s="1"/>
      <c r="S54" s="1"/>
      <c r="T54" s="1"/>
      <c r="U54" s="49"/>
      <c r="V54" s="1"/>
      <c r="W54" s="1"/>
      <c r="X54" s="1"/>
      <c r="Y54" s="1"/>
      <c r="Z54" s="52"/>
      <c r="AA54" s="1"/>
      <c r="AB54" s="1"/>
      <c r="AC54" s="1"/>
      <c r="AD54" s="1"/>
      <c r="AE54" s="221"/>
    </row>
    <row r="55" spans="1:31" x14ac:dyDescent="0.25">
      <c r="A55" s="108">
        <v>44</v>
      </c>
      <c r="B55" s="1"/>
      <c r="C55" s="1"/>
      <c r="D55" s="1"/>
      <c r="E55" s="1"/>
      <c r="F55" s="39"/>
      <c r="G55" s="1"/>
      <c r="H55" s="1"/>
      <c r="I55" s="1"/>
      <c r="J55" s="1"/>
      <c r="K55" s="43"/>
      <c r="L55" s="1"/>
      <c r="M55" s="1"/>
      <c r="N55" s="1"/>
      <c r="O55" s="1"/>
      <c r="P55" s="46"/>
      <c r="Q55" s="1"/>
      <c r="R55" s="1"/>
      <c r="S55" s="1"/>
      <c r="T55" s="1"/>
      <c r="U55" s="49"/>
      <c r="V55" s="1"/>
      <c r="W55" s="1"/>
      <c r="X55" s="1"/>
      <c r="Y55" s="1"/>
      <c r="Z55" s="52"/>
      <c r="AA55" s="1"/>
      <c r="AB55" s="1"/>
      <c r="AC55" s="1"/>
      <c r="AD55" s="1"/>
      <c r="AE55" s="221"/>
    </row>
    <row r="56" spans="1:31" x14ac:dyDescent="0.25">
      <c r="A56" s="108">
        <v>45</v>
      </c>
      <c r="B56" s="1"/>
      <c r="C56" s="1"/>
      <c r="D56" s="1"/>
      <c r="E56" s="1"/>
      <c r="F56" s="39"/>
      <c r="G56" s="1"/>
      <c r="H56" s="1"/>
      <c r="I56" s="1"/>
      <c r="J56" s="1"/>
      <c r="K56" s="43"/>
      <c r="L56" s="1"/>
      <c r="M56" s="1"/>
      <c r="N56" s="1"/>
      <c r="O56" s="1"/>
      <c r="P56" s="46"/>
      <c r="Q56" s="1"/>
      <c r="R56" s="1"/>
      <c r="S56" s="1"/>
      <c r="T56" s="1"/>
      <c r="U56" s="49"/>
      <c r="V56" s="1"/>
      <c r="W56" s="1"/>
      <c r="X56" s="1"/>
      <c r="Y56" s="1"/>
      <c r="Z56" s="52"/>
      <c r="AA56" s="1"/>
      <c r="AB56" s="1"/>
      <c r="AC56" s="1"/>
      <c r="AD56" s="1"/>
      <c r="AE56" s="221"/>
    </row>
    <row r="57" spans="1:31" x14ac:dyDescent="0.25">
      <c r="A57" s="108">
        <v>46</v>
      </c>
      <c r="B57" s="1"/>
      <c r="C57" s="1"/>
      <c r="D57" s="1"/>
      <c r="E57" s="1"/>
      <c r="F57" s="39"/>
      <c r="G57" s="1"/>
      <c r="H57" s="1"/>
      <c r="I57" s="1"/>
      <c r="J57" s="1"/>
      <c r="K57" s="43"/>
      <c r="L57" s="1"/>
      <c r="M57" s="1"/>
      <c r="N57" s="1"/>
      <c r="O57" s="1"/>
      <c r="P57" s="46"/>
      <c r="Q57" s="1"/>
      <c r="R57" s="1"/>
      <c r="S57" s="1"/>
      <c r="T57" s="1"/>
      <c r="U57" s="49"/>
      <c r="V57" s="1"/>
      <c r="W57" s="1"/>
      <c r="X57" s="1"/>
      <c r="Y57" s="1"/>
      <c r="Z57" s="52"/>
      <c r="AA57" s="1"/>
      <c r="AB57" s="1"/>
      <c r="AC57" s="1"/>
      <c r="AD57" s="1"/>
      <c r="AE57" s="221"/>
    </row>
    <row r="58" spans="1:31" x14ac:dyDescent="0.25">
      <c r="A58" s="108">
        <v>47</v>
      </c>
      <c r="B58" s="1"/>
      <c r="C58" s="1"/>
      <c r="D58" s="1"/>
      <c r="E58" s="1"/>
      <c r="F58" s="39"/>
      <c r="G58" s="1"/>
      <c r="H58" s="1"/>
      <c r="I58" s="1"/>
      <c r="J58" s="1"/>
      <c r="K58" s="43"/>
      <c r="L58" s="1"/>
      <c r="M58" s="1"/>
      <c r="N58" s="1"/>
      <c r="O58" s="1"/>
      <c r="P58" s="46"/>
      <c r="Q58" s="1"/>
      <c r="R58" s="1"/>
      <c r="S58" s="1"/>
      <c r="T58" s="1"/>
      <c r="U58" s="49"/>
      <c r="V58" s="1"/>
      <c r="W58" s="1"/>
      <c r="X58" s="1"/>
      <c r="Y58" s="1"/>
      <c r="Z58" s="52"/>
      <c r="AA58" s="1"/>
      <c r="AB58" s="1"/>
      <c r="AC58" s="1"/>
      <c r="AD58" s="1"/>
      <c r="AE58" s="221"/>
    </row>
    <row r="59" spans="1:31" x14ac:dyDescent="0.25">
      <c r="A59" s="108">
        <v>48</v>
      </c>
      <c r="B59" s="1"/>
      <c r="C59" s="1"/>
      <c r="D59" s="1"/>
      <c r="E59" s="1"/>
      <c r="F59" s="39"/>
      <c r="G59" s="1"/>
      <c r="H59" s="1"/>
      <c r="I59" s="1"/>
      <c r="J59" s="1"/>
      <c r="K59" s="43"/>
      <c r="L59" s="1"/>
      <c r="M59" s="1"/>
      <c r="N59" s="1"/>
      <c r="O59" s="1"/>
      <c r="P59" s="46"/>
      <c r="Q59" s="1"/>
      <c r="R59" s="1"/>
      <c r="S59" s="1"/>
      <c r="T59" s="1"/>
      <c r="U59" s="49"/>
      <c r="V59" s="1"/>
      <c r="W59" s="1"/>
      <c r="X59" s="1"/>
      <c r="Y59" s="1"/>
      <c r="Z59" s="52"/>
      <c r="AA59" s="1"/>
      <c r="AB59" s="1"/>
      <c r="AC59" s="1"/>
      <c r="AD59" s="1"/>
      <c r="AE59" s="221"/>
    </row>
    <row r="60" spans="1:31" x14ac:dyDescent="0.25">
      <c r="A60" s="108">
        <v>49</v>
      </c>
      <c r="B60" s="1"/>
      <c r="C60" s="1"/>
      <c r="D60" s="1"/>
      <c r="E60" s="1"/>
      <c r="F60" s="39"/>
      <c r="G60" s="1"/>
      <c r="H60" s="1"/>
      <c r="I60" s="1"/>
      <c r="J60" s="1"/>
      <c r="K60" s="43"/>
      <c r="L60" s="1"/>
      <c r="M60" s="1"/>
      <c r="N60" s="1"/>
      <c r="O60" s="1"/>
      <c r="P60" s="46"/>
      <c r="Q60" s="1"/>
      <c r="R60" s="1"/>
      <c r="S60" s="1"/>
      <c r="T60" s="1"/>
      <c r="U60" s="49"/>
      <c r="V60" s="1"/>
      <c r="W60" s="1"/>
      <c r="X60" s="1"/>
      <c r="Y60" s="1"/>
      <c r="Z60" s="52"/>
      <c r="AA60" s="1"/>
      <c r="AB60" s="1"/>
      <c r="AC60" s="1"/>
      <c r="AD60" s="1"/>
      <c r="AE60" s="221"/>
    </row>
    <row r="61" spans="1:31" x14ac:dyDescent="0.25">
      <c r="A61" s="108">
        <v>50</v>
      </c>
      <c r="B61" s="1"/>
      <c r="C61" s="1"/>
      <c r="D61" s="1"/>
      <c r="E61" s="1"/>
      <c r="F61" s="39"/>
      <c r="G61" s="1"/>
      <c r="H61" s="1"/>
      <c r="I61" s="1"/>
      <c r="J61" s="1"/>
      <c r="K61" s="43"/>
      <c r="L61" s="1"/>
      <c r="M61" s="1"/>
      <c r="N61" s="1"/>
      <c r="O61" s="1"/>
      <c r="P61" s="46"/>
      <c r="Q61" s="1"/>
      <c r="R61" s="1"/>
      <c r="S61" s="1"/>
      <c r="T61" s="1"/>
      <c r="U61" s="49"/>
      <c r="V61" s="1"/>
      <c r="W61" s="1"/>
      <c r="X61" s="1"/>
      <c r="Y61" s="1"/>
      <c r="Z61" s="52"/>
      <c r="AA61" s="1"/>
      <c r="AB61" s="1"/>
      <c r="AC61" s="1"/>
      <c r="AD61" s="1"/>
      <c r="AE61" s="221"/>
    </row>
    <row r="62" spans="1:31" x14ac:dyDescent="0.25">
      <c r="A62" s="108">
        <v>51</v>
      </c>
      <c r="B62" s="1"/>
      <c r="C62" s="1"/>
      <c r="D62" s="1"/>
      <c r="E62" s="1"/>
      <c r="F62" s="39"/>
      <c r="G62" s="1"/>
      <c r="H62" s="1"/>
      <c r="I62" s="1"/>
      <c r="J62" s="1"/>
      <c r="K62" s="43"/>
      <c r="L62" s="1"/>
      <c r="M62" s="1"/>
      <c r="N62" s="1"/>
      <c r="O62" s="1"/>
      <c r="P62" s="46"/>
      <c r="Q62" s="1"/>
      <c r="R62" s="1"/>
      <c r="S62" s="1"/>
      <c r="T62" s="1"/>
      <c r="U62" s="49"/>
      <c r="V62" s="1"/>
      <c r="W62" s="1"/>
      <c r="X62" s="1"/>
      <c r="Y62" s="1"/>
      <c r="Z62" s="52"/>
      <c r="AA62" s="1"/>
      <c r="AB62" s="1"/>
      <c r="AC62" s="1"/>
      <c r="AD62" s="1"/>
      <c r="AE62" s="221"/>
    </row>
    <row r="63" spans="1:31" x14ac:dyDescent="0.25">
      <c r="A63" s="108">
        <v>52</v>
      </c>
      <c r="B63" s="1"/>
      <c r="C63" s="1"/>
      <c r="D63" s="1"/>
      <c r="E63" s="1"/>
      <c r="F63" s="39"/>
      <c r="G63" s="1"/>
      <c r="H63" s="1"/>
      <c r="I63" s="1"/>
      <c r="J63" s="1"/>
      <c r="K63" s="43"/>
      <c r="L63" s="1"/>
      <c r="M63" s="1"/>
      <c r="N63" s="1"/>
      <c r="O63" s="1"/>
      <c r="P63" s="46"/>
      <c r="Q63" s="1"/>
      <c r="R63" s="1"/>
      <c r="S63" s="1"/>
      <c r="T63" s="1"/>
      <c r="U63" s="49"/>
      <c r="V63" s="1"/>
      <c r="W63" s="1"/>
      <c r="X63" s="1"/>
      <c r="Y63" s="1"/>
      <c r="Z63" s="52"/>
      <c r="AA63" s="1"/>
      <c r="AB63" s="1"/>
      <c r="AC63" s="1"/>
      <c r="AD63" s="1"/>
      <c r="AE63" s="221"/>
    </row>
    <row r="64" spans="1:31" x14ac:dyDescent="0.25">
      <c r="A64" s="108">
        <v>53</v>
      </c>
      <c r="B64" s="1"/>
      <c r="C64" s="1"/>
      <c r="D64" s="1"/>
      <c r="E64" s="1"/>
      <c r="F64" s="39"/>
      <c r="G64" s="1"/>
      <c r="H64" s="1"/>
      <c r="I64" s="1"/>
      <c r="J64" s="1"/>
      <c r="K64" s="43"/>
      <c r="L64" s="1"/>
      <c r="M64" s="1"/>
      <c r="N64" s="1"/>
      <c r="O64" s="1"/>
      <c r="P64" s="46"/>
      <c r="Q64" s="1"/>
      <c r="R64" s="1"/>
      <c r="S64" s="1"/>
      <c r="T64" s="1"/>
      <c r="U64" s="49"/>
      <c r="V64" s="1"/>
      <c r="W64" s="1"/>
      <c r="X64" s="1"/>
      <c r="Y64" s="1"/>
      <c r="Z64" s="52"/>
      <c r="AA64" s="1"/>
      <c r="AB64" s="1"/>
      <c r="AC64" s="1"/>
      <c r="AD64" s="1"/>
      <c r="AE64" s="221"/>
    </row>
    <row r="65" spans="1:31" x14ac:dyDescent="0.25">
      <c r="A65" s="108">
        <v>54</v>
      </c>
      <c r="B65" s="1"/>
      <c r="C65" s="1"/>
      <c r="D65" s="1"/>
      <c r="E65" s="1"/>
      <c r="F65" s="39"/>
      <c r="G65" s="1"/>
      <c r="H65" s="1"/>
      <c r="I65" s="1"/>
      <c r="J65" s="1"/>
      <c r="K65" s="43"/>
      <c r="L65" s="1"/>
      <c r="M65" s="1"/>
      <c r="N65" s="1"/>
      <c r="O65" s="1"/>
      <c r="P65" s="46"/>
      <c r="Q65" s="1"/>
      <c r="R65" s="1"/>
      <c r="S65" s="1"/>
      <c r="T65" s="1"/>
      <c r="U65" s="49"/>
      <c r="V65" s="1"/>
      <c r="W65" s="1"/>
      <c r="X65" s="1"/>
      <c r="Y65" s="1"/>
      <c r="Z65" s="52"/>
      <c r="AA65" s="1"/>
      <c r="AB65" s="1"/>
      <c r="AC65" s="1"/>
      <c r="AD65" s="1"/>
      <c r="AE65" s="221"/>
    </row>
    <row r="66" spans="1:31" x14ac:dyDescent="0.25">
      <c r="A66" s="108">
        <v>55</v>
      </c>
      <c r="B66" s="1"/>
      <c r="C66" s="1"/>
      <c r="D66" s="1"/>
      <c r="E66" s="1"/>
      <c r="F66" s="39"/>
      <c r="G66" s="1"/>
      <c r="H66" s="1"/>
      <c r="I66" s="1"/>
      <c r="J66" s="1"/>
      <c r="K66" s="43"/>
      <c r="L66" s="1"/>
      <c r="M66" s="1"/>
      <c r="N66" s="1"/>
      <c r="O66" s="1"/>
      <c r="P66" s="46"/>
      <c r="Q66" s="1"/>
      <c r="R66" s="1"/>
      <c r="S66" s="1"/>
      <c r="T66" s="1"/>
      <c r="U66" s="49"/>
      <c r="V66" s="1"/>
      <c r="W66" s="1"/>
      <c r="X66" s="1"/>
      <c r="Y66" s="1"/>
      <c r="Z66" s="52"/>
      <c r="AA66" s="1"/>
      <c r="AB66" s="1"/>
      <c r="AC66" s="1"/>
      <c r="AD66" s="1"/>
      <c r="AE66" s="221"/>
    </row>
    <row r="67" spans="1:31" x14ac:dyDescent="0.25">
      <c r="A67" s="108">
        <v>56</v>
      </c>
      <c r="B67" s="1"/>
      <c r="C67" s="1"/>
      <c r="D67" s="1"/>
      <c r="E67" s="1"/>
      <c r="F67" s="39"/>
      <c r="G67" s="1"/>
      <c r="H67" s="1"/>
      <c r="I67" s="1"/>
      <c r="J67" s="1"/>
      <c r="K67" s="43"/>
      <c r="L67" s="1"/>
      <c r="M67" s="1"/>
      <c r="N67" s="1"/>
      <c r="O67" s="1"/>
      <c r="P67" s="46"/>
      <c r="Q67" s="1"/>
      <c r="R67" s="1"/>
      <c r="S67" s="1"/>
      <c r="T67" s="1"/>
      <c r="U67" s="49"/>
      <c r="V67" s="1"/>
      <c r="W67" s="1"/>
      <c r="X67" s="1"/>
      <c r="Y67" s="1"/>
      <c r="Z67" s="52"/>
      <c r="AA67" s="1"/>
      <c r="AB67" s="1"/>
      <c r="AC67" s="1"/>
      <c r="AD67" s="1"/>
      <c r="AE67" s="221"/>
    </row>
    <row r="68" spans="1:31" x14ac:dyDescent="0.25">
      <c r="A68" s="108">
        <v>57</v>
      </c>
      <c r="B68" s="1"/>
      <c r="C68" s="1"/>
      <c r="D68" s="1"/>
      <c r="E68" s="1"/>
      <c r="F68" s="39"/>
      <c r="G68" s="1"/>
      <c r="H68" s="1"/>
      <c r="I68" s="1"/>
      <c r="J68" s="1"/>
      <c r="K68" s="43"/>
      <c r="L68" s="1"/>
      <c r="M68" s="1"/>
      <c r="N68" s="1"/>
      <c r="O68" s="1"/>
      <c r="P68" s="46"/>
      <c r="Q68" s="1"/>
      <c r="R68" s="1"/>
      <c r="S68" s="1"/>
      <c r="T68" s="1"/>
      <c r="U68" s="49"/>
      <c r="V68" s="1"/>
      <c r="W68" s="1"/>
      <c r="X68" s="1"/>
      <c r="Y68" s="1"/>
      <c r="Z68" s="52"/>
      <c r="AA68" s="1"/>
      <c r="AB68" s="1"/>
      <c r="AC68" s="1"/>
      <c r="AD68" s="1"/>
      <c r="AE68" s="221"/>
    </row>
    <row r="69" spans="1:31" x14ac:dyDescent="0.25">
      <c r="A69" s="108">
        <v>58</v>
      </c>
      <c r="B69" s="1"/>
      <c r="C69" s="1"/>
      <c r="D69" s="1"/>
      <c r="E69" s="1"/>
      <c r="F69" s="39"/>
      <c r="G69" s="1"/>
      <c r="H69" s="1"/>
      <c r="I69" s="1"/>
      <c r="J69" s="1"/>
      <c r="K69" s="43"/>
      <c r="L69" s="1"/>
      <c r="M69" s="1"/>
      <c r="N69" s="1"/>
      <c r="O69" s="1"/>
      <c r="P69" s="46"/>
      <c r="Q69" s="1"/>
      <c r="R69" s="1"/>
      <c r="S69" s="1"/>
      <c r="T69" s="1"/>
      <c r="U69" s="49"/>
      <c r="V69" s="1"/>
      <c r="W69" s="1"/>
      <c r="X69" s="1"/>
      <c r="Y69" s="1"/>
      <c r="Z69" s="52"/>
      <c r="AA69" s="1"/>
      <c r="AB69" s="1"/>
      <c r="AC69" s="1"/>
      <c r="AD69" s="1"/>
      <c r="AE69" s="221"/>
    </row>
    <row r="70" spans="1:31" x14ac:dyDescent="0.25">
      <c r="A70" s="108">
        <v>59</v>
      </c>
      <c r="B70" s="1"/>
      <c r="C70" s="1"/>
      <c r="D70" s="1"/>
      <c r="E70" s="1"/>
      <c r="F70" s="39"/>
      <c r="G70" s="1"/>
      <c r="H70" s="1"/>
      <c r="I70" s="1"/>
      <c r="J70" s="1"/>
      <c r="K70" s="43"/>
      <c r="L70" s="1"/>
      <c r="M70" s="1"/>
      <c r="N70" s="1"/>
      <c r="O70" s="1"/>
      <c r="P70" s="46"/>
      <c r="Q70" s="1"/>
      <c r="R70" s="1"/>
      <c r="S70" s="1"/>
      <c r="T70" s="1"/>
      <c r="U70" s="49"/>
      <c r="V70" s="1"/>
      <c r="W70" s="1"/>
      <c r="X70" s="1"/>
      <c r="Y70" s="1"/>
      <c r="Z70" s="52"/>
      <c r="AA70" s="1"/>
      <c r="AB70" s="1"/>
      <c r="AC70" s="1"/>
      <c r="AD70" s="1"/>
      <c r="AE70" s="221"/>
    </row>
    <row r="71" spans="1:31" x14ac:dyDescent="0.25">
      <c r="A71" s="108">
        <v>60</v>
      </c>
      <c r="B71" s="1"/>
      <c r="C71" s="1"/>
      <c r="D71" s="1"/>
      <c r="E71" s="1"/>
      <c r="F71" s="39"/>
      <c r="G71" s="1"/>
      <c r="H71" s="1"/>
      <c r="I71" s="1"/>
      <c r="J71" s="1"/>
      <c r="K71" s="43"/>
      <c r="L71" s="1"/>
      <c r="M71" s="1"/>
      <c r="N71" s="1"/>
      <c r="O71" s="1"/>
      <c r="P71" s="46"/>
      <c r="Q71" s="1"/>
      <c r="R71" s="1"/>
      <c r="S71" s="1"/>
      <c r="T71" s="1"/>
      <c r="U71" s="49"/>
      <c r="V71" s="1"/>
      <c r="W71" s="1"/>
      <c r="X71" s="1"/>
      <c r="Y71" s="1"/>
      <c r="Z71" s="52"/>
      <c r="AA71" s="1"/>
      <c r="AB71" s="1"/>
      <c r="AC71" s="1"/>
      <c r="AD71" s="1"/>
      <c r="AE71" s="221"/>
    </row>
    <row r="72" spans="1:31" x14ac:dyDescent="0.25">
      <c r="A72" s="108">
        <v>61</v>
      </c>
      <c r="B72" s="1"/>
      <c r="C72" s="1"/>
      <c r="D72" s="1"/>
      <c r="E72" s="1"/>
      <c r="F72" s="39"/>
      <c r="G72" s="1"/>
      <c r="H72" s="1"/>
      <c r="I72" s="1"/>
      <c r="J72" s="1"/>
      <c r="K72" s="43"/>
      <c r="L72" s="1"/>
      <c r="M72" s="1"/>
      <c r="N72" s="1"/>
      <c r="O72" s="1"/>
      <c r="P72" s="46"/>
      <c r="Q72" s="1"/>
      <c r="R72" s="1"/>
      <c r="S72" s="1"/>
      <c r="T72" s="1"/>
      <c r="U72" s="49"/>
      <c r="V72" s="1"/>
      <c r="W72" s="1"/>
      <c r="X72" s="1"/>
      <c r="Y72" s="1"/>
      <c r="Z72" s="52"/>
      <c r="AA72" s="1"/>
      <c r="AB72" s="1"/>
      <c r="AC72" s="1"/>
      <c r="AD72" s="1"/>
      <c r="AE72" s="221"/>
    </row>
    <row r="73" spans="1:31" x14ac:dyDescent="0.25">
      <c r="A73" s="108">
        <v>62</v>
      </c>
      <c r="B73" s="1"/>
      <c r="C73" s="1"/>
      <c r="D73" s="1"/>
      <c r="E73" s="1"/>
      <c r="F73" s="39"/>
      <c r="G73" s="1"/>
      <c r="H73" s="1"/>
      <c r="I73" s="1"/>
      <c r="J73" s="1"/>
      <c r="K73" s="43"/>
      <c r="L73" s="1"/>
      <c r="M73" s="1"/>
      <c r="N73" s="1"/>
      <c r="O73" s="1"/>
      <c r="P73" s="46"/>
      <c r="Q73" s="1"/>
      <c r="R73" s="1"/>
      <c r="S73" s="1"/>
      <c r="T73" s="1"/>
      <c r="U73" s="49"/>
      <c r="V73" s="1"/>
      <c r="W73" s="1"/>
      <c r="X73" s="1"/>
      <c r="Y73" s="1"/>
      <c r="Z73" s="52"/>
      <c r="AA73" s="1"/>
      <c r="AB73" s="1"/>
      <c r="AC73" s="1"/>
      <c r="AD73" s="1"/>
      <c r="AE73" s="221"/>
    </row>
    <row r="74" spans="1:31" x14ac:dyDescent="0.25">
      <c r="A74" s="108">
        <v>63</v>
      </c>
      <c r="B74" s="1"/>
      <c r="C74" s="1"/>
      <c r="D74" s="1"/>
      <c r="E74" s="1"/>
      <c r="F74" s="39"/>
      <c r="G74" s="1"/>
      <c r="H74" s="1"/>
      <c r="I74" s="1"/>
      <c r="J74" s="1"/>
      <c r="K74" s="43"/>
      <c r="L74" s="1"/>
      <c r="M74" s="1"/>
      <c r="N74" s="1"/>
      <c r="O74" s="1"/>
      <c r="P74" s="46"/>
      <c r="Q74" s="1"/>
      <c r="R74" s="1"/>
      <c r="S74" s="1"/>
      <c r="T74" s="1"/>
      <c r="U74" s="49"/>
      <c r="V74" s="1"/>
      <c r="W74" s="1"/>
      <c r="X74" s="1"/>
      <c r="Y74" s="1"/>
      <c r="Z74" s="52"/>
      <c r="AA74" s="1"/>
      <c r="AB74" s="1"/>
      <c r="AC74" s="1"/>
      <c r="AD74" s="1"/>
      <c r="AE74" s="221"/>
    </row>
    <row r="75" spans="1:31" x14ac:dyDescent="0.25">
      <c r="A75" s="108">
        <v>64</v>
      </c>
      <c r="B75" s="1"/>
      <c r="C75" s="1"/>
      <c r="D75" s="1"/>
      <c r="E75" s="1"/>
      <c r="F75" s="39"/>
      <c r="G75" s="1"/>
      <c r="H75" s="1"/>
      <c r="I75" s="1"/>
      <c r="J75" s="1"/>
      <c r="K75" s="43"/>
      <c r="L75" s="1"/>
      <c r="M75" s="1"/>
      <c r="N75" s="1"/>
      <c r="O75" s="1"/>
      <c r="P75" s="46"/>
      <c r="Q75" s="1"/>
      <c r="R75" s="1"/>
      <c r="S75" s="1"/>
      <c r="T75" s="1"/>
      <c r="U75" s="49"/>
      <c r="V75" s="1"/>
      <c r="W75" s="1"/>
      <c r="X75" s="1"/>
      <c r="Y75" s="1"/>
      <c r="Z75" s="52"/>
      <c r="AA75" s="1"/>
      <c r="AB75" s="1"/>
      <c r="AC75" s="1"/>
      <c r="AD75" s="1"/>
      <c r="AE75" s="221"/>
    </row>
    <row r="76" spans="1:31" x14ac:dyDescent="0.25">
      <c r="A76" s="108">
        <v>65</v>
      </c>
      <c r="B76" s="1"/>
      <c r="C76" s="1"/>
      <c r="D76" s="1"/>
      <c r="E76" s="1"/>
      <c r="F76" s="39"/>
      <c r="G76" s="1"/>
      <c r="H76" s="1"/>
      <c r="I76" s="1"/>
      <c r="J76" s="1"/>
      <c r="K76" s="43"/>
      <c r="L76" s="1"/>
      <c r="M76" s="1"/>
      <c r="N76" s="1"/>
      <c r="O76" s="1"/>
      <c r="P76" s="46"/>
      <c r="Q76" s="1"/>
      <c r="R76" s="1"/>
      <c r="S76" s="1"/>
      <c r="T76" s="1"/>
      <c r="U76" s="49"/>
      <c r="V76" s="1"/>
      <c r="W76" s="1"/>
      <c r="X76" s="1"/>
      <c r="Y76" s="1"/>
      <c r="Z76" s="52"/>
      <c r="AA76" s="1"/>
      <c r="AB76" s="1"/>
      <c r="AC76" s="1"/>
      <c r="AD76" s="1"/>
      <c r="AE76" s="221"/>
    </row>
    <row r="77" spans="1:31" x14ac:dyDescent="0.25">
      <c r="A77" s="108">
        <v>66</v>
      </c>
      <c r="B77" s="1"/>
      <c r="C77" s="1"/>
      <c r="D77" s="1"/>
      <c r="E77" s="1"/>
      <c r="F77" s="39"/>
      <c r="G77" s="1"/>
      <c r="H77" s="1"/>
      <c r="I77" s="1"/>
      <c r="J77" s="1"/>
      <c r="K77" s="43"/>
      <c r="L77" s="1"/>
      <c r="M77" s="1"/>
      <c r="N77" s="1"/>
      <c r="O77" s="1"/>
      <c r="P77" s="46"/>
      <c r="Q77" s="1"/>
      <c r="R77" s="1"/>
      <c r="S77" s="1"/>
      <c r="T77" s="1"/>
      <c r="U77" s="49"/>
      <c r="V77" s="1"/>
      <c r="W77" s="1"/>
      <c r="X77" s="1"/>
      <c r="Y77" s="1"/>
      <c r="Z77" s="52"/>
      <c r="AA77" s="1"/>
      <c r="AB77" s="1"/>
      <c r="AC77" s="1"/>
      <c r="AD77" s="1"/>
      <c r="AE77" s="221"/>
    </row>
    <row r="78" spans="1:31" x14ac:dyDescent="0.25">
      <c r="A78" s="108">
        <v>67</v>
      </c>
      <c r="B78" s="1"/>
      <c r="C78" s="1"/>
      <c r="D78" s="1"/>
      <c r="E78" s="1"/>
      <c r="F78" s="39"/>
      <c r="G78" s="1"/>
      <c r="H78" s="1"/>
      <c r="I78" s="1"/>
      <c r="J78" s="1"/>
      <c r="K78" s="43"/>
      <c r="L78" s="1"/>
      <c r="M78" s="1"/>
      <c r="N78" s="1"/>
      <c r="O78" s="1"/>
      <c r="P78" s="46"/>
      <c r="Q78" s="1"/>
      <c r="R78" s="1"/>
      <c r="S78" s="1"/>
      <c r="T78" s="1"/>
      <c r="U78" s="49"/>
      <c r="V78" s="1"/>
      <c r="W78" s="1"/>
      <c r="X78" s="1"/>
      <c r="Y78" s="1"/>
      <c r="Z78" s="52"/>
      <c r="AA78" s="1"/>
      <c r="AB78" s="1"/>
      <c r="AC78" s="1"/>
      <c r="AD78" s="1"/>
      <c r="AE78" s="221"/>
    </row>
    <row r="79" spans="1:31" x14ac:dyDescent="0.25">
      <c r="A79" s="108">
        <v>68</v>
      </c>
      <c r="B79" s="1"/>
      <c r="C79" s="1"/>
      <c r="D79" s="1"/>
      <c r="E79" s="1"/>
      <c r="F79" s="39"/>
      <c r="G79" s="1"/>
      <c r="H79" s="1"/>
      <c r="I79" s="1"/>
      <c r="J79" s="1"/>
      <c r="K79" s="43"/>
      <c r="L79" s="1"/>
      <c r="M79" s="1"/>
      <c r="N79" s="1"/>
      <c r="O79" s="1"/>
      <c r="P79" s="46"/>
      <c r="Q79" s="1"/>
      <c r="R79" s="1"/>
      <c r="S79" s="1"/>
      <c r="T79" s="1"/>
      <c r="U79" s="49"/>
      <c r="V79" s="1"/>
      <c r="W79" s="1"/>
      <c r="X79" s="1"/>
      <c r="Y79" s="1"/>
      <c r="Z79" s="52"/>
      <c r="AA79" s="1"/>
      <c r="AB79" s="1"/>
      <c r="AC79" s="1"/>
      <c r="AD79" s="1"/>
      <c r="AE79" s="221"/>
    </row>
    <row r="80" spans="1:31" x14ac:dyDescent="0.25">
      <c r="A80" s="108">
        <v>69</v>
      </c>
      <c r="B80" s="1"/>
      <c r="C80" s="1"/>
      <c r="D80" s="1"/>
      <c r="E80" s="1"/>
      <c r="F80" s="39"/>
      <c r="G80" s="1"/>
      <c r="H80" s="1"/>
      <c r="I80" s="1"/>
      <c r="J80" s="1"/>
      <c r="K80" s="43"/>
      <c r="L80" s="1"/>
      <c r="M80" s="1"/>
      <c r="N80" s="1"/>
      <c r="O80" s="1"/>
      <c r="P80" s="46"/>
      <c r="Q80" s="1"/>
      <c r="R80" s="1"/>
      <c r="S80" s="1"/>
      <c r="T80" s="1"/>
      <c r="U80" s="49"/>
      <c r="V80" s="1"/>
      <c r="W80" s="1"/>
      <c r="X80" s="1"/>
      <c r="Y80" s="1"/>
      <c r="Z80" s="52"/>
      <c r="AA80" s="1"/>
      <c r="AB80" s="1"/>
      <c r="AC80" s="1"/>
      <c r="AD80" s="1"/>
      <c r="AE80" s="221"/>
    </row>
    <row r="81" spans="1:31" x14ac:dyDescent="0.25">
      <c r="A81" s="108">
        <v>70</v>
      </c>
      <c r="B81" s="1"/>
      <c r="C81" s="1"/>
      <c r="D81" s="1"/>
      <c r="E81" s="1"/>
      <c r="F81" s="39"/>
      <c r="G81" s="1"/>
      <c r="H81" s="1"/>
      <c r="I81" s="1"/>
      <c r="J81" s="1"/>
      <c r="K81" s="43"/>
      <c r="L81" s="1"/>
      <c r="M81" s="1"/>
      <c r="N81" s="1"/>
      <c r="O81" s="1"/>
      <c r="P81" s="46"/>
      <c r="Q81" s="1"/>
      <c r="R81" s="1"/>
      <c r="S81" s="1"/>
      <c r="T81" s="1"/>
      <c r="U81" s="49"/>
      <c r="V81" s="1"/>
      <c r="W81" s="1"/>
      <c r="X81" s="1"/>
      <c r="Y81" s="1"/>
      <c r="Z81" s="52"/>
      <c r="AA81" s="1"/>
      <c r="AB81" s="1"/>
      <c r="AC81" s="1"/>
      <c r="AD81" s="1"/>
      <c r="AE81" s="221"/>
    </row>
    <row r="82" spans="1:31" x14ac:dyDescent="0.25">
      <c r="A82" s="108">
        <v>71</v>
      </c>
      <c r="B82" s="1"/>
      <c r="C82" s="1"/>
      <c r="D82" s="1"/>
      <c r="E82" s="1"/>
      <c r="F82" s="39"/>
      <c r="G82" s="1"/>
      <c r="H82" s="1"/>
      <c r="I82" s="1"/>
      <c r="J82" s="1"/>
      <c r="K82" s="43"/>
      <c r="L82" s="1"/>
      <c r="M82" s="1"/>
      <c r="N82" s="1"/>
      <c r="O82" s="1"/>
      <c r="P82" s="46"/>
      <c r="Q82" s="1"/>
      <c r="R82" s="1"/>
      <c r="S82" s="1"/>
      <c r="T82" s="1"/>
      <c r="U82" s="49"/>
      <c r="V82" s="1"/>
      <c r="W82" s="1"/>
      <c r="X82" s="1"/>
      <c r="Y82" s="1"/>
      <c r="Z82" s="52"/>
      <c r="AA82" s="1"/>
      <c r="AB82" s="1"/>
      <c r="AC82" s="1"/>
      <c r="AD82" s="1"/>
      <c r="AE82" s="221"/>
    </row>
    <row r="83" spans="1:31" x14ac:dyDescent="0.25">
      <c r="A83" s="108">
        <v>72</v>
      </c>
      <c r="B83" s="1"/>
      <c r="C83" s="1"/>
      <c r="D83" s="1"/>
      <c r="E83" s="1"/>
      <c r="F83" s="39"/>
      <c r="G83" s="1"/>
      <c r="H83" s="1"/>
      <c r="I83" s="1"/>
      <c r="J83" s="1"/>
      <c r="K83" s="43"/>
      <c r="L83" s="1"/>
      <c r="M83" s="1"/>
      <c r="N83" s="1"/>
      <c r="O83" s="1"/>
      <c r="P83" s="46"/>
      <c r="Q83" s="1"/>
      <c r="R83" s="1"/>
      <c r="S83" s="1"/>
      <c r="T83" s="1"/>
      <c r="U83" s="49"/>
      <c r="V83" s="1"/>
      <c r="W83" s="1"/>
      <c r="X83" s="1"/>
      <c r="Y83" s="1"/>
      <c r="Z83" s="52"/>
      <c r="AA83" s="1"/>
      <c r="AB83" s="1"/>
      <c r="AC83" s="1"/>
      <c r="AD83" s="1"/>
      <c r="AE83" s="221"/>
    </row>
    <row r="84" spans="1:31" x14ac:dyDescent="0.25">
      <c r="A84" s="108">
        <v>73</v>
      </c>
      <c r="B84" s="1"/>
      <c r="C84" s="1"/>
      <c r="D84" s="1"/>
      <c r="E84" s="1"/>
      <c r="F84" s="39"/>
      <c r="G84" s="1"/>
      <c r="H84" s="1"/>
      <c r="I84" s="1"/>
      <c r="J84" s="1"/>
      <c r="K84" s="43"/>
      <c r="L84" s="1"/>
      <c r="M84" s="1"/>
      <c r="N84" s="1"/>
      <c r="O84" s="1"/>
      <c r="P84" s="46"/>
      <c r="Q84" s="1"/>
      <c r="R84" s="1"/>
      <c r="S84" s="1"/>
      <c r="T84" s="1"/>
      <c r="U84" s="49"/>
      <c r="V84" s="1"/>
      <c r="W84" s="1"/>
      <c r="X84" s="1"/>
      <c r="Y84" s="1"/>
      <c r="Z84" s="52"/>
      <c r="AA84" s="1"/>
      <c r="AB84" s="1"/>
      <c r="AC84" s="1"/>
      <c r="AD84" s="1"/>
      <c r="AE84" s="221"/>
    </row>
    <row r="85" spans="1:31" x14ac:dyDescent="0.25">
      <c r="A85" s="108">
        <v>74</v>
      </c>
      <c r="B85" s="1"/>
      <c r="C85" s="1"/>
      <c r="D85" s="1"/>
      <c r="E85" s="1"/>
      <c r="F85" s="39"/>
      <c r="G85" s="1"/>
      <c r="H85" s="1"/>
      <c r="I85" s="1"/>
      <c r="J85" s="1"/>
      <c r="K85" s="43"/>
      <c r="L85" s="1"/>
      <c r="M85" s="1"/>
      <c r="N85" s="1"/>
      <c r="O85" s="1"/>
      <c r="P85" s="46"/>
      <c r="Q85" s="1"/>
      <c r="R85" s="1"/>
      <c r="S85" s="1"/>
      <c r="T85" s="1"/>
      <c r="U85" s="49"/>
      <c r="V85" s="1"/>
      <c r="W85" s="1"/>
      <c r="X85" s="1"/>
      <c r="Y85" s="1"/>
      <c r="Z85" s="52"/>
      <c r="AA85" s="1"/>
      <c r="AB85" s="1"/>
      <c r="AC85" s="1"/>
      <c r="AD85" s="1"/>
      <c r="AE85" s="221"/>
    </row>
    <row r="86" spans="1:31" x14ac:dyDescent="0.25">
      <c r="A86" s="108">
        <v>75</v>
      </c>
      <c r="B86" s="1"/>
      <c r="C86" s="1"/>
      <c r="D86" s="1"/>
      <c r="E86" s="1"/>
      <c r="F86" s="39"/>
      <c r="G86" s="1"/>
      <c r="H86" s="1"/>
      <c r="I86" s="1"/>
      <c r="J86" s="1"/>
      <c r="K86" s="43"/>
      <c r="L86" s="1"/>
      <c r="M86" s="1"/>
      <c r="N86" s="1"/>
      <c r="O86" s="1"/>
      <c r="P86" s="46"/>
      <c r="Q86" s="1"/>
      <c r="R86" s="1"/>
      <c r="S86" s="1"/>
      <c r="T86" s="1"/>
      <c r="U86" s="49"/>
      <c r="V86" s="1"/>
      <c r="W86" s="1"/>
      <c r="X86" s="1"/>
      <c r="Y86" s="1"/>
      <c r="Z86" s="52"/>
      <c r="AA86" s="1"/>
      <c r="AB86" s="1"/>
      <c r="AC86" s="1"/>
      <c r="AD86" s="1"/>
      <c r="AE86" s="221"/>
    </row>
    <row r="87" spans="1:31" x14ac:dyDescent="0.25">
      <c r="A87" s="108">
        <v>76</v>
      </c>
      <c r="B87" s="1"/>
      <c r="C87" s="1"/>
      <c r="D87" s="1"/>
      <c r="E87" s="1"/>
      <c r="F87" s="39"/>
      <c r="G87" s="1"/>
      <c r="H87" s="1"/>
      <c r="I87" s="1"/>
      <c r="J87" s="1"/>
      <c r="K87" s="43"/>
      <c r="L87" s="1"/>
      <c r="M87" s="1"/>
      <c r="N87" s="1"/>
      <c r="O87" s="1"/>
      <c r="P87" s="46"/>
      <c r="Q87" s="1"/>
      <c r="R87" s="1"/>
      <c r="S87" s="1"/>
      <c r="T87" s="1"/>
      <c r="U87" s="49"/>
      <c r="V87" s="1"/>
      <c r="W87" s="1"/>
      <c r="X87" s="1"/>
      <c r="Y87" s="1"/>
      <c r="Z87" s="52"/>
      <c r="AA87" s="1"/>
      <c r="AB87" s="1"/>
      <c r="AC87" s="1"/>
      <c r="AD87" s="1"/>
      <c r="AE87" s="221"/>
    </row>
    <row r="88" spans="1:31" x14ac:dyDescent="0.25">
      <c r="A88" s="108">
        <v>77</v>
      </c>
      <c r="B88" s="1"/>
      <c r="C88" s="1"/>
      <c r="D88" s="1"/>
      <c r="E88" s="1"/>
      <c r="F88" s="39"/>
      <c r="G88" s="1"/>
      <c r="H88" s="1"/>
      <c r="I88" s="1"/>
      <c r="J88" s="1"/>
      <c r="K88" s="43"/>
      <c r="L88" s="1"/>
      <c r="M88" s="1"/>
      <c r="N88" s="1"/>
      <c r="O88" s="1"/>
      <c r="P88" s="46"/>
      <c r="Q88" s="1"/>
      <c r="R88" s="1"/>
      <c r="S88" s="1"/>
      <c r="T88" s="1"/>
      <c r="U88" s="49"/>
      <c r="V88" s="1"/>
      <c r="W88" s="1"/>
      <c r="X88" s="1"/>
      <c r="Y88" s="1"/>
      <c r="Z88" s="52"/>
      <c r="AA88" s="1"/>
      <c r="AB88" s="1"/>
      <c r="AC88" s="1"/>
      <c r="AD88" s="1"/>
      <c r="AE88" s="221"/>
    </row>
    <row r="89" spans="1:31" x14ac:dyDescent="0.25">
      <c r="A89" s="108">
        <v>78</v>
      </c>
      <c r="B89" s="1"/>
      <c r="C89" s="1"/>
      <c r="D89" s="1"/>
      <c r="E89" s="1"/>
      <c r="F89" s="39"/>
      <c r="G89" s="1"/>
      <c r="H89" s="1"/>
      <c r="I89" s="1"/>
      <c r="J89" s="1"/>
      <c r="K89" s="43"/>
      <c r="L89" s="1"/>
      <c r="M89" s="1"/>
      <c r="N89" s="1"/>
      <c r="O89" s="1"/>
      <c r="P89" s="46"/>
      <c r="Q89" s="1"/>
      <c r="R89" s="1"/>
      <c r="S89" s="1"/>
      <c r="T89" s="1"/>
      <c r="U89" s="49"/>
      <c r="V89" s="1"/>
      <c r="W89" s="1"/>
      <c r="X89" s="1"/>
      <c r="Y89" s="1"/>
      <c r="Z89" s="52"/>
      <c r="AA89" s="1"/>
      <c r="AB89" s="1"/>
      <c r="AC89" s="1"/>
      <c r="AD89" s="1"/>
      <c r="AE89" s="221"/>
    </row>
    <row r="90" spans="1:31" x14ac:dyDescent="0.25">
      <c r="A90" s="108">
        <v>79</v>
      </c>
      <c r="B90" s="1"/>
      <c r="C90" s="1"/>
      <c r="D90" s="1"/>
      <c r="E90" s="1"/>
      <c r="F90" s="39"/>
      <c r="G90" s="1"/>
      <c r="H90" s="1"/>
      <c r="I90" s="1"/>
      <c r="J90" s="1"/>
      <c r="K90" s="43"/>
      <c r="L90" s="1"/>
      <c r="M90" s="1"/>
      <c r="N90" s="1"/>
      <c r="O90" s="1"/>
      <c r="P90" s="46"/>
      <c r="Q90" s="1"/>
      <c r="R90" s="1"/>
      <c r="S90" s="1"/>
      <c r="T90" s="1"/>
      <c r="U90" s="49"/>
      <c r="V90" s="1"/>
      <c r="W90" s="1"/>
      <c r="X90" s="1"/>
      <c r="Y90" s="1"/>
      <c r="Z90" s="52"/>
      <c r="AA90" s="1"/>
      <c r="AB90" s="1"/>
      <c r="AC90" s="1"/>
      <c r="AD90" s="1"/>
      <c r="AE90" s="221"/>
    </row>
    <row r="91" spans="1:31" x14ac:dyDescent="0.25">
      <c r="A91" s="108">
        <v>80</v>
      </c>
      <c r="B91" s="1"/>
      <c r="C91" s="1"/>
      <c r="D91" s="1"/>
      <c r="E91" s="1"/>
      <c r="F91" s="39"/>
      <c r="G91" s="1"/>
      <c r="H91" s="1"/>
      <c r="I91" s="1"/>
      <c r="J91" s="1"/>
      <c r="K91" s="43"/>
      <c r="L91" s="1"/>
      <c r="M91" s="1"/>
      <c r="N91" s="1"/>
      <c r="O91" s="1"/>
      <c r="P91" s="46"/>
      <c r="Q91" s="1"/>
      <c r="R91" s="1"/>
      <c r="S91" s="1"/>
      <c r="T91" s="1"/>
      <c r="U91" s="49"/>
      <c r="V91" s="1"/>
      <c r="W91" s="1"/>
      <c r="X91" s="1"/>
      <c r="Y91" s="1"/>
      <c r="Z91" s="52"/>
      <c r="AA91" s="1"/>
      <c r="AB91" s="1"/>
      <c r="AC91" s="1"/>
      <c r="AD91" s="1"/>
      <c r="AE91" s="221"/>
    </row>
    <row r="92" spans="1:31" x14ac:dyDescent="0.25">
      <c r="A92" s="108">
        <v>81</v>
      </c>
      <c r="B92" s="1"/>
      <c r="C92" s="1"/>
      <c r="D92" s="1"/>
      <c r="E92" s="1"/>
      <c r="F92" s="39"/>
      <c r="G92" s="1"/>
      <c r="H92" s="1"/>
      <c r="I92" s="1"/>
      <c r="J92" s="1"/>
      <c r="K92" s="43"/>
      <c r="L92" s="1"/>
      <c r="M92" s="1"/>
      <c r="N92" s="1"/>
      <c r="O92" s="1"/>
      <c r="P92" s="46"/>
      <c r="Q92" s="1"/>
      <c r="R92" s="1"/>
      <c r="S92" s="1"/>
      <c r="T92" s="1"/>
      <c r="U92" s="49"/>
      <c r="V92" s="1"/>
      <c r="W92" s="1"/>
      <c r="X92" s="1"/>
      <c r="Y92" s="1"/>
      <c r="Z92" s="52"/>
      <c r="AA92" s="1"/>
      <c r="AB92" s="1"/>
      <c r="AC92" s="1"/>
      <c r="AD92" s="1"/>
      <c r="AE92" s="221"/>
    </row>
    <row r="93" spans="1:31" x14ac:dyDescent="0.25">
      <c r="A93" s="108">
        <v>82</v>
      </c>
      <c r="B93" s="1"/>
      <c r="C93" s="1"/>
      <c r="D93" s="1"/>
      <c r="E93" s="1"/>
      <c r="F93" s="39"/>
      <c r="G93" s="1"/>
      <c r="H93" s="1"/>
      <c r="I93" s="1"/>
      <c r="J93" s="1"/>
      <c r="K93" s="43"/>
      <c r="L93" s="1"/>
      <c r="M93" s="1"/>
      <c r="N93" s="1"/>
      <c r="O93" s="1"/>
      <c r="P93" s="46"/>
      <c r="Q93" s="1"/>
      <c r="R93" s="1"/>
      <c r="S93" s="1"/>
      <c r="T93" s="1"/>
      <c r="U93" s="49"/>
      <c r="V93" s="1"/>
      <c r="W93" s="1"/>
      <c r="X93" s="1"/>
      <c r="Y93" s="1"/>
      <c r="Z93" s="52"/>
      <c r="AA93" s="1"/>
      <c r="AB93" s="1"/>
      <c r="AC93" s="1"/>
      <c r="AD93" s="1"/>
      <c r="AE93" s="221"/>
    </row>
    <row r="94" spans="1:31" x14ac:dyDescent="0.25">
      <c r="A94" s="108">
        <v>83</v>
      </c>
      <c r="B94" s="1"/>
      <c r="C94" s="1"/>
      <c r="D94" s="1"/>
      <c r="E94" s="1"/>
      <c r="F94" s="39"/>
      <c r="G94" s="1"/>
      <c r="H94" s="1"/>
      <c r="I94" s="1"/>
      <c r="J94" s="1"/>
      <c r="K94" s="43"/>
      <c r="L94" s="1"/>
      <c r="M94" s="1"/>
      <c r="N94" s="1"/>
      <c r="O94" s="1"/>
      <c r="P94" s="46"/>
      <c r="Q94" s="1"/>
      <c r="R94" s="1"/>
      <c r="S94" s="1"/>
      <c r="T94" s="1"/>
      <c r="U94" s="49"/>
      <c r="V94" s="1"/>
      <c r="W94" s="1"/>
      <c r="X94" s="1"/>
      <c r="Y94" s="1"/>
      <c r="Z94" s="52"/>
      <c r="AA94" s="1"/>
      <c r="AB94" s="1"/>
      <c r="AC94" s="1"/>
      <c r="AD94" s="1"/>
      <c r="AE94" s="221"/>
    </row>
    <row r="95" spans="1:31" x14ac:dyDescent="0.25">
      <c r="A95" s="108">
        <v>84</v>
      </c>
      <c r="B95" s="1"/>
      <c r="C95" s="1"/>
      <c r="D95" s="1"/>
      <c r="E95" s="1"/>
      <c r="F95" s="39"/>
      <c r="G95" s="1"/>
      <c r="H95" s="1"/>
      <c r="I95" s="1"/>
      <c r="J95" s="1"/>
      <c r="K95" s="43"/>
      <c r="L95" s="1"/>
      <c r="M95" s="1"/>
      <c r="N95" s="1"/>
      <c r="O95" s="1"/>
      <c r="P95" s="46"/>
      <c r="Q95" s="1"/>
      <c r="R95" s="1"/>
      <c r="S95" s="1"/>
      <c r="T95" s="1"/>
      <c r="U95" s="49"/>
      <c r="V95" s="1"/>
      <c r="W95" s="1"/>
      <c r="X95" s="1"/>
      <c r="Y95" s="1"/>
      <c r="Z95" s="52"/>
      <c r="AA95" s="1"/>
      <c r="AB95" s="1"/>
      <c r="AC95" s="1"/>
      <c r="AD95" s="1"/>
      <c r="AE95" s="221"/>
    </row>
    <row r="96" spans="1:31" x14ac:dyDescent="0.25">
      <c r="A96" s="108">
        <v>85</v>
      </c>
      <c r="B96" s="1"/>
      <c r="C96" s="1"/>
      <c r="D96" s="1"/>
      <c r="E96" s="1"/>
      <c r="F96" s="39"/>
      <c r="G96" s="1"/>
      <c r="H96" s="1"/>
      <c r="I96" s="1"/>
      <c r="J96" s="1"/>
      <c r="K96" s="43"/>
      <c r="L96" s="1"/>
      <c r="M96" s="1"/>
      <c r="N96" s="1"/>
      <c r="O96" s="1"/>
      <c r="P96" s="46"/>
      <c r="Q96" s="1"/>
      <c r="R96" s="1"/>
      <c r="S96" s="1"/>
      <c r="T96" s="1"/>
      <c r="U96" s="49"/>
      <c r="V96" s="1"/>
      <c r="W96" s="1"/>
      <c r="X96" s="1"/>
      <c r="Y96" s="1"/>
      <c r="Z96" s="52"/>
      <c r="AA96" s="1"/>
      <c r="AB96" s="1"/>
      <c r="AC96" s="1"/>
      <c r="AD96" s="1"/>
      <c r="AE96" s="221"/>
    </row>
    <row r="97" spans="1:31" x14ac:dyDescent="0.25">
      <c r="A97" s="108">
        <v>86</v>
      </c>
      <c r="B97" s="1"/>
      <c r="C97" s="1"/>
      <c r="D97" s="1"/>
      <c r="E97" s="1"/>
      <c r="F97" s="39"/>
      <c r="G97" s="1"/>
      <c r="H97" s="1"/>
      <c r="I97" s="1"/>
      <c r="J97" s="1"/>
      <c r="K97" s="43"/>
      <c r="L97" s="1"/>
      <c r="M97" s="1"/>
      <c r="N97" s="1"/>
      <c r="O97" s="1"/>
      <c r="P97" s="46"/>
      <c r="Q97" s="1"/>
      <c r="R97" s="1"/>
      <c r="S97" s="1"/>
      <c r="T97" s="1"/>
      <c r="U97" s="49"/>
      <c r="V97" s="1"/>
      <c r="W97" s="1"/>
      <c r="X97" s="1"/>
      <c r="Y97" s="1"/>
      <c r="Z97" s="52"/>
      <c r="AA97" s="1"/>
      <c r="AB97" s="1"/>
      <c r="AC97" s="1"/>
      <c r="AD97" s="1"/>
      <c r="AE97" s="221"/>
    </row>
    <row r="98" spans="1:31" x14ac:dyDescent="0.25">
      <c r="A98" s="108">
        <v>87</v>
      </c>
      <c r="B98" s="1"/>
      <c r="C98" s="1"/>
      <c r="D98" s="1"/>
      <c r="E98" s="1"/>
      <c r="F98" s="39"/>
      <c r="G98" s="1"/>
      <c r="H98" s="1"/>
      <c r="I98" s="1"/>
      <c r="J98" s="1"/>
      <c r="K98" s="43"/>
      <c r="L98" s="1"/>
      <c r="M98" s="1"/>
      <c r="N98" s="1"/>
      <c r="O98" s="1"/>
      <c r="P98" s="46"/>
      <c r="Q98" s="1"/>
      <c r="R98" s="1"/>
      <c r="S98" s="1"/>
      <c r="T98" s="1"/>
      <c r="U98" s="49"/>
      <c r="V98" s="1"/>
      <c r="W98" s="1"/>
      <c r="X98" s="1"/>
      <c r="Y98" s="1"/>
      <c r="Z98" s="52"/>
      <c r="AA98" s="1"/>
      <c r="AB98" s="1"/>
      <c r="AC98" s="1"/>
      <c r="AD98" s="1"/>
      <c r="AE98" s="221"/>
    </row>
    <row r="99" spans="1:31" x14ac:dyDescent="0.25">
      <c r="A99" s="108">
        <v>88</v>
      </c>
      <c r="B99" s="1"/>
      <c r="C99" s="1"/>
      <c r="D99" s="1"/>
      <c r="E99" s="1"/>
      <c r="F99" s="39"/>
      <c r="G99" s="1"/>
      <c r="H99" s="1"/>
      <c r="I99" s="1"/>
      <c r="J99" s="1"/>
      <c r="K99" s="43"/>
      <c r="L99" s="1"/>
      <c r="M99" s="1"/>
      <c r="N99" s="1"/>
      <c r="O99" s="1"/>
      <c r="P99" s="46"/>
      <c r="Q99" s="1"/>
      <c r="R99" s="1"/>
      <c r="S99" s="1"/>
      <c r="T99" s="1"/>
      <c r="U99" s="49"/>
      <c r="V99" s="1"/>
      <c r="W99" s="1"/>
      <c r="X99" s="1"/>
      <c r="Y99" s="1"/>
      <c r="Z99" s="52"/>
      <c r="AA99" s="1"/>
      <c r="AB99" s="1"/>
      <c r="AC99" s="1"/>
      <c r="AD99" s="1"/>
      <c r="AE99" s="221"/>
    </row>
    <row r="100" spans="1:31" x14ac:dyDescent="0.25">
      <c r="A100" s="108">
        <v>89</v>
      </c>
      <c r="B100" s="1"/>
      <c r="C100" s="1"/>
      <c r="D100" s="1"/>
      <c r="E100" s="1"/>
      <c r="F100" s="39"/>
      <c r="G100" s="1"/>
      <c r="H100" s="1"/>
      <c r="I100" s="1"/>
      <c r="J100" s="1"/>
      <c r="K100" s="43"/>
      <c r="L100" s="1"/>
      <c r="M100" s="1"/>
      <c r="N100" s="1"/>
      <c r="O100" s="1"/>
      <c r="P100" s="46"/>
      <c r="Q100" s="1"/>
      <c r="R100" s="1"/>
      <c r="S100" s="1"/>
      <c r="T100" s="1"/>
      <c r="U100" s="49"/>
      <c r="V100" s="1"/>
      <c r="W100" s="1"/>
      <c r="X100" s="1"/>
      <c r="Y100" s="1"/>
      <c r="Z100" s="52"/>
      <c r="AA100" s="1"/>
      <c r="AB100" s="1"/>
      <c r="AC100" s="1"/>
      <c r="AD100" s="1"/>
      <c r="AE100" s="221"/>
    </row>
    <row r="101" spans="1:31" x14ac:dyDescent="0.25">
      <c r="A101" s="108">
        <v>90</v>
      </c>
      <c r="B101" s="1"/>
      <c r="C101" s="1"/>
      <c r="D101" s="1"/>
      <c r="E101" s="1"/>
      <c r="F101" s="39"/>
      <c r="G101" s="1"/>
      <c r="H101" s="1"/>
      <c r="I101" s="1"/>
      <c r="J101" s="1"/>
      <c r="K101" s="43"/>
      <c r="L101" s="1"/>
      <c r="M101" s="1"/>
      <c r="N101" s="1"/>
      <c r="O101" s="1"/>
      <c r="P101" s="46"/>
      <c r="Q101" s="1"/>
      <c r="R101" s="1"/>
      <c r="S101" s="1"/>
      <c r="T101" s="1"/>
      <c r="U101" s="49"/>
      <c r="V101" s="1"/>
      <c r="W101" s="1"/>
      <c r="X101" s="1"/>
      <c r="Y101" s="1"/>
      <c r="Z101" s="52"/>
      <c r="AA101" s="1"/>
      <c r="AB101" s="1"/>
      <c r="AC101" s="1"/>
      <c r="AD101" s="1"/>
      <c r="AE101" s="221"/>
    </row>
    <row r="102" spans="1:31" x14ac:dyDescent="0.25">
      <c r="A102" s="108">
        <v>91</v>
      </c>
      <c r="B102" s="1"/>
      <c r="C102" s="1"/>
      <c r="D102" s="1"/>
      <c r="E102" s="1"/>
      <c r="F102" s="39"/>
      <c r="G102" s="1"/>
      <c r="H102" s="1"/>
      <c r="I102" s="1"/>
      <c r="J102" s="1"/>
      <c r="K102" s="43"/>
      <c r="L102" s="1"/>
      <c r="M102" s="1"/>
      <c r="N102" s="1"/>
      <c r="O102" s="1"/>
      <c r="P102" s="46"/>
      <c r="Q102" s="1"/>
      <c r="R102" s="1"/>
      <c r="S102" s="1"/>
      <c r="T102" s="1"/>
      <c r="U102" s="49"/>
      <c r="V102" s="1"/>
      <c r="W102" s="1"/>
      <c r="X102" s="1"/>
      <c r="Y102" s="1"/>
      <c r="Z102" s="52"/>
      <c r="AA102" s="1"/>
      <c r="AB102" s="1"/>
      <c r="AC102" s="1"/>
      <c r="AD102" s="1"/>
      <c r="AE102" s="221"/>
    </row>
    <row r="103" spans="1:31" x14ac:dyDescent="0.25">
      <c r="A103" s="108">
        <v>92</v>
      </c>
      <c r="B103" s="1"/>
      <c r="C103" s="1"/>
      <c r="D103" s="1"/>
      <c r="E103" s="1"/>
      <c r="F103" s="39"/>
      <c r="G103" s="1"/>
      <c r="H103" s="1"/>
      <c r="I103" s="1"/>
      <c r="J103" s="1"/>
      <c r="K103" s="43"/>
      <c r="L103" s="1"/>
      <c r="M103" s="1"/>
      <c r="N103" s="1"/>
      <c r="O103" s="1"/>
      <c r="P103" s="46"/>
      <c r="Q103" s="1"/>
      <c r="R103" s="1"/>
      <c r="S103" s="1"/>
      <c r="T103" s="1"/>
      <c r="U103" s="49"/>
      <c r="V103" s="1"/>
      <c r="W103" s="1"/>
      <c r="X103" s="1"/>
      <c r="Y103" s="1"/>
      <c r="Z103" s="52"/>
      <c r="AA103" s="1"/>
      <c r="AB103" s="1"/>
      <c r="AC103" s="1"/>
      <c r="AD103" s="1"/>
      <c r="AE103" s="221"/>
    </row>
    <row r="104" spans="1:31" x14ac:dyDescent="0.25">
      <c r="A104" s="108">
        <v>93</v>
      </c>
      <c r="B104" s="1"/>
      <c r="C104" s="1"/>
      <c r="D104" s="1"/>
      <c r="E104" s="1"/>
      <c r="F104" s="39"/>
      <c r="G104" s="1"/>
      <c r="H104" s="1"/>
      <c r="I104" s="1"/>
      <c r="J104" s="1"/>
      <c r="K104" s="43"/>
      <c r="L104" s="1"/>
      <c r="M104" s="1"/>
      <c r="N104" s="1"/>
      <c r="O104" s="1"/>
      <c r="P104" s="46"/>
      <c r="Q104" s="1"/>
      <c r="R104" s="1"/>
      <c r="S104" s="1"/>
      <c r="T104" s="1"/>
      <c r="U104" s="49"/>
      <c r="V104" s="1"/>
      <c r="W104" s="1"/>
      <c r="X104" s="1"/>
      <c r="Y104" s="1"/>
      <c r="Z104" s="52"/>
      <c r="AA104" s="1"/>
      <c r="AB104" s="1"/>
      <c r="AC104" s="1"/>
      <c r="AD104" s="1"/>
      <c r="AE104" s="221"/>
    </row>
    <row r="105" spans="1:31" x14ac:dyDescent="0.25">
      <c r="A105" s="108">
        <v>94</v>
      </c>
      <c r="B105" s="1"/>
      <c r="C105" s="1"/>
      <c r="D105" s="1"/>
      <c r="E105" s="1"/>
      <c r="F105" s="39"/>
      <c r="G105" s="1"/>
      <c r="H105" s="1"/>
      <c r="I105" s="1"/>
      <c r="J105" s="1"/>
      <c r="K105" s="43"/>
      <c r="L105" s="1"/>
      <c r="M105" s="1"/>
      <c r="N105" s="1"/>
      <c r="O105" s="1"/>
      <c r="P105" s="46"/>
      <c r="Q105" s="1"/>
      <c r="R105" s="1"/>
      <c r="S105" s="1"/>
      <c r="T105" s="1"/>
      <c r="U105" s="49"/>
      <c r="V105" s="1"/>
      <c r="W105" s="1"/>
      <c r="X105" s="1"/>
      <c r="Y105" s="1"/>
      <c r="Z105" s="52"/>
      <c r="AA105" s="1"/>
      <c r="AB105" s="1"/>
      <c r="AC105" s="1"/>
      <c r="AD105" s="1"/>
      <c r="AE105" s="221"/>
    </row>
    <row r="106" spans="1:31" x14ac:dyDescent="0.25">
      <c r="A106" s="108">
        <v>95</v>
      </c>
      <c r="B106" s="1"/>
      <c r="C106" s="1"/>
      <c r="D106" s="1"/>
      <c r="E106" s="1"/>
      <c r="F106" s="39"/>
      <c r="G106" s="1"/>
      <c r="H106" s="1"/>
      <c r="I106" s="1"/>
      <c r="J106" s="1"/>
      <c r="K106" s="43"/>
      <c r="L106" s="1"/>
      <c r="M106" s="1"/>
      <c r="N106" s="1"/>
      <c r="O106" s="1"/>
      <c r="P106" s="46"/>
      <c r="Q106" s="1"/>
      <c r="R106" s="1"/>
      <c r="S106" s="1"/>
      <c r="T106" s="1"/>
      <c r="U106" s="49"/>
      <c r="V106" s="1"/>
      <c r="W106" s="1"/>
      <c r="X106" s="1"/>
      <c r="Y106" s="1"/>
      <c r="Z106" s="52"/>
      <c r="AA106" s="1"/>
      <c r="AB106" s="1"/>
      <c r="AC106" s="1"/>
      <c r="AD106" s="1"/>
      <c r="AE106" s="221"/>
    </row>
    <row r="107" spans="1:31" x14ac:dyDescent="0.25">
      <c r="A107" s="108">
        <v>96</v>
      </c>
      <c r="B107" s="1"/>
      <c r="C107" s="1"/>
      <c r="D107" s="1"/>
      <c r="E107" s="1"/>
      <c r="F107" s="39"/>
      <c r="G107" s="1"/>
      <c r="H107" s="1"/>
      <c r="I107" s="1"/>
      <c r="J107" s="1"/>
      <c r="K107" s="43"/>
      <c r="L107" s="1"/>
      <c r="M107" s="1"/>
      <c r="N107" s="1"/>
      <c r="O107" s="1"/>
      <c r="P107" s="46"/>
      <c r="Q107" s="1"/>
      <c r="R107" s="1"/>
      <c r="S107" s="1"/>
      <c r="T107" s="1"/>
      <c r="U107" s="49"/>
      <c r="V107" s="1"/>
      <c r="W107" s="1"/>
      <c r="X107" s="1"/>
      <c r="Y107" s="1"/>
      <c r="Z107" s="52"/>
      <c r="AA107" s="1"/>
      <c r="AB107" s="1"/>
      <c r="AC107" s="1"/>
      <c r="AD107" s="1"/>
      <c r="AE107" s="221"/>
    </row>
    <row r="108" spans="1:31" x14ac:dyDescent="0.25">
      <c r="A108" s="108">
        <v>97</v>
      </c>
      <c r="B108" s="1"/>
      <c r="C108" s="1"/>
      <c r="D108" s="1"/>
      <c r="E108" s="1"/>
      <c r="F108" s="39"/>
      <c r="G108" s="1"/>
      <c r="H108" s="1"/>
      <c r="I108" s="1"/>
      <c r="J108" s="1"/>
      <c r="K108" s="43"/>
      <c r="L108" s="1"/>
      <c r="M108" s="1"/>
      <c r="N108" s="1"/>
      <c r="O108" s="1"/>
      <c r="P108" s="46"/>
      <c r="Q108" s="1"/>
      <c r="R108" s="1"/>
      <c r="S108" s="1"/>
      <c r="T108" s="1"/>
      <c r="U108" s="49"/>
      <c r="V108" s="1"/>
      <c r="W108" s="1"/>
      <c r="X108" s="1"/>
      <c r="Y108" s="1"/>
      <c r="Z108" s="52"/>
      <c r="AA108" s="1"/>
      <c r="AB108" s="1"/>
      <c r="AC108" s="1"/>
      <c r="AD108" s="1"/>
      <c r="AE108" s="221"/>
    </row>
    <row r="109" spans="1:31" x14ac:dyDescent="0.25">
      <c r="A109" s="108">
        <v>98</v>
      </c>
      <c r="B109" s="1"/>
      <c r="C109" s="1"/>
      <c r="D109" s="1"/>
      <c r="E109" s="1"/>
      <c r="F109" s="39"/>
      <c r="G109" s="1"/>
      <c r="H109" s="1"/>
      <c r="I109" s="1"/>
      <c r="J109" s="1"/>
      <c r="K109" s="43"/>
      <c r="L109" s="1"/>
      <c r="M109" s="1"/>
      <c r="N109" s="1"/>
      <c r="O109" s="1"/>
      <c r="P109" s="46"/>
      <c r="Q109" s="1"/>
      <c r="R109" s="1"/>
      <c r="S109" s="1"/>
      <c r="T109" s="1"/>
      <c r="U109" s="49"/>
      <c r="V109" s="1"/>
      <c r="W109" s="1"/>
      <c r="X109" s="1"/>
      <c r="Y109" s="1"/>
      <c r="Z109" s="52"/>
      <c r="AA109" s="1"/>
      <c r="AB109" s="1"/>
      <c r="AC109" s="1"/>
      <c r="AD109" s="1"/>
      <c r="AE109" s="221"/>
    </row>
    <row r="110" spans="1:31" x14ac:dyDescent="0.25">
      <c r="A110" s="108">
        <v>99</v>
      </c>
      <c r="B110" s="1"/>
      <c r="C110" s="1"/>
      <c r="D110" s="1"/>
      <c r="E110" s="1"/>
      <c r="F110" s="39"/>
      <c r="G110" s="1"/>
      <c r="H110" s="1"/>
      <c r="I110" s="1"/>
      <c r="J110" s="1"/>
      <c r="K110" s="43"/>
      <c r="L110" s="1"/>
      <c r="M110" s="1"/>
      <c r="N110" s="1"/>
      <c r="O110" s="1"/>
      <c r="P110" s="46"/>
      <c r="Q110" s="1"/>
      <c r="R110" s="1"/>
      <c r="S110" s="1"/>
      <c r="T110" s="1"/>
      <c r="U110" s="49"/>
      <c r="V110" s="1"/>
      <c r="W110" s="1"/>
      <c r="X110" s="1"/>
      <c r="Y110" s="1"/>
      <c r="Z110" s="52"/>
      <c r="AA110" s="1"/>
      <c r="AB110" s="1"/>
      <c r="AC110" s="1"/>
      <c r="AD110" s="1"/>
      <c r="AE110" s="221"/>
    </row>
    <row r="111" spans="1:31" x14ac:dyDescent="0.25">
      <c r="A111" s="108">
        <v>100</v>
      </c>
      <c r="B111" s="1"/>
      <c r="C111" s="1"/>
      <c r="D111" s="1"/>
      <c r="E111" s="1"/>
      <c r="F111" s="39"/>
      <c r="G111" s="1"/>
      <c r="H111" s="1"/>
      <c r="I111" s="1"/>
      <c r="J111" s="1"/>
      <c r="K111" s="43"/>
      <c r="L111" s="1"/>
      <c r="M111" s="1"/>
      <c r="N111" s="1"/>
      <c r="O111" s="1"/>
      <c r="P111" s="46"/>
      <c r="Q111" s="1"/>
      <c r="R111" s="1"/>
      <c r="S111" s="1"/>
      <c r="T111" s="1"/>
      <c r="U111" s="49"/>
      <c r="V111" s="1"/>
      <c r="W111" s="1"/>
      <c r="X111" s="1"/>
      <c r="Y111" s="1"/>
      <c r="Z111" s="52"/>
      <c r="AA111" s="1"/>
      <c r="AB111" s="1"/>
      <c r="AC111" s="1"/>
      <c r="AD111" s="1"/>
      <c r="AE111" s="221"/>
    </row>
    <row r="112" spans="1:31" x14ac:dyDescent="0.25">
      <c r="A112" s="108">
        <v>101</v>
      </c>
      <c r="B112" s="1"/>
      <c r="C112" s="1"/>
      <c r="D112" s="1"/>
      <c r="E112" s="1"/>
      <c r="F112" s="39"/>
      <c r="G112" s="1"/>
      <c r="H112" s="1"/>
      <c r="I112" s="1"/>
      <c r="J112" s="1"/>
      <c r="K112" s="43"/>
      <c r="L112" s="1"/>
      <c r="M112" s="1"/>
      <c r="N112" s="1"/>
      <c r="O112" s="1"/>
      <c r="P112" s="46"/>
      <c r="Q112" s="1"/>
      <c r="R112" s="1"/>
      <c r="S112" s="1"/>
      <c r="T112" s="1"/>
      <c r="U112" s="49"/>
      <c r="V112" s="1"/>
      <c r="W112" s="1"/>
      <c r="X112" s="1"/>
      <c r="Y112" s="1"/>
      <c r="Z112" s="52"/>
      <c r="AA112" s="1"/>
      <c r="AB112" s="1"/>
      <c r="AC112" s="1"/>
      <c r="AD112" s="1"/>
      <c r="AE112" s="221"/>
    </row>
    <row r="113" spans="1:31" x14ac:dyDescent="0.25">
      <c r="A113" s="108">
        <v>102</v>
      </c>
      <c r="B113" s="1"/>
      <c r="C113" s="1"/>
      <c r="D113" s="1"/>
      <c r="E113" s="1"/>
      <c r="F113" s="39"/>
      <c r="G113" s="1"/>
      <c r="H113" s="1"/>
      <c r="I113" s="1"/>
      <c r="J113" s="1"/>
      <c r="K113" s="43"/>
      <c r="L113" s="1"/>
      <c r="M113" s="1"/>
      <c r="N113" s="1"/>
      <c r="O113" s="1"/>
      <c r="P113" s="46"/>
      <c r="Q113" s="1"/>
      <c r="R113" s="1"/>
      <c r="S113" s="1"/>
      <c r="T113" s="1"/>
      <c r="U113" s="49"/>
      <c r="V113" s="1"/>
      <c r="W113" s="1"/>
      <c r="X113" s="1"/>
      <c r="Y113" s="1"/>
      <c r="Z113" s="52"/>
      <c r="AA113" s="1"/>
      <c r="AB113" s="1"/>
      <c r="AC113" s="1"/>
      <c r="AD113" s="1"/>
      <c r="AE113" s="221"/>
    </row>
    <row r="114" spans="1:31" x14ac:dyDescent="0.25">
      <c r="A114" s="108">
        <v>103</v>
      </c>
      <c r="B114" s="1"/>
      <c r="C114" s="1"/>
      <c r="D114" s="1"/>
      <c r="E114" s="1"/>
      <c r="F114" s="39"/>
      <c r="G114" s="1"/>
      <c r="H114" s="1"/>
      <c r="I114" s="1"/>
      <c r="J114" s="1"/>
      <c r="K114" s="43"/>
      <c r="L114" s="1"/>
      <c r="M114" s="1"/>
      <c r="N114" s="1"/>
      <c r="O114" s="1"/>
      <c r="P114" s="46"/>
      <c r="Q114" s="1"/>
      <c r="R114" s="1"/>
      <c r="S114" s="1"/>
      <c r="T114" s="1"/>
      <c r="U114" s="49"/>
      <c r="V114" s="1"/>
      <c r="W114" s="1"/>
      <c r="X114" s="1"/>
      <c r="Y114" s="1"/>
      <c r="Z114" s="52"/>
      <c r="AA114" s="1"/>
      <c r="AB114" s="1"/>
      <c r="AC114" s="1"/>
      <c r="AD114" s="1"/>
      <c r="AE114" s="221"/>
    </row>
    <row r="115" spans="1:31" x14ac:dyDescent="0.25">
      <c r="A115" s="108">
        <v>104</v>
      </c>
      <c r="B115" s="1"/>
      <c r="C115" s="1"/>
      <c r="D115" s="1"/>
      <c r="E115" s="1"/>
      <c r="F115" s="39"/>
      <c r="G115" s="1"/>
      <c r="H115" s="1"/>
      <c r="I115" s="1"/>
      <c r="J115" s="1"/>
      <c r="K115" s="43"/>
      <c r="L115" s="1"/>
      <c r="M115" s="1"/>
      <c r="N115" s="1"/>
      <c r="O115" s="1"/>
      <c r="P115" s="46"/>
      <c r="Q115" s="1"/>
      <c r="R115" s="1"/>
      <c r="S115" s="1"/>
      <c r="T115" s="1"/>
      <c r="U115" s="49"/>
      <c r="V115" s="1"/>
      <c r="W115" s="1"/>
      <c r="X115" s="1"/>
      <c r="Y115" s="1"/>
      <c r="Z115" s="52"/>
      <c r="AA115" s="1"/>
      <c r="AB115" s="1"/>
      <c r="AC115" s="1"/>
      <c r="AD115" s="1"/>
      <c r="AE115" s="221"/>
    </row>
    <row r="116" spans="1:31" x14ac:dyDescent="0.25">
      <c r="A116" s="108">
        <v>105</v>
      </c>
      <c r="B116" s="1"/>
      <c r="C116" s="1"/>
      <c r="D116" s="1"/>
      <c r="E116" s="1"/>
      <c r="F116" s="39"/>
      <c r="G116" s="1"/>
      <c r="H116" s="1"/>
      <c r="I116" s="1"/>
      <c r="J116" s="1"/>
      <c r="K116" s="43"/>
      <c r="L116" s="1"/>
      <c r="M116" s="1"/>
      <c r="N116" s="1"/>
      <c r="O116" s="1"/>
      <c r="P116" s="46"/>
      <c r="Q116" s="1"/>
      <c r="R116" s="1"/>
      <c r="S116" s="1"/>
      <c r="T116" s="1"/>
      <c r="U116" s="49"/>
      <c r="V116" s="1"/>
      <c r="W116" s="1"/>
      <c r="X116" s="1"/>
      <c r="Y116" s="1"/>
      <c r="Z116" s="52"/>
      <c r="AA116" s="1"/>
      <c r="AB116" s="1"/>
      <c r="AC116" s="1"/>
      <c r="AD116" s="1"/>
      <c r="AE116" s="221"/>
    </row>
    <row r="117" spans="1:31" x14ac:dyDescent="0.25">
      <c r="A117" s="108">
        <v>106</v>
      </c>
      <c r="B117" s="1"/>
      <c r="C117" s="1"/>
      <c r="D117" s="1"/>
      <c r="E117" s="1"/>
      <c r="F117" s="39"/>
      <c r="G117" s="1"/>
      <c r="H117" s="1"/>
      <c r="I117" s="1"/>
      <c r="J117" s="1"/>
      <c r="K117" s="43"/>
      <c r="L117" s="1"/>
      <c r="M117" s="1"/>
      <c r="N117" s="1"/>
      <c r="O117" s="1"/>
      <c r="P117" s="46"/>
      <c r="Q117" s="1"/>
      <c r="R117" s="1"/>
      <c r="S117" s="1"/>
      <c r="T117" s="1"/>
      <c r="U117" s="49"/>
      <c r="V117" s="1"/>
      <c r="W117" s="1"/>
      <c r="X117" s="1"/>
      <c r="Y117" s="1"/>
      <c r="Z117" s="52"/>
      <c r="AA117" s="1"/>
      <c r="AB117" s="1"/>
      <c r="AC117" s="1"/>
      <c r="AD117" s="1"/>
      <c r="AE117" s="221"/>
    </row>
    <row r="118" spans="1:31" x14ac:dyDescent="0.25">
      <c r="A118" s="108">
        <v>107</v>
      </c>
      <c r="B118" s="1"/>
      <c r="C118" s="1"/>
      <c r="D118" s="1"/>
      <c r="E118" s="1"/>
      <c r="F118" s="39"/>
      <c r="G118" s="1"/>
      <c r="H118" s="1"/>
      <c r="I118" s="1"/>
      <c r="J118" s="1"/>
      <c r="K118" s="43"/>
      <c r="L118" s="1"/>
      <c r="M118" s="1"/>
      <c r="N118" s="1"/>
      <c r="O118" s="1"/>
      <c r="P118" s="46"/>
      <c r="Q118" s="1"/>
      <c r="R118" s="1"/>
      <c r="S118" s="1"/>
      <c r="T118" s="1"/>
      <c r="U118" s="49"/>
      <c r="V118" s="1"/>
      <c r="W118" s="1"/>
      <c r="X118" s="1"/>
      <c r="Y118" s="1"/>
      <c r="Z118" s="52"/>
      <c r="AA118" s="1"/>
      <c r="AB118" s="1"/>
      <c r="AC118" s="1"/>
      <c r="AD118" s="1"/>
      <c r="AE118" s="221"/>
    </row>
    <row r="119" spans="1:31" x14ac:dyDescent="0.25">
      <c r="A119" s="108">
        <v>108</v>
      </c>
      <c r="B119" s="1"/>
      <c r="C119" s="1"/>
      <c r="D119" s="1"/>
      <c r="E119" s="1"/>
      <c r="F119" s="39"/>
      <c r="G119" s="1"/>
      <c r="H119" s="1"/>
      <c r="I119" s="1"/>
      <c r="J119" s="1"/>
      <c r="K119" s="43"/>
      <c r="L119" s="1"/>
      <c r="M119" s="1"/>
      <c r="N119" s="1"/>
      <c r="O119" s="1"/>
      <c r="P119" s="46"/>
      <c r="Q119" s="1"/>
      <c r="R119" s="1"/>
      <c r="S119" s="1"/>
      <c r="T119" s="1"/>
      <c r="U119" s="49"/>
      <c r="V119" s="1"/>
      <c r="W119" s="1"/>
      <c r="X119" s="1"/>
      <c r="Y119" s="1"/>
      <c r="Z119" s="52"/>
      <c r="AA119" s="1"/>
      <c r="AB119" s="1"/>
      <c r="AC119" s="1"/>
      <c r="AD119" s="1"/>
      <c r="AE119" s="221"/>
    </row>
    <row r="120" spans="1:31" x14ac:dyDescent="0.25">
      <c r="A120" s="108">
        <v>109</v>
      </c>
      <c r="B120" s="1"/>
      <c r="C120" s="1"/>
      <c r="D120" s="1"/>
      <c r="E120" s="1"/>
      <c r="F120" s="39"/>
      <c r="G120" s="1"/>
      <c r="H120" s="1"/>
      <c r="I120" s="1"/>
      <c r="J120" s="1"/>
      <c r="K120" s="43"/>
      <c r="L120" s="1"/>
      <c r="M120" s="1"/>
      <c r="N120" s="1"/>
      <c r="O120" s="1"/>
      <c r="P120" s="46"/>
      <c r="Q120" s="1"/>
      <c r="R120" s="1"/>
      <c r="S120" s="1"/>
      <c r="T120" s="1"/>
      <c r="U120" s="49"/>
      <c r="V120" s="1"/>
      <c r="W120" s="1"/>
      <c r="X120" s="1"/>
      <c r="Y120" s="1"/>
      <c r="Z120" s="52"/>
      <c r="AA120" s="1"/>
      <c r="AB120" s="1"/>
      <c r="AC120" s="1"/>
      <c r="AD120" s="1"/>
      <c r="AE120" s="221"/>
    </row>
    <row r="121" spans="1:31" x14ac:dyDescent="0.25">
      <c r="A121" s="108">
        <v>110</v>
      </c>
      <c r="B121" s="1"/>
      <c r="C121" s="1"/>
      <c r="D121" s="1"/>
      <c r="E121" s="1"/>
      <c r="F121" s="39"/>
      <c r="G121" s="1"/>
      <c r="H121" s="1"/>
      <c r="I121" s="1"/>
      <c r="J121" s="1"/>
      <c r="K121" s="43"/>
      <c r="L121" s="1"/>
      <c r="M121" s="1"/>
      <c r="N121" s="1"/>
      <c r="O121" s="1"/>
      <c r="P121" s="46"/>
      <c r="Q121" s="1"/>
      <c r="R121" s="1"/>
      <c r="S121" s="1"/>
      <c r="T121" s="1"/>
      <c r="U121" s="49"/>
      <c r="V121" s="1"/>
      <c r="W121" s="1"/>
      <c r="X121" s="1"/>
      <c r="Y121" s="1"/>
      <c r="Z121" s="52"/>
      <c r="AA121" s="1"/>
      <c r="AB121" s="1"/>
      <c r="AC121" s="1"/>
      <c r="AD121" s="1"/>
      <c r="AE121" s="221"/>
    </row>
    <row r="122" spans="1:31" x14ac:dyDescent="0.25">
      <c r="A122" s="108">
        <v>111</v>
      </c>
      <c r="B122" s="1"/>
      <c r="C122" s="1"/>
      <c r="D122" s="1"/>
      <c r="E122" s="1"/>
      <c r="F122" s="39"/>
      <c r="G122" s="1"/>
      <c r="H122" s="1"/>
      <c r="I122" s="1"/>
      <c r="J122" s="1"/>
      <c r="K122" s="43"/>
      <c r="L122" s="1"/>
      <c r="M122" s="1"/>
      <c r="N122" s="1"/>
      <c r="O122" s="1"/>
      <c r="P122" s="46"/>
      <c r="Q122" s="1"/>
      <c r="R122" s="1"/>
      <c r="S122" s="1"/>
      <c r="T122" s="1"/>
      <c r="U122" s="49"/>
      <c r="V122" s="1"/>
      <c r="W122" s="1"/>
      <c r="X122" s="1"/>
      <c r="Y122" s="1"/>
      <c r="Z122" s="52"/>
      <c r="AA122" s="1"/>
      <c r="AB122" s="1"/>
      <c r="AC122" s="1"/>
      <c r="AD122" s="1"/>
      <c r="AE122" s="221"/>
    </row>
    <row r="123" spans="1:31" x14ac:dyDescent="0.25">
      <c r="A123" s="108">
        <v>112</v>
      </c>
      <c r="B123" s="1"/>
      <c r="C123" s="1"/>
      <c r="D123" s="1"/>
      <c r="E123" s="1"/>
      <c r="F123" s="39"/>
      <c r="G123" s="1"/>
      <c r="H123" s="1"/>
      <c r="I123" s="1"/>
      <c r="J123" s="1"/>
      <c r="K123" s="43"/>
      <c r="L123" s="1"/>
      <c r="M123" s="1"/>
      <c r="N123" s="1"/>
      <c r="O123" s="1"/>
      <c r="P123" s="46"/>
      <c r="Q123" s="1"/>
      <c r="R123" s="1"/>
      <c r="S123" s="1"/>
      <c r="T123" s="1"/>
      <c r="U123" s="49"/>
      <c r="V123" s="1"/>
      <c r="W123" s="1"/>
      <c r="X123" s="1"/>
      <c r="Y123" s="1"/>
      <c r="Z123" s="52"/>
      <c r="AA123" s="1"/>
      <c r="AB123" s="1"/>
      <c r="AC123" s="1"/>
      <c r="AD123" s="1"/>
      <c r="AE123" s="221"/>
    </row>
    <row r="124" spans="1:31" x14ac:dyDescent="0.25">
      <c r="A124" s="108">
        <v>113</v>
      </c>
      <c r="B124" s="1"/>
      <c r="C124" s="1"/>
      <c r="D124" s="1"/>
      <c r="E124" s="1"/>
      <c r="F124" s="39"/>
      <c r="G124" s="1"/>
      <c r="H124" s="1"/>
      <c r="I124" s="1"/>
      <c r="J124" s="1"/>
      <c r="K124" s="43"/>
      <c r="L124" s="1"/>
      <c r="M124" s="1"/>
      <c r="N124" s="1"/>
      <c r="O124" s="1"/>
      <c r="P124" s="46"/>
      <c r="Q124" s="1"/>
      <c r="R124" s="1"/>
      <c r="S124" s="1"/>
      <c r="T124" s="1"/>
      <c r="U124" s="49"/>
      <c r="V124" s="1"/>
      <c r="W124" s="1"/>
      <c r="X124" s="1"/>
      <c r="Y124" s="1"/>
      <c r="Z124" s="52"/>
      <c r="AA124" s="1"/>
      <c r="AB124" s="1"/>
      <c r="AC124" s="1"/>
      <c r="AD124" s="1"/>
      <c r="AE124" s="221"/>
    </row>
    <row r="125" spans="1:31" x14ac:dyDescent="0.25">
      <c r="A125" s="108">
        <v>114</v>
      </c>
      <c r="B125" s="1"/>
      <c r="C125" s="1"/>
      <c r="D125" s="1"/>
      <c r="E125" s="1"/>
      <c r="F125" s="39"/>
      <c r="G125" s="1"/>
      <c r="H125" s="1"/>
      <c r="I125" s="1"/>
      <c r="J125" s="1"/>
      <c r="K125" s="43"/>
      <c r="L125" s="1"/>
      <c r="M125" s="1"/>
      <c r="N125" s="1"/>
      <c r="O125" s="1"/>
      <c r="P125" s="46"/>
      <c r="Q125" s="1"/>
      <c r="R125" s="1"/>
      <c r="S125" s="1"/>
      <c r="T125" s="1"/>
      <c r="U125" s="49"/>
      <c r="V125" s="1"/>
      <c r="W125" s="1"/>
      <c r="X125" s="1"/>
      <c r="Y125" s="1"/>
      <c r="Z125" s="52"/>
      <c r="AA125" s="1"/>
      <c r="AB125" s="1"/>
      <c r="AC125" s="1"/>
      <c r="AD125" s="1"/>
      <c r="AE125" s="221"/>
    </row>
    <row r="126" spans="1:31" x14ac:dyDescent="0.25">
      <c r="A126" s="108">
        <v>115</v>
      </c>
      <c r="B126" s="1"/>
      <c r="C126" s="1"/>
      <c r="D126" s="1"/>
      <c r="E126" s="1"/>
      <c r="F126" s="39"/>
      <c r="G126" s="1"/>
      <c r="H126" s="1"/>
      <c r="I126" s="1"/>
      <c r="J126" s="1"/>
      <c r="K126" s="43"/>
      <c r="L126" s="1"/>
      <c r="M126" s="1"/>
      <c r="N126" s="1"/>
      <c r="O126" s="1"/>
      <c r="P126" s="46"/>
      <c r="Q126" s="1"/>
      <c r="R126" s="1"/>
      <c r="S126" s="1"/>
      <c r="T126" s="1"/>
      <c r="U126" s="49"/>
      <c r="V126" s="1"/>
      <c r="W126" s="1"/>
      <c r="X126" s="1"/>
      <c r="Y126" s="1"/>
      <c r="Z126" s="52"/>
      <c r="AA126" s="1"/>
      <c r="AB126" s="1"/>
      <c r="AC126" s="1"/>
      <c r="AD126" s="1"/>
      <c r="AE126" s="221"/>
    </row>
    <row r="127" spans="1:31" x14ac:dyDescent="0.25">
      <c r="A127" s="108">
        <v>116</v>
      </c>
      <c r="B127" s="1"/>
      <c r="C127" s="1"/>
      <c r="D127" s="1"/>
      <c r="E127" s="1"/>
      <c r="F127" s="39"/>
      <c r="G127" s="1"/>
      <c r="H127" s="1"/>
      <c r="I127" s="1"/>
      <c r="J127" s="1"/>
      <c r="K127" s="43"/>
      <c r="L127" s="1"/>
      <c r="M127" s="1"/>
      <c r="N127" s="1"/>
      <c r="O127" s="1"/>
      <c r="P127" s="46"/>
      <c r="Q127" s="1"/>
      <c r="R127" s="1"/>
      <c r="S127" s="1"/>
      <c r="T127" s="1"/>
      <c r="U127" s="49"/>
      <c r="V127" s="1"/>
      <c r="W127" s="1"/>
      <c r="X127" s="1"/>
      <c r="Y127" s="1"/>
      <c r="Z127" s="52"/>
      <c r="AA127" s="1"/>
      <c r="AB127" s="1"/>
      <c r="AC127" s="1"/>
      <c r="AD127" s="1"/>
      <c r="AE127" s="221"/>
    </row>
    <row r="128" spans="1:31" x14ac:dyDescent="0.25">
      <c r="A128" s="108">
        <v>117</v>
      </c>
      <c r="B128" s="1"/>
      <c r="C128" s="1"/>
      <c r="D128" s="1"/>
      <c r="E128" s="1"/>
      <c r="F128" s="39"/>
      <c r="G128" s="1"/>
      <c r="H128" s="1"/>
      <c r="I128" s="1"/>
      <c r="J128" s="1"/>
      <c r="K128" s="43"/>
      <c r="L128" s="1"/>
      <c r="M128" s="1"/>
      <c r="N128" s="1"/>
      <c r="O128" s="1"/>
      <c r="P128" s="46"/>
      <c r="Q128" s="1"/>
      <c r="R128" s="1"/>
      <c r="S128" s="1"/>
      <c r="T128" s="1"/>
      <c r="U128" s="49"/>
      <c r="V128" s="1"/>
      <c r="W128" s="1"/>
      <c r="X128" s="1"/>
      <c r="Y128" s="1"/>
      <c r="Z128" s="52"/>
      <c r="AA128" s="1"/>
      <c r="AB128" s="1"/>
      <c r="AC128" s="1"/>
      <c r="AD128" s="1"/>
      <c r="AE128" s="221"/>
    </row>
    <row r="129" spans="1:31" x14ac:dyDescent="0.25">
      <c r="A129" s="108">
        <v>118</v>
      </c>
      <c r="B129" s="1"/>
      <c r="C129" s="1"/>
      <c r="D129" s="1"/>
      <c r="E129" s="1"/>
      <c r="F129" s="39"/>
      <c r="G129" s="1"/>
      <c r="H129" s="1"/>
      <c r="I129" s="1"/>
      <c r="J129" s="1"/>
      <c r="K129" s="43"/>
      <c r="L129" s="1"/>
      <c r="M129" s="1"/>
      <c r="N129" s="1"/>
      <c r="O129" s="1"/>
      <c r="P129" s="46"/>
      <c r="Q129" s="1"/>
      <c r="R129" s="1"/>
      <c r="S129" s="1"/>
      <c r="T129" s="1"/>
      <c r="U129" s="49"/>
      <c r="V129" s="1"/>
      <c r="W129" s="1"/>
      <c r="X129" s="1"/>
      <c r="Y129" s="1"/>
      <c r="Z129" s="52"/>
      <c r="AA129" s="1"/>
      <c r="AB129" s="1"/>
      <c r="AC129" s="1"/>
      <c r="AD129" s="1"/>
      <c r="AE129" s="221"/>
    </row>
    <row r="130" spans="1:31" x14ac:dyDescent="0.25">
      <c r="A130" s="108">
        <v>119</v>
      </c>
      <c r="B130" s="1"/>
      <c r="C130" s="1"/>
      <c r="D130" s="1"/>
      <c r="E130" s="1"/>
      <c r="F130" s="39"/>
      <c r="G130" s="1"/>
      <c r="H130" s="1"/>
      <c r="I130" s="1"/>
      <c r="J130" s="1"/>
      <c r="K130" s="43"/>
      <c r="L130" s="1"/>
      <c r="M130" s="1"/>
      <c r="N130" s="1"/>
      <c r="O130" s="1"/>
      <c r="P130" s="46"/>
      <c r="Q130" s="1"/>
      <c r="R130" s="1"/>
      <c r="S130" s="1"/>
      <c r="T130" s="1"/>
      <c r="U130" s="49"/>
      <c r="V130" s="1"/>
      <c r="W130" s="1"/>
      <c r="X130" s="1"/>
      <c r="Y130" s="1"/>
      <c r="Z130" s="52"/>
      <c r="AA130" s="1"/>
      <c r="AB130" s="1"/>
      <c r="AC130" s="1"/>
      <c r="AD130" s="1"/>
      <c r="AE130" s="221"/>
    </row>
    <row r="131" spans="1:31" x14ac:dyDescent="0.25">
      <c r="A131" s="108">
        <v>120</v>
      </c>
      <c r="B131" s="1"/>
      <c r="C131" s="1"/>
      <c r="D131" s="1"/>
      <c r="E131" s="1"/>
      <c r="F131" s="39"/>
      <c r="G131" s="1"/>
      <c r="H131" s="1"/>
      <c r="I131" s="1"/>
      <c r="J131" s="1"/>
      <c r="K131" s="43"/>
      <c r="L131" s="1"/>
      <c r="M131" s="1"/>
      <c r="N131" s="1"/>
      <c r="O131" s="1"/>
      <c r="P131" s="46"/>
      <c r="Q131" s="1"/>
      <c r="R131" s="1"/>
      <c r="S131" s="1"/>
      <c r="T131" s="1"/>
      <c r="U131" s="49"/>
      <c r="V131" s="1"/>
      <c r="W131" s="1"/>
      <c r="X131" s="1"/>
      <c r="Y131" s="1"/>
      <c r="Z131" s="52"/>
      <c r="AA131" s="1"/>
      <c r="AB131" s="1"/>
      <c r="AC131" s="1"/>
      <c r="AD131" s="1"/>
      <c r="AE131" s="221"/>
    </row>
    <row r="132" spans="1:31" x14ac:dyDescent="0.25">
      <c r="A132" s="108">
        <v>121</v>
      </c>
      <c r="B132" s="1"/>
      <c r="C132" s="1"/>
      <c r="D132" s="1"/>
      <c r="E132" s="1"/>
      <c r="F132" s="39"/>
      <c r="G132" s="1"/>
      <c r="H132" s="1"/>
      <c r="I132" s="1"/>
      <c r="J132" s="1"/>
      <c r="K132" s="43"/>
      <c r="L132" s="1"/>
      <c r="M132" s="1"/>
      <c r="N132" s="1"/>
      <c r="O132" s="1"/>
      <c r="P132" s="46"/>
      <c r="Q132" s="1"/>
      <c r="R132" s="1"/>
      <c r="S132" s="1"/>
      <c r="T132" s="1"/>
      <c r="U132" s="49"/>
      <c r="V132" s="1"/>
      <c r="W132" s="1"/>
      <c r="X132" s="1"/>
      <c r="Y132" s="1"/>
      <c r="Z132" s="52"/>
      <c r="AA132" s="1"/>
      <c r="AB132" s="1"/>
      <c r="AC132" s="1"/>
      <c r="AD132" s="1"/>
      <c r="AE132" s="221"/>
    </row>
    <row r="133" spans="1:31" x14ac:dyDescent="0.25">
      <c r="A133" s="108">
        <v>122</v>
      </c>
      <c r="B133" s="1"/>
      <c r="C133" s="1"/>
      <c r="D133" s="1"/>
      <c r="E133" s="1"/>
      <c r="F133" s="39"/>
      <c r="G133" s="1"/>
      <c r="H133" s="1"/>
      <c r="I133" s="1"/>
      <c r="J133" s="1"/>
      <c r="K133" s="43"/>
      <c r="L133" s="1"/>
      <c r="M133" s="1"/>
      <c r="N133" s="1"/>
      <c r="O133" s="1"/>
      <c r="P133" s="46"/>
      <c r="Q133" s="1"/>
      <c r="R133" s="1"/>
      <c r="S133" s="1"/>
      <c r="T133" s="1"/>
      <c r="U133" s="49"/>
      <c r="V133" s="1"/>
      <c r="W133" s="1"/>
      <c r="X133" s="1"/>
      <c r="Y133" s="1"/>
      <c r="Z133" s="52"/>
      <c r="AA133" s="1"/>
      <c r="AB133" s="1"/>
      <c r="AC133" s="1"/>
      <c r="AD133" s="1"/>
      <c r="AE133" s="221"/>
    </row>
    <row r="134" spans="1:31" x14ac:dyDescent="0.25">
      <c r="A134" s="108">
        <v>123</v>
      </c>
      <c r="B134" s="1"/>
      <c r="C134" s="1"/>
      <c r="D134" s="1"/>
      <c r="E134" s="1"/>
      <c r="F134" s="39"/>
      <c r="G134" s="1"/>
      <c r="H134" s="1"/>
      <c r="I134" s="1"/>
      <c r="J134" s="1"/>
      <c r="K134" s="43"/>
      <c r="L134" s="1"/>
      <c r="M134" s="1"/>
      <c r="N134" s="1"/>
      <c r="O134" s="1"/>
      <c r="P134" s="46"/>
      <c r="Q134" s="1"/>
      <c r="R134" s="1"/>
      <c r="S134" s="1"/>
      <c r="T134" s="1"/>
      <c r="U134" s="49"/>
      <c r="V134" s="1"/>
      <c r="W134" s="1"/>
      <c r="X134" s="1"/>
      <c r="Y134" s="1"/>
      <c r="Z134" s="52"/>
      <c r="AA134" s="1"/>
      <c r="AB134" s="1"/>
      <c r="AC134" s="1"/>
      <c r="AD134" s="1"/>
      <c r="AE134" s="221"/>
    </row>
    <row r="135" spans="1:31" x14ac:dyDescent="0.25">
      <c r="A135" s="108">
        <v>124</v>
      </c>
      <c r="B135" s="1"/>
      <c r="C135" s="1"/>
      <c r="D135" s="1"/>
      <c r="E135" s="1"/>
      <c r="F135" s="39"/>
      <c r="G135" s="1"/>
      <c r="H135" s="1"/>
      <c r="I135" s="1"/>
      <c r="J135" s="1"/>
      <c r="K135" s="43"/>
      <c r="L135" s="1"/>
      <c r="M135" s="1"/>
      <c r="N135" s="1"/>
      <c r="O135" s="1"/>
      <c r="P135" s="46"/>
      <c r="Q135" s="1"/>
      <c r="R135" s="1"/>
      <c r="S135" s="1"/>
      <c r="T135" s="1"/>
      <c r="U135" s="49"/>
      <c r="V135" s="1"/>
      <c r="W135" s="1"/>
      <c r="X135" s="1"/>
      <c r="Y135" s="1"/>
      <c r="Z135" s="52"/>
      <c r="AA135" s="1"/>
      <c r="AB135" s="1"/>
      <c r="AC135" s="1"/>
      <c r="AD135" s="1"/>
      <c r="AE135" s="221"/>
    </row>
    <row r="136" spans="1:31" x14ac:dyDescent="0.25">
      <c r="A136" s="108">
        <v>125</v>
      </c>
      <c r="B136" s="1"/>
      <c r="C136" s="1"/>
      <c r="D136" s="1"/>
      <c r="E136" s="1"/>
      <c r="F136" s="39"/>
      <c r="G136" s="1"/>
      <c r="H136" s="1"/>
      <c r="I136" s="1"/>
      <c r="J136" s="1"/>
      <c r="K136" s="43"/>
      <c r="L136" s="1"/>
      <c r="M136" s="1"/>
      <c r="N136" s="1"/>
      <c r="O136" s="1"/>
      <c r="P136" s="46"/>
      <c r="Q136" s="1"/>
      <c r="R136" s="1"/>
      <c r="S136" s="1"/>
      <c r="T136" s="1"/>
      <c r="U136" s="49"/>
      <c r="V136" s="1"/>
      <c r="W136" s="1"/>
      <c r="X136" s="1"/>
      <c r="Y136" s="1"/>
      <c r="Z136" s="52"/>
      <c r="AA136" s="1"/>
      <c r="AB136" s="1"/>
      <c r="AC136" s="1"/>
      <c r="AD136" s="1"/>
      <c r="AE136" s="221"/>
    </row>
    <row r="137" spans="1:31" x14ac:dyDescent="0.25">
      <c r="A137" s="108">
        <v>126</v>
      </c>
      <c r="B137" s="1"/>
      <c r="C137" s="1"/>
      <c r="D137" s="1"/>
      <c r="E137" s="1"/>
      <c r="F137" s="39"/>
      <c r="G137" s="1"/>
      <c r="H137" s="1"/>
      <c r="I137" s="1"/>
      <c r="J137" s="1"/>
      <c r="K137" s="43"/>
      <c r="L137" s="1"/>
      <c r="M137" s="1"/>
      <c r="N137" s="1"/>
      <c r="O137" s="1"/>
      <c r="P137" s="46"/>
      <c r="Q137" s="1"/>
      <c r="R137" s="1"/>
      <c r="S137" s="1"/>
      <c r="T137" s="1"/>
      <c r="U137" s="49"/>
      <c r="V137" s="1"/>
      <c r="W137" s="1"/>
      <c r="X137" s="1"/>
      <c r="Y137" s="1"/>
      <c r="Z137" s="52"/>
      <c r="AA137" s="1"/>
      <c r="AB137" s="1"/>
      <c r="AC137" s="1"/>
      <c r="AD137" s="1"/>
      <c r="AE137" s="221"/>
    </row>
    <row r="138" spans="1:31" x14ac:dyDescent="0.25">
      <c r="A138" s="108">
        <v>127</v>
      </c>
      <c r="B138" s="1"/>
      <c r="C138" s="1"/>
      <c r="D138" s="1"/>
      <c r="E138" s="1"/>
      <c r="F138" s="39"/>
      <c r="G138" s="1"/>
      <c r="H138" s="1"/>
      <c r="I138" s="1"/>
      <c r="J138" s="1"/>
      <c r="K138" s="43"/>
      <c r="L138" s="1"/>
      <c r="M138" s="1"/>
      <c r="N138" s="1"/>
      <c r="O138" s="1"/>
      <c r="P138" s="46"/>
      <c r="Q138" s="1"/>
      <c r="R138" s="1"/>
      <c r="S138" s="1"/>
      <c r="T138" s="1"/>
      <c r="U138" s="49"/>
      <c r="V138" s="1"/>
      <c r="W138" s="1"/>
      <c r="X138" s="1"/>
      <c r="Y138" s="1"/>
      <c r="Z138" s="52"/>
      <c r="AA138" s="1"/>
      <c r="AB138" s="1"/>
      <c r="AC138" s="1"/>
      <c r="AD138" s="1"/>
      <c r="AE138" s="221"/>
    </row>
    <row r="139" spans="1:31" x14ac:dyDescent="0.25">
      <c r="A139" s="108">
        <v>128</v>
      </c>
      <c r="B139" s="1"/>
      <c r="C139" s="1"/>
      <c r="D139" s="1"/>
      <c r="E139" s="1"/>
      <c r="F139" s="39"/>
      <c r="G139" s="1"/>
      <c r="H139" s="1"/>
      <c r="I139" s="1"/>
      <c r="J139" s="1"/>
      <c r="K139" s="43"/>
      <c r="L139" s="1"/>
      <c r="M139" s="1"/>
      <c r="N139" s="1"/>
      <c r="O139" s="1"/>
      <c r="P139" s="46"/>
      <c r="Q139" s="1"/>
      <c r="R139" s="1"/>
      <c r="S139" s="1"/>
      <c r="T139" s="1"/>
      <c r="U139" s="49"/>
      <c r="V139" s="1"/>
      <c r="W139" s="1"/>
      <c r="X139" s="1"/>
      <c r="Y139" s="1"/>
      <c r="Z139" s="52"/>
      <c r="AA139" s="1"/>
      <c r="AB139" s="1"/>
      <c r="AC139" s="1"/>
      <c r="AD139" s="1"/>
      <c r="AE139" s="221"/>
    </row>
    <row r="140" spans="1:31" x14ac:dyDescent="0.25">
      <c r="A140" s="108">
        <v>129</v>
      </c>
      <c r="B140" s="1"/>
      <c r="C140" s="1"/>
      <c r="D140" s="1"/>
      <c r="E140" s="1"/>
      <c r="F140" s="39"/>
      <c r="G140" s="1"/>
      <c r="H140" s="1"/>
      <c r="I140" s="1"/>
      <c r="J140" s="1"/>
      <c r="K140" s="43"/>
      <c r="L140" s="1"/>
      <c r="M140" s="1"/>
      <c r="N140" s="1"/>
      <c r="O140" s="1"/>
      <c r="P140" s="46"/>
      <c r="Q140" s="1"/>
      <c r="R140" s="1"/>
      <c r="S140" s="1"/>
      <c r="T140" s="1"/>
      <c r="U140" s="49"/>
      <c r="V140" s="1"/>
      <c r="W140" s="1"/>
      <c r="X140" s="1"/>
      <c r="Y140" s="1"/>
      <c r="Z140" s="52"/>
      <c r="AA140" s="1"/>
      <c r="AB140" s="1"/>
      <c r="AC140" s="1"/>
      <c r="AD140" s="1"/>
      <c r="AE140" s="221"/>
    </row>
    <row r="141" spans="1:31" x14ac:dyDescent="0.25">
      <c r="A141" s="108">
        <v>130</v>
      </c>
      <c r="B141" s="1"/>
      <c r="C141" s="1"/>
      <c r="D141" s="1"/>
      <c r="E141" s="1"/>
      <c r="F141" s="39"/>
      <c r="G141" s="1"/>
      <c r="H141" s="1"/>
      <c r="I141" s="1"/>
      <c r="J141" s="1"/>
      <c r="K141" s="43"/>
      <c r="L141" s="1"/>
      <c r="M141" s="1"/>
      <c r="N141" s="1"/>
      <c r="O141" s="1"/>
      <c r="P141" s="46"/>
      <c r="Q141" s="1"/>
      <c r="R141" s="1"/>
      <c r="S141" s="1"/>
      <c r="T141" s="1"/>
      <c r="U141" s="49"/>
      <c r="V141" s="1"/>
      <c r="W141" s="1"/>
      <c r="X141" s="1"/>
      <c r="Y141" s="1"/>
      <c r="Z141" s="52"/>
      <c r="AA141" s="1"/>
      <c r="AB141" s="1"/>
      <c r="AC141" s="1"/>
      <c r="AD141" s="1"/>
      <c r="AE141" s="221"/>
    </row>
    <row r="142" spans="1:31" x14ac:dyDescent="0.25">
      <c r="A142" s="108">
        <v>131</v>
      </c>
      <c r="B142" s="1"/>
      <c r="C142" s="1"/>
      <c r="D142" s="1"/>
      <c r="E142" s="1"/>
      <c r="F142" s="39"/>
      <c r="G142" s="1"/>
      <c r="H142" s="1"/>
      <c r="I142" s="1"/>
      <c r="J142" s="1"/>
      <c r="K142" s="43"/>
      <c r="L142" s="1"/>
      <c r="M142" s="1"/>
      <c r="N142" s="1"/>
      <c r="O142" s="1"/>
      <c r="P142" s="46"/>
      <c r="Q142" s="1"/>
      <c r="R142" s="1"/>
      <c r="S142" s="1"/>
      <c r="T142" s="1"/>
      <c r="U142" s="49"/>
      <c r="V142" s="1"/>
      <c r="W142" s="1"/>
      <c r="X142" s="1"/>
      <c r="Y142" s="1"/>
      <c r="Z142" s="52"/>
      <c r="AA142" s="1"/>
      <c r="AB142" s="1"/>
      <c r="AC142" s="1"/>
      <c r="AD142" s="1"/>
      <c r="AE142" s="221"/>
    </row>
    <row r="143" spans="1:31" x14ac:dyDescent="0.25">
      <c r="A143" s="108">
        <v>132</v>
      </c>
      <c r="B143" s="1"/>
      <c r="C143" s="1"/>
      <c r="D143" s="1"/>
      <c r="E143" s="1"/>
      <c r="F143" s="39"/>
      <c r="G143" s="1"/>
      <c r="H143" s="1"/>
      <c r="I143" s="1"/>
      <c r="J143" s="1"/>
      <c r="K143" s="43"/>
      <c r="L143" s="1"/>
      <c r="M143" s="1"/>
      <c r="N143" s="1"/>
      <c r="O143" s="1"/>
      <c r="P143" s="46"/>
      <c r="Q143" s="1"/>
      <c r="R143" s="1"/>
      <c r="S143" s="1"/>
      <c r="T143" s="1"/>
      <c r="U143" s="49"/>
      <c r="V143" s="1"/>
      <c r="W143" s="1"/>
      <c r="X143" s="1"/>
      <c r="Y143" s="1"/>
      <c r="Z143" s="52"/>
      <c r="AA143" s="1"/>
      <c r="AB143" s="1"/>
      <c r="AC143" s="1"/>
      <c r="AD143" s="1"/>
      <c r="AE143" s="221"/>
    </row>
    <row r="144" spans="1:31" x14ac:dyDescent="0.25">
      <c r="A144" s="108">
        <v>133</v>
      </c>
      <c r="B144" s="1"/>
      <c r="C144" s="1"/>
      <c r="D144" s="1"/>
      <c r="E144" s="1"/>
      <c r="F144" s="39"/>
      <c r="G144" s="1"/>
      <c r="H144" s="1"/>
      <c r="I144" s="1"/>
      <c r="J144" s="1"/>
      <c r="K144" s="43"/>
      <c r="L144" s="1"/>
      <c r="M144" s="1"/>
      <c r="N144" s="1"/>
      <c r="O144" s="1"/>
      <c r="P144" s="46"/>
      <c r="Q144" s="1"/>
      <c r="R144" s="1"/>
      <c r="S144" s="1"/>
      <c r="T144" s="1"/>
      <c r="U144" s="49"/>
      <c r="V144" s="1"/>
      <c r="W144" s="1"/>
      <c r="X144" s="1"/>
      <c r="Y144" s="1"/>
      <c r="Z144" s="52"/>
      <c r="AA144" s="1"/>
      <c r="AB144" s="1"/>
      <c r="AC144" s="1"/>
      <c r="AD144" s="1"/>
      <c r="AE144" s="221"/>
    </row>
    <row r="145" spans="1:31" x14ac:dyDescent="0.25">
      <c r="A145" s="108">
        <v>134</v>
      </c>
      <c r="B145" s="1"/>
      <c r="C145" s="1"/>
      <c r="D145" s="1"/>
      <c r="E145" s="1"/>
      <c r="F145" s="39"/>
      <c r="G145" s="1"/>
      <c r="H145" s="1"/>
      <c r="I145" s="1"/>
      <c r="J145" s="1"/>
      <c r="K145" s="43"/>
      <c r="L145" s="1"/>
      <c r="M145" s="1"/>
      <c r="N145" s="1"/>
      <c r="O145" s="1"/>
      <c r="P145" s="46"/>
      <c r="Q145" s="1"/>
      <c r="R145" s="1"/>
      <c r="S145" s="1"/>
      <c r="T145" s="1"/>
      <c r="U145" s="49"/>
      <c r="V145" s="1"/>
      <c r="W145" s="1"/>
      <c r="X145" s="1"/>
      <c r="Y145" s="1"/>
      <c r="Z145" s="52"/>
      <c r="AA145" s="1"/>
      <c r="AB145" s="1"/>
      <c r="AC145" s="1"/>
      <c r="AD145" s="1"/>
      <c r="AE145" s="221"/>
    </row>
    <row r="146" spans="1:31" x14ac:dyDescent="0.25">
      <c r="A146" s="108">
        <v>135</v>
      </c>
      <c r="B146" s="1"/>
      <c r="C146" s="1"/>
      <c r="D146" s="1"/>
      <c r="E146" s="1"/>
      <c r="F146" s="39"/>
      <c r="G146" s="1"/>
      <c r="H146" s="1"/>
      <c r="I146" s="1"/>
      <c r="J146" s="1"/>
      <c r="K146" s="43"/>
      <c r="L146" s="1"/>
      <c r="M146" s="1"/>
      <c r="N146" s="1"/>
      <c r="O146" s="1"/>
      <c r="P146" s="46"/>
      <c r="Q146" s="1"/>
      <c r="R146" s="1"/>
      <c r="S146" s="1"/>
      <c r="T146" s="1"/>
      <c r="U146" s="49"/>
      <c r="V146" s="1"/>
      <c r="W146" s="1"/>
      <c r="X146" s="1"/>
      <c r="Y146" s="1"/>
      <c r="Z146" s="52"/>
      <c r="AA146" s="1"/>
      <c r="AB146" s="1"/>
      <c r="AC146" s="1"/>
      <c r="AD146" s="1"/>
      <c r="AE146" s="221"/>
    </row>
    <row r="147" spans="1:31" x14ac:dyDescent="0.25">
      <c r="A147" s="108">
        <v>136</v>
      </c>
      <c r="B147" s="1"/>
      <c r="C147" s="1"/>
      <c r="D147" s="1"/>
      <c r="E147" s="1"/>
      <c r="F147" s="39"/>
      <c r="G147" s="1"/>
      <c r="H147" s="1"/>
      <c r="I147" s="1"/>
      <c r="J147" s="1"/>
      <c r="K147" s="43"/>
      <c r="L147" s="1"/>
      <c r="M147" s="1"/>
      <c r="N147" s="1"/>
      <c r="O147" s="1"/>
      <c r="P147" s="46"/>
      <c r="Q147" s="1"/>
      <c r="R147" s="1"/>
      <c r="S147" s="1"/>
      <c r="T147" s="1"/>
      <c r="U147" s="49"/>
      <c r="V147" s="1"/>
      <c r="W147" s="1"/>
      <c r="X147" s="1"/>
      <c r="Y147" s="1"/>
      <c r="Z147" s="52"/>
      <c r="AA147" s="1"/>
      <c r="AB147" s="1"/>
      <c r="AC147" s="1"/>
      <c r="AD147" s="1"/>
      <c r="AE147" s="221"/>
    </row>
    <row r="148" spans="1:31" x14ac:dyDescent="0.25">
      <c r="A148" s="108">
        <v>137</v>
      </c>
      <c r="B148" s="1"/>
      <c r="C148" s="1"/>
      <c r="D148" s="1"/>
      <c r="E148" s="1"/>
      <c r="F148" s="39"/>
      <c r="G148" s="1"/>
      <c r="H148" s="1"/>
      <c r="I148" s="1"/>
      <c r="J148" s="1"/>
      <c r="K148" s="43"/>
      <c r="L148" s="1"/>
      <c r="M148" s="1"/>
      <c r="N148" s="1"/>
      <c r="O148" s="1"/>
      <c r="P148" s="46"/>
      <c r="Q148" s="1"/>
      <c r="R148" s="1"/>
      <c r="S148" s="1"/>
      <c r="T148" s="1"/>
      <c r="U148" s="49"/>
      <c r="V148" s="1"/>
      <c r="W148" s="1"/>
      <c r="X148" s="1"/>
      <c r="Y148" s="1"/>
      <c r="Z148" s="52"/>
      <c r="AA148" s="1"/>
      <c r="AB148" s="1"/>
      <c r="AC148" s="1"/>
      <c r="AD148" s="1"/>
      <c r="AE148" s="221"/>
    </row>
    <row r="149" spans="1:31" x14ac:dyDescent="0.25">
      <c r="A149" s="108">
        <v>138</v>
      </c>
      <c r="B149" s="1"/>
      <c r="C149" s="1"/>
      <c r="D149" s="1"/>
      <c r="E149" s="1"/>
      <c r="F149" s="39"/>
      <c r="G149" s="1"/>
      <c r="H149" s="1"/>
      <c r="I149" s="1"/>
      <c r="J149" s="1"/>
      <c r="K149" s="43"/>
      <c r="L149" s="1"/>
      <c r="M149" s="1"/>
      <c r="N149" s="1"/>
      <c r="O149" s="1"/>
      <c r="P149" s="46"/>
      <c r="Q149" s="1"/>
      <c r="R149" s="1"/>
      <c r="S149" s="1"/>
      <c r="T149" s="1"/>
      <c r="U149" s="49"/>
      <c r="V149" s="1"/>
      <c r="W149" s="1"/>
      <c r="X149" s="1"/>
      <c r="Y149" s="1"/>
      <c r="Z149" s="52"/>
      <c r="AA149" s="1"/>
      <c r="AB149" s="1"/>
      <c r="AC149" s="1"/>
      <c r="AD149" s="1"/>
      <c r="AE149" s="221"/>
    </row>
    <row r="150" spans="1:31" x14ac:dyDescent="0.25">
      <c r="A150" s="108">
        <v>139</v>
      </c>
      <c r="B150" s="1"/>
      <c r="C150" s="1"/>
      <c r="D150" s="1"/>
      <c r="E150" s="1"/>
      <c r="F150" s="39"/>
      <c r="G150" s="1"/>
      <c r="H150" s="1"/>
      <c r="I150" s="1"/>
      <c r="J150" s="1"/>
      <c r="K150" s="43"/>
      <c r="L150" s="1"/>
      <c r="M150" s="1"/>
      <c r="N150" s="1"/>
      <c r="O150" s="1"/>
      <c r="P150" s="46"/>
      <c r="Q150" s="1"/>
      <c r="R150" s="1"/>
      <c r="S150" s="1"/>
      <c r="T150" s="1"/>
      <c r="U150" s="49"/>
      <c r="V150" s="1"/>
      <c r="W150" s="1"/>
      <c r="X150" s="1"/>
      <c r="Y150" s="1"/>
      <c r="Z150" s="52"/>
      <c r="AA150" s="1"/>
      <c r="AB150" s="1"/>
      <c r="AC150" s="1"/>
      <c r="AD150" s="1"/>
      <c r="AE150" s="221"/>
    </row>
    <row r="151" spans="1:31" x14ac:dyDescent="0.25">
      <c r="A151" s="108">
        <v>140</v>
      </c>
      <c r="B151" s="1"/>
      <c r="C151" s="1"/>
      <c r="D151" s="1"/>
      <c r="E151" s="1"/>
      <c r="F151" s="39"/>
      <c r="G151" s="1"/>
      <c r="H151" s="1"/>
      <c r="I151" s="1"/>
      <c r="J151" s="1"/>
      <c r="K151" s="43"/>
      <c r="L151" s="1"/>
      <c r="M151" s="1"/>
      <c r="N151" s="1"/>
      <c r="O151" s="1"/>
      <c r="P151" s="46"/>
      <c r="Q151" s="1"/>
      <c r="R151" s="1"/>
      <c r="S151" s="1"/>
      <c r="T151" s="1"/>
      <c r="U151" s="49"/>
      <c r="V151" s="1"/>
      <c r="W151" s="1"/>
      <c r="X151" s="1"/>
      <c r="Y151" s="1"/>
      <c r="Z151" s="52"/>
      <c r="AA151" s="1"/>
      <c r="AB151" s="1"/>
      <c r="AC151" s="1"/>
      <c r="AD151" s="1"/>
      <c r="AE151" s="221"/>
    </row>
    <row r="152" spans="1:31" x14ac:dyDescent="0.25">
      <c r="A152" s="108">
        <v>141</v>
      </c>
      <c r="B152" s="1"/>
      <c r="C152" s="1"/>
      <c r="D152" s="1"/>
      <c r="E152" s="1"/>
      <c r="F152" s="39"/>
      <c r="G152" s="1"/>
      <c r="H152" s="1"/>
      <c r="I152" s="1"/>
      <c r="J152" s="1"/>
      <c r="K152" s="43"/>
      <c r="L152" s="1"/>
      <c r="M152" s="1"/>
      <c r="N152" s="1"/>
      <c r="O152" s="1"/>
      <c r="P152" s="46"/>
      <c r="Q152" s="1"/>
      <c r="R152" s="1"/>
      <c r="S152" s="1"/>
      <c r="T152" s="1"/>
      <c r="U152" s="49"/>
      <c r="V152" s="1"/>
      <c r="W152" s="1"/>
      <c r="X152" s="1"/>
      <c r="Y152" s="1"/>
      <c r="Z152" s="52"/>
      <c r="AA152" s="1"/>
      <c r="AB152" s="1"/>
      <c r="AC152" s="1"/>
      <c r="AD152" s="1"/>
      <c r="AE152" s="221"/>
    </row>
    <row r="153" spans="1:31" x14ac:dyDescent="0.25">
      <c r="A153" s="108">
        <v>142</v>
      </c>
      <c r="B153" s="1"/>
      <c r="C153" s="1"/>
      <c r="D153" s="1"/>
      <c r="E153" s="1"/>
      <c r="F153" s="39"/>
      <c r="G153" s="1"/>
      <c r="H153" s="1"/>
      <c r="I153" s="1"/>
      <c r="J153" s="1"/>
      <c r="K153" s="43"/>
      <c r="L153" s="1"/>
      <c r="M153" s="1"/>
      <c r="N153" s="1"/>
      <c r="O153" s="1"/>
      <c r="P153" s="46"/>
      <c r="Q153" s="1"/>
      <c r="R153" s="1"/>
      <c r="S153" s="1"/>
      <c r="T153" s="1"/>
      <c r="U153" s="49"/>
      <c r="V153" s="1"/>
      <c r="W153" s="1"/>
      <c r="X153" s="1"/>
      <c r="Y153" s="1"/>
      <c r="Z153" s="52"/>
      <c r="AA153" s="1"/>
      <c r="AB153" s="1"/>
      <c r="AC153" s="1"/>
      <c r="AD153" s="1"/>
      <c r="AE153" s="221"/>
    </row>
    <row r="154" spans="1:31" x14ac:dyDescent="0.25">
      <c r="A154" s="108">
        <v>143</v>
      </c>
      <c r="B154" s="1"/>
      <c r="C154" s="1"/>
      <c r="D154" s="1"/>
      <c r="E154" s="1"/>
      <c r="F154" s="39"/>
      <c r="G154" s="1"/>
      <c r="H154" s="1"/>
      <c r="I154" s="1"/>
      <c r="J154" s="1"/>
      <c r="K154" s="43"/>
      <c r="L154" s="1"/>
      <c r="M154" s="1"/>
      <c r="N154" s="1"/>
      <c r="O154" s="1"/>
      <c r="P154" s="46"/>
      <c r="Q154" s="1"/>
      <c r="R154" s="1"/>
      <c r="S154" s="1"/>
      <c r="T154" s="1"/>
      <c r="U154" s="49"/>
      <c r="V154" s="1"/>
      <c r="W154" s="1"/>
      <c r="X154" s="1"/>
      <c r="Y154" s="1"/>
      <c r="Z154" s="52"/>
      <c r="AA154" s="1"/>
      <c r="AB154" s="1"/>
      <c r="AC154" s="1"/>
      <c r="AD154" s="1"/>
      <c r="AE154" s="221"/>
    </row>
    <row r="155" spans="1:31" x14ac:dyDescent="0.25">
      <c r="A155" s="108">
        <v>144</v>
      </c>
      <c r="B155" s="1"/>
      <c r="C155" s="1"/>
      <c r="D155" s="1"/>
      <c r="E155" s="1"/>
      <c r="F155" s="39"/>
      <c r="G155" s="1"/>
      <c r="H155" s="1"/>
      <c r="I155" s="1"/>
      <c r="J155" s="1"/>
      <c r="K155" s="43"/>
      <c r="L155" s="1"/>
      <c r="M155" s="1"/>
      <c r="N155" s="1"/>
      <c r="O155" s="1"/>
      <c r="P155" s="46"/>
      <c r="Q155" s="1"/>
      <c r="R155" s="1"/>
      <c r="S155" s="1"/>
      <c r="T155" s="1"/>
      <c r="U155" s="49"/>
      <c r="V155" s="1"/>
      <c r="W155" s="1"/>
      <c r="X155" s="1"/>
      <c r="Y155" s="1"/>
      <c r="Z155" s="52"/>
      <c r="AA155" s="1"/>
      <c r="AB155" s="1"/>
      <c r="AC155" s="1"/>
      <c r="AD155" s="1"/>
      <c r="AE155" s="221"/>
    </row>
    <row r="156" spans="1:31" x14ac:dyDescent="0.25">
      <c r="A156" s="108">
        <v>145</v>
      </c>
      <c r="B156" s="1"/>
      <c r="C156" s="1"/>
      <c r="D156" s="1"/>
      <c r="E156" s="1"/>
      <c r="F156" s="39"/>
      <c r="G156" s="1"/>
      <c r="H156" s="1"/>
      <c r="I156" s="1"/>
      <c r="J156" s="1"/>
      <c r="K156" s="43"/>
      <c r="L156" s="1"/>
      <c r="M156" s="1"/>
      <c r="N156" s="1"/>
      <c r="O156" s="1"/>
      <c r="P156" s="46"/>
      <c r="Q156" s="1"/>
      <c r="R156" s="1"/>
      <c r="S156" s="1"/>
      <c r="T156" s="1"/>
      <c r="U156" s="49"/>
      <c r="V156" s="1"/>
      <c r="W156" s="1"/>
      <c r="X156" s="1"/>
      <c r="Y156" s="1"/>
      <c r="Z156" s="52"/>
      <c r="AA156" s="1"/>
      <c r="AB156" s="1"/>
      <c r="AC156" s="1"/>
      <c r="AD156" s="1"/>
      <c r="AE156" s="221"/>
    </row>
    <row r="157" spans="1:31" x14ac:dyDescent="0.25">
      <c r="A157" s="108">
        <v>146</v>
      </c>
      <c r="B157" s="1"/>
      <c r="C157" s="1"/>
      <c r="D157" s="1"/>
      <c r="E157" s="1"/>
      <c r="F157" s="39"/>
      <c r="G157" s="1"/>
      <c r="H157" s="1"/>
      <c r="I157" s="1"/>
      <c r="J157" s="1"/>
      <c r="K157" s="43"/>
      <c r="L157" s="1"/>
      <c r="M157" s="1"/>
      <c r="N157" s="1"/>
      <c r="O157" s="1"/>
      <c r="P157" s="46"/>
      <c r="Q157" s="1"/>
      <c r="R157" s="1"/>
      <c r="S157" s="1"/>
      <c r="T157" s="1"/>
      <c r="U157" s="49"/>
      <c r="V157" s="1"/>
      <c r="W157" s="1"/>
      <c r="X157" s="1"/>
      <c r="Y157" s="1"/>
      <c r="Z157" s="52"/>
      <c r="AA157" s="1"/>
      <c r="AB157" s="1"/>
      <c r="AC157" s="1"/>
      <c r="AD157" s="1"/>
      <c r="AE157" s="221"/>
    </row>
    <row r="158" spans="1:31" x14ac:dyDescent="0.25">
      <c r="A158" s="108">
        <v>147</v>
      </c>
      <c r="B158" s="1"/>
      <c r="C158" s="1"/>
      <c r="D158" s="1"/>
      <c r="E158" s="1"/>
      <c r="F158" s="39"/>
      <c r="G158" s="1"/>
      <c r="H158" s="1"/>
      <c r="I158" s="1"/>
      <c r="J158" s="1"/>
      <c r="K158" s="43"/>
      <c r="L158" s="1"/>
      <c r="M158" s="1"/>
      <c r="N158" s="1"/>
      <c r="O158" s="1"/>
      <c r="P158" s="46"/>
      <c r="Q158" s="1"/>
      <c r="R158" s="1"/>
      <c r="S158" s="1"/>
      <c r="T158" s="1"/>
      <c r="U158" s="49"/>
      <c r="V158" s="1"/>
      <c r="W158" s="1"/>
      <c r="X158" s="1"/>
      <c r="Y158" s="1"/>
      <c r="Z158" s="52"/>
      <c r="AA158" s="1"/>
      <c r="AB158" s="1"/>
      <c r="AC158" s="1"/>
      <c r="AD158" s="1"/>
      <c r="AE158" s="221"/>
    </row>
    <row r="159" spans="1:31" x14ac:dyDescent="0.25">
      <c r="A159" s="108">
        <v>148</v>
      </c>
      <c r="B159" s="1"/>
      <c r="C159" s="1"/>
      <c r="D159" s="1"/>
      <c r="E159" s="1"/>
      <c r="F159" s="39"/>
      <c r="G159" s="1"/>
      <c r="H159" s="1"/>
      <c r="I159" s="1"/>
      <c r="J159" s="1"/>
      <c r="K159" s="43"/>
      <c r="L159" s="1"/>
      <c r="M159" s="1"/>
      <c r="N159" s="1"/>
      <c r="O159" s="1"/>
      <c r="P159" s="46"/>
      <c r="Q159" s="1"/>
      <c r="R159" s="1"/>
      <c r="S159" s="1"/>
      <c r="T159" s="1"/>
      <c r="U159" s="49"/>
      <c r="V159" s="1"/>
      <c r="W159" s="1"/>
      <c r="X159" s="1"/>
      <c r="Y159" s="1"/>
      <c r="Z159" s="52"/>
      <c r="AA159" s="1"/>
      <c r="AB159" s="1"/>
      <c r="AC159" s="1"/>
      <c r="AD159" s="1"/>
      <c r="AE159" s="221"/>
    </row>
    <row r="160" spans="1:31" x14ac:dyDescent="0.25">
      <c r="A160" s="108">
        <v>149</v>
      </c>
      <c r="B160" s="1"/>
      <c r="C160" s="1"/>
      <c r="D160" s="1"/>
      <c r="E160" s="1"/>
      <c r="F160" s="39"/>
      <c r="G160" s="1"/>
      <c r="H160" s="1"/>
      <c r="I160" s="1"/>
      <c r="J160" s="1"/>
      <c r="K160" s="43"/>
      <c r="L160" s="1"/>
      <c r="M160" s="1"/>
      <c r="N160" s="1"/>
      <c r="O160" s="1"/>
      <c r="P160" s="46"/>
      <c r="Q160" s="1"/>
      <c r="R160" s="1"/>
      <c r="S160" s="1"/>
      <c r="T160" s="1"/>
      <c r="U160" s="49"/>
      <c r="V160" s="1"/>
      <c r="W160" s="1"/>
      <c r="X160" s="1"/>
      <c r="Y160" s="1"/>
      <c r="Z160" s="52"/>
      <c r="AA160" s="1"/>
      <c r="AB160" s="1"/>
      <c r="AC160" s="1"/>
      <c r="AD160" s="1"/>
      <c r="AE160" s="221"/>
    </row>
    <row r="161" spans="1:31" x14ac:dyDescent="0.25">
      <c r="A161" s="108">
        <v>150</v>
      </c>
      <c r="B161" s="1"/>
      <c r="C161" s="1"/>
      <c r="D161" s="1"/>
      <c r="E161" s="1"/>
      <c r="F161" s="39"/>
      <c r="G161" s="1"/>
      <c r="H161" s="1"/>
      <c r="I161" s="1"/>
      <c r="J161" s="1"/>
      <c r="K161" s="43"/>
      <c r="L161" s="1"/>
      <c r="M161" s="1"/>
      <c r="N161" s="1"/>
      <c r="O161" s="1"/>
      <c r="P161" s="46"/>
      <c r="Q161" s="1"/>
      <c r="R161" s="1"/>
      <c r="S161" s="1"/>
      <c r="T161" s="1"/>
      <c r="U161" s="49"/>
      <c r="V161" s="1"/>
      <c r="W161" s="1"/>
      <c r="X161" s="1"/>
      <c r="Y161" s="1"/>
      <c r="Z161" s="52"/>
      <c r="AA161" s="1"/>
      <c r="AB161" s="1"/>
      <c r="AC161" s="1"/>
      <c r="AD161" s="1"/>
      <c r="AE161" s="221"/>
    </row>
    <row r="162" spans="1:31" x14ac:dyDescent="0.25">
      <c r="A162" s="108">
        <v>151</v>
      </c>
      <c r="B162" s="1"/>
      <c r="C162" s="1"/>
      <c r="D162" s="1"/>
      <c r="E162" s="1"/>
      <c r="F162" s="39"/>
      <c r="G162" s="1"/>
      <c r="H162" s="1"/>
      <c r="I162" s="1"/>
      <c r="J162" s="1"/>
      <c r="K162" s="43"/>
      <c r="L162" s="1"/>
      <c r="M162" s="1"/>
      <c r="N162" s="1"/>
      <c r="O162" s="1"/>
      <c r="P162" s="46"/>
      <c r="Q162" s="1"/>
      <c r="R162" s="1"/>
      <c r="S162" s="1"/>
      <c r="T162" s="1"/>
      <c r="U162" s="49"/>
      <c r="V162" s="1"/>
      <c r="W162" s="1"/>
      <c r="X162" s="1"/>
      <c r="Y162" s="1"/>
      <c r="Z162" s="52"/>
      <c r="AA162" s="1"/>
      <c r="AB162" s="1"/>
      <c r="AC162" s="1"/>
      <c r="AD162" s="1"/>
      <c r="AE162" s="221"/>
    </row>
    <row r="163" spans="1:31" x14ac:dyDescent="0.25">
      <c r="A163" s="108">
        <v>152</v>
      </c>
      <c r="B163" s="1"/>
      <c r="C163" s="1"/>
      <c r="D163" s="1"/>
      <c r="E163" s="1"/>
      <c r="F163" s="39"/>
      <c r="G163" s="1"/>
      <c r="H163" s="1"/>
      <c r="I163" s="1"/>
      <c r="J163" s="1"/>
      <c r="K163" s="43"/>
      <c r="L163" s="1"/>
      <c r="M163" s="1"/>
      <c r="N163" s="1"/>
      <c r="O163" s="1"/>
      <c r="P163" s="46"/>
      <c r="Q163" s="1"/>
      <c r="R163" s="1"/>
      <c r="S163" s="1"/>
      <c r="T163" s="1"/>
      <c r="U163" s="49"/>
      <c r="V163" s="1"/>
      <c r="W163" s="1"/>
      <c r="X163" s="1"/>
      <c r="Y163" s="1"/>
      <c r="Z163" s="52"/>
      <c r="AA163" s="1"/>
      <c r="AB163" s="1"/>
      <c r="AC163" s="1"/>
      <c r="AD163" s="1"/>
      <c r="AE163" s="221"/>
    </row>
    <row r="164" spans="1:31" x14ac:dyDescent="0.25">
      <c r="A164" s="108">
        <v>153</v>
      </c>
      <c r="B164" s="1"/>
      <c r="C164" s="1"/>
      <c r="D164" s="1"/>
      <c r="E164" s="1"/>
      <c r="F164" s="39"/>
      <c r="G164" s="1"/>
      <c r="H164" s="1"/>
      <c r="I164" s="1"/>
      <c r="J164" s="1"/>
      <c r="K164" s="43"/>
      <c r="L164" s="1"/>
      <c r="M164" s="1"/>
      <c r="N164" s="1"/>
      <c r="O164" s="1"/>
      <c r="P164" s="46"/>
      <c r="Q164" s="1"/>
      <c r="R164" s="1"/>
      <c r="S164" s="1"/>
      <c r="T164" s="1"/>
      <c r="U164" s="49"/>
      <c r="V164" s="1"/>
      <c r="W164" s="1"/>
      <c r="X164" s="1"/>
      <c r="Y164" s="1"/>
      <c r="Z164" s="52"/>
      <c r="AA164" s="1"/>
      <c r="AB164" s="1"/>
      <c r="AC164" s="1"/>
      <c r="AD164" s="1"/>
      <c r="AE164" s="221"/>
    </row>
    <row r="165" spans="1:31" x14ac:dyDescent="0.25">
      <c r="A165" s="108">
        <v>154</v>
      </c>
      <c r="B165" s="1"/>
      <c r="C165" s="1"/>
      <c r="D165" s="1"/>
      <c r="E165" s="1"/>
      <c r="F165" s="39"/>
      <c r="G165" s="1"/>
      <c r="H165" s="1"/>
      <c r="I165" s="1"/>
      <c r="J165" s="1"/>
      <c r="K165" s="43"/>
      <c r="L165" s="1"/>
      <c r="M165" s="1"/>
      <c r="N165" s="1"/>
      <c r="O165" s="1"/>
      <c r="P165" s="46"/>
      <c r="Q165" s="1"/>
      <c r="R165" s="1"/>
      <c r="S165" s="1"/>
      <c r="T165" s="1"/>
      <c r="U165" s="49"/>
      <c r="V165" s="1"/>
      <c r="W165" s="1"/>
      <c r="X165" s="1"/>
      <c r="Y165" s="1"/>
      <c r="Z165" s="52"/>
      <c r="AA165" s="1"/>
      <c r="AB165" s="1"/>
      <c r="AC165" s="1"/>
      <c r="AD165" s="1"/>
      <c r="AE165" s="221"/>
    </row>
    <row r="166" spans="1:31" x14ac:dyDescent="0.25">
      <c r="A166" s="108">
        <v>155</v>
      </c>
      <c r="B166" s="1"/>
      <c r="C166" s="1"/>
      <c r="D166" s="1"/>
      <c r="E166" s="1"/>
      <c r="F166" s="39"/>
      <c r="G166" s="1"/>
      <c r="H166" s="1"/>
      <c r="I166" s="1"/>
      <c r="J166" s="1"/>
      <c r="K166" s="43"/>
      <c r="L166" s="1"/>
      <c r="M166" s="1"/>
      <c r="N166" s="1"/>
      <c r="O166" s="1"/>
      <c r="P166" s="46"/>
      <c r="Q166" s="1"/>
      <c r="R166" s="1"/>
      <c r="S166" s="1"/>
      <c r="T166" s="1"/>
      <c r="U166" s="49"/>
      <c r="V166" s="1"/>
      <c r="W166" s="1"/>
      <c r="X166" s="1"/>
      <c r="Y166" s="1"/>
      <c r="Z166" s="52"/>
      <c r="AA166" s="1"/>
      <c r="AB166" s="1"/>
      <c r="AC166" s="1"/>
      <c r="AD166" s="1"/>
      <c r="AE166" s="221"/>
    </row>
    <row r="167" spans="1:31" x14ac:dyDescent="0.25">
      <c r="A167" s="108">
        <v>156</v>
      </c>
      <c r="B167" s="1"/>
      <c r="C167" s="1"/>
      <c r="D167" s="1"/>
      <c r="E167" s="1"/>
      <c r="F167" s="39"/>
      <c r="G167" s="1"/>
      <c r="H167" s="1"/>
      <c r="I167" s="1"/>
      <c r="J167" s="1"/>
      <c r="K167" s="43"/>
      <c r="L167" s="1"/>
      <c r="M167" s="1"/>
      <c r="N167" s="1"/>
      <c r="O167" s="1"/>
      <c r="P167" s="46"/>
      <c r="Q167" s="1"/>
      <c r="R167" s="1"/>
      <c r="S167" s="1"/>
      <c r="T167" s="1"/>
      <c r="U167" s="49"/>
      <c r="V167" s="1"/>
      <c r="W167" s="1"/>
      <c r="X167" s="1"/>
      <c r="Y167" s="1"/>
      <c r="Z167" s="52"/>
      <c r="AA167" s="1"/>
      <c r="AB167" s="1"/>
      <c r="AC167" s="1"/>
      <c r="AD167" s="1"/>
      <c r="AE167" s="221"/>
    </row>
    <row r="168" spans="1:31" x14ac:dyDescent="0.25">
      <c r="A168" s="108">
        <v>157</v>
      </c>
      <c r="B168" s="1"/>
      <c r="C168" s="1"/>
      <c r="D168" s="1"/>
      <c r="E168" s="1"/>
      <c r="F168" s="39"/>
      <c r="G168" s="1"/>
      <c r="H168" s="1"/>
      <c r="I168" s="1"/>
      <c r="J168" s="1"/>
      <c r="K168" s="43"/>
      <c r="L168" s="1"/>
      <c r="M168" s="1"/>
      <c r="N168" s="1"/>
      <c r="O168" s="1"/>
      <c r="P168" s="46"/>
      <c r="Q168" s="1"/>
      <c r="R168" s="1"/>
      <c r="S168" s="1"/>
      <c r="T168" s="1"/>
      <c r="U168" s="49"/>
      <c r="V168" s="1"/>
      <c r="W168" s="1"/>
      <c r="X168" s="1"/>
      <c r="Y168" s="1"/>
      <c r="Z168" s="52"/>
      <c r="AA168" s="1"/>
      <c r="AB168" s="1"/>
      <c r="AC168" s="1"/>
      <c r="AD168" s="1"/>
      <c r="AE168" s="221"/>
    </row>
    <row r="169" spans="1:31" x14ac:dyDescent="0.25">
      <c r="A169" s="108">
        <v>158</v>
      </c>
      <c r="B169" s="1"/>
      <c r="C169" s="1"/>
      <c r="D169" s="1"/>
      <c r="E169" s="1"/>
      <c r="F169" s="39"/>
      <c r="G169" s="1"/>
      <c r="H169" s="1"/>
      <c r="I169" s="1"/>
      <c r="J169" s="1"/>
      <c r="K169" s="43"/>
      <c r="L169" s="1"/>
      <c r="M169" s="1"/>
      <c r="N169" s="1"/>
      <c r="O169" s="1"/>
      <c r="P169" s="46"/>
      <c r="Q169" s="1"/>
      <c r="R169" s="1"/>
      <c r="S169" s="1"/>
      <c r="T169" s="1"/>
      <c r="U169" s="49"/>
      <c r="V169" s="1"/>
      <c r="W169" s="1"/>
      <c r="X169" s="1"/>
      <c r="Y169" s="1"/>
      <c r="Z169" s="52"/>
      <c r="AA169" s="1"/>
      <c r="AB169" s="1"/>
      <c r="AC169" s="1"/>
      <c r="AD169" s="1"/>
      <c r="AE169" s="221"/>
    </row>
    <row r="170" spans="1:31" x14ac:dyDescent="0.25">
      <c r="A170" s="108">
        <v>159</v>
      </c>
      <c r="B170" s="1"/>
      <c r="C170" s="1"/>
      <c r="D170" s="1"/>
      <c r="E170" s="1"/>
      <c r="F170" s="39"/>
      <c r="G170" s="1"/>
      <c r="H170" s="1"/>
      <c r="I170" s="1"/>
      <c r="J170" s="1"/>
      <c r="K170" s="43"/>
      <c r="L170" s="1"/>
      <c r="M170" s="1"/>
      <c r="N170" s="1"/>
      <c r="O170" s="1"/>
      <c r="P170" s="46"/>
      <c r="Q170" s="1"/>
      <c r="R170" s="1"/>
      <c r="S170" s="1"/>
      <c r="T170" s="1"/>
      <c r="U170" s="49"/>
      <c r="V170" s="1"/>
      <c r="W170" s="1"/>
      <c r="X170" s="1"/>
      <c r="Y170" s="1"/>
      <c r="Z170" s="52"/>
      <c r="AA170" s="1"/>
      <c r="AB170" s="1"/>
      <c r="AC170" s="1"/>
      <c r="AD170" s="1"/>
      <c r="AE170" s="221"/>
    </row>
    <row r="171" spans="1:31" x14ac:dyDescent="0.25">
      <c r="A171" s="108">
        <v>160</v>
      </c>
      <c r="B171" s="1"/>
      <c r="C171" s="1"/>
      <c r="D171" s="1"/>
      <c r="E171" s="1"/>
      <c r="F171" s="39"/>
      <c r="G171" s="1"/>
      <c r="H171" s="1"/>
      <c r="I171" s="1"/>
      <c r="J171" s="1"/>
      <c r="K171" s="43"/>
      <c r="L171" s="1"/>
      <c r="M171" s="1"/>
      <c r="N171" s="1"/>
      <c r="O171" s="1"/>
      <c r="P171" s="46"/>
      <c r="Q171" s="1"/>
      <c r="R171" s="1"/>
      <c r="S171" s="1"/>
      <c r="T171" s="1"/>
      <c r="U171" s="49"/>
      <c r="V171" s="1"/>
      <c r="W171" s="1"/>
      <c r="X171" s="1"/>
      <c r="Y171" s="1"/>
      <c r="Z171" s="52"/>
      <c r="AA171" s="1"/>
      <c r="AB171" s="1"/>
      <c r="AC171" s="1"/>
      <c r="AD171" s="1"/>
      <c r="AE171" s="221"/>
    </row>
    <row r="172" spans="1:31" x14ac:dyDescent="0.25">
      <c r="A172" s="108">
        <v>161</v>
      </c>
      <c r="B172" s="1"/>
      <c r="C172" s="1"/>
      <c r="D172" s="1"/>
      <c r="E172" s="1"/>
      <c r="F172" s="39"/>
      <c r="G172" s="1"/>
      <c r="H172" s="1"/>
      <c r="I172" s="1"/>
      <c r="J172" s="1"/>
      <c r="K172" s="43"/>
      <c r="L172" s="1"/>
      <c r="M172" s="1"/>
      <c r="N172" s="1"/>
      <c r="O172" s="1"/>
      <c r="P172" s="46"/>
      <c r="Q172" s="1"/>
      <c r="R172" s="1"/>
      <c r="S172" s="1"/>
      <c r="T172" s="1"/>
      <c r="U172" s="49"/>
      <c r="V172" s="1"/>
      <c r="W172" s="1"/>
      <c r="X172" s="1"/>
      <c r="Y172" s="1"/>
      <c r="Z172" s="52"/>
      <c r="AA172" s="1"/>
      <c r="AB172" s="1"/>
      <c r="AC172" s="1"/>
      <c r="AD172" s="1"/>
      <c r="AE172" s="221"/>
    </row>
    <row r="173" spans="1:31" x14ac:dyDescent="0.25">
      <c r="A173" s="108">
        <v>162</v>
      </c>
      <c r="B173" s="1"/>
      <c r="C173" s="1"/>
      <c r="D173" s="1"/>
      <c r="E173" s="1"/>
      <c r="F173" s="39"/>
      <c r="G173" s="1"/>
      <c r="H173" s="1"/>
      <c r="I173" s="1"/>
      <c r="J173" s="1"/>
      <c r="K173" s="43"/>
      <c r="L173" s="1"/>
      <c r="M173" s="1"/>
      <c r="N173" s="1"/>
      <c r="O173" s="1"/>
      <c r="P173" s="46"/>
      <c r="Q173" s="1"/>
      <c r="R173" s="1"/>
      <c r="S173" s="1"/>
      <c r="T173" s="1"/>
      <c r="U173" s="49"/>
      <c r="V173" s="1"/>
      <c r="W173" s="1"/>
      <c r="X173" s="1"/>
      <c r="Y173" s="1"/>
      <c r="Z173" s="52"/>
      <c r="AA173" s="1"/>
      <c r="AB173" s="1"/>
      <c r="AC173" s="1"/>
      <c r="AD173" s="1"/>
      <c r="AE173" s="221"/>
    </row>
    <row r="174" spans="1:31" x14ac:dyDescent="0.25">
      <c r="A174" s="108">
        <v>163</v>
      </c>
      <c r="B174" s="1"/>
      <c r="C174" s="1"/>
      <c r="D174" s="1"/>
      <c r="E174" s="1"/>
      <c r="F174" s="39"/>
      <c r="G174" s="1"/>
      <c r="H174" s="1"/>
      <c r="I174" s="1"/>
      <c r="J174" s="1"/>
      <c r="K174" s="43"/>
      <c r="L174" s="1"/>
      <c r="M174" s="1"/>
      <c r="N174" s="1"/>
      <c r="O174" s="1"/>
      <c r="P174" s="46"/>
      <c r="Q174" s="1"/>
      <c r="R174" s="1"/>
      <c r="S174" s="1"/>
      <c r="T174" s="1"/>
      <c r="U174" s="49"/>
      <c r="V174" s="1"/>
      <c r="W174" s="1"/>
      <c r="X174" s="1"/>
      <c r="Y174" s="1"/>
      <c r="Z174" s="52"/>
      <c r="AA174" s="1"/>
      <c r="AB174" s="1"/>
      <c r="AC174" s="1"/>
      <c r="AD174" s="1"/>
      <c r="AE174" s="221"/>
    </row>
    <row r="175" spans="1:31" x14ac:dyDescent="0.25">
      <c r="A175" s="108">
        <v>164</v>
      </c>
      <c r="B175" s="1"/>
      <c r="C175" s="1"/>
      <c r="D175" s="1"/>
      <c r="E175" s="1"/>
      <c r="F175" s="39"/>
      <c r="G175" s="1"/>
      <c r="H175" s="1"/>
      <c r="I175" s="1"/>
      <c r="J175" s="1"/>
      <c r="K175" s="43"/>
      <c r="L175" s="1"/>
      <c r="M175" s="1"/>
      <c r="N175" s="1"/>
      <c r="O175" s="1"/>
      <c r="P175" s="46"/>
      <c r="Q175" s="1"/>
      <c r="R175" s="1"/>
      <c r="S175" s="1"/>
      <c r="T175" s="1"/>
      <c r="U175" s="49"/>
      <c r="V175" s="1"/>
      <c r="W175" s="1"/>
      <c r="X175" s="1"/>
      <c r="Y175" s="1"/>
      <c r="Z175" s="52"/>
      <c r="AA175" s="1"/>
      <c r="AB175" s="1"/>
      <c r="AC175" s="1"/>
      <c r="AD175" s="1"/>
      <c r="AE175" s="221"/>
    </row>
    <row r="176" spans="1:31" x14ac:dyDescent="0.25">
      <c r="A176" s="108">
        <v>165</v>
      </c>
      <c r="B176" s="1"/>
      <c r="C176" s="1"/>
      <c r="D176" s="1"/>
      <c r="E176" s="1"/>
      <c r="F176" s="39"/>
      <c r="G176" s="1"/>
      <c r="H176" s="1"/>
      <c r="I176" s="1"/>
      <c r="J176" s="1"/>
      <c r="K176" s="43"/>
      <c r="L176" s="1"/>
      <c r="M176" s="1"/>
      <c r="N176" s="1"/>
      <c r="O176" s="1"/>
      <c r="P176" s="46"/>
      <c r="Q176" s="1"/>
      <c r="R176" s="1"/>
      <c r="S176" s="1"/>
      <c r="T176" s="1"/>
      <c r="U176" s="49"/>
      <c r="V176" s="1"/>
      <c r="W176" s="1"/>
      <c r="X176" s="1"/>
      <c r="Y176" s="1"/>
      <c r="Z176" s="52"/>
      <c r="AA176" s="1"/>
      <c r="AB176" s="1"/>
      <c r="AC176" s="1"/>
      <c r="AD176" s="1"/>
      <c r="AE176" s="221"/>
    </row>
    <row r="177" spans="1:31" x14ac:dyDescent="0.25">
      <c r="A177" s="108">
        <v>166</v>
      </c>
      <c r="B177" s="1"/>
      <c r="C177" s="1"/>
      <c r="D177" s="1"/>
      <c r="E177" s="1"/>
      <c r="F177" s="39"/>
      <c r="G177" s="1"/>
      <c r="H177" s="1"/>
      <c r="I177" s="1"/>
      <c r="J177" s="1"/>
      <c r="K177" s="43"/>
      <c r="L177" s="1"/>
      <c r="M177" s="1"/>
      <c r="N177" s="1"/>
      <c r="O177" s="1"/>
      <c r="P177" s="46"/>
      <c r="Q177" s="1"/>
      <c r="R177" s="1"/>
      <c r="S177" s="1"/>
      <c r="T177" s="1"/>
      <c r="U177" s="49"/>
      <c r="V177" s="1"/>
      <c r="W177" s="1"/>
      <c r="X177" s="1"/>
      <c r="Y177" s="1"/>
      <c r="Z177" s="52"/>
      <c r="AA177" s="1"/>
      <c r="AB177" s="1"/>
      <c r="AC177" s="1"/>
      <c r="AD177" s="1"/>
      <c r="AE177" s="221"/>
    </row>
    <row r="178" spans="1:31" x14ac:dyDescent="0.25">
      <c r="A178" s="108">
        <v>167</v>
      </c>
      <c r="B178" s="1"/>
      <c r="C178" s="1"/>
      <c r="D178" s="1"/>
      <c r="E178" s="1"/>
      <c r="F178" s="39"/>
      <c r="G178" s="1"/>
      <c r="H178" s="1"/>
      <c r="I178" s="1"/>
      <c r="J178" s="1"/>
      <c r="K178" s="43"/>
      <c r="L178" s="1"/>
      <c r="M178" s="1"/>
      <c r="N178" s="1"/>
      <c r="O178" s="1"/>
      <c r="P178" s="46"/>
      <c r="Q178" s="1"/>
      <c r="R178" s="1"/>
      <c r="S178" s="1"/>
      <c r="T178" s="1"/>
      <c r="U178" s="49"/>
      <c r="V178" s="1"/>
      <c r="W178" s="1"/>
      <c r="X178" s="1"/>
      <c r="Y178" s="1"/>
      <c r="Z178" s="52"/>
      <c r="AA178" s="1"/>
      <c r="AB178" s="1"/>
      <c r="AC178" s="1"/>
      <c r="AD178" s="1"/>
      <c r="AE178" s="221"/>
    </row>
    <row r="179" spans="1:31" x14ac:dyDescent="0.25">
      <c r="A179" s="108">
        <v>168</v>
      </c>
      <c r="B179" s="1"/>
      <c r="C179" s="1"/>
      <c r="D179" s="1"/>
      <c r="E179" s="1"/>
      <c r="F179" s="39"/>
      <c r="G179" s="1"/>
      <c r="H179" s="1"/>
      <c r="I179" s="1"/>
      <c r="J179" s="1"/>
      <c r="K179" s="43"/>
      <c r="L179" s="1"/>
      <c r="M179" s="1"/>
      <c r="N179" s="1"/>
      <c r="O179" s="1"/>
      <c r="P179" s="46"/>
      <c r="Q179" s="1"/>
      <c r="R179" s="1"/>
      <c r="S179" s="1"/>
      <c r="T179" s="1"/>
      <c r="U179" s="49"/>
      <c r="V179" s="1"/>
      <c r="W179" s="1"/>
      <c r="X179" s="1"/>
      <c r="Y179" s="1"/>
      <c r="Z179" s="52"/>
      <c r="AA179" s="1"/>
      <c r="AB179" s="1"/>
      <c r="AC179" s="1"/>
      <c r="AD179" s="1"/>
      <c r="AE179" s="221"/>
    </row>
    <row r="180" spans="1:31" x14ac:dyDescent="0.25">
      <c r="A180" s="108">
        <v>169</v>
      </c>
      <c r="B180" s="1"/>
      <c r="C180" s="1"/>
      <c r="D180" s="1"/>
      <c r="E180" s="1"/>
      <c r="F180" s="39"/>
      <c r="G180" s="1"/>
      <c r="H180" s="1"/>
      <c r="I180" s="1"/>
      <c r="J180" s="1"/>
      <c r="K180" s="43"/>
      <c r="L180" s="1"/>
      <c r="M180" s="1"/>
      <c r="N180" s="1"/>
      <c r="O180" s="1"/>
      <c r="P180" s="46"/>
      <c r="Q180" s="1"/>
      <c r="R180" s="1"/>
      <c r="S180" s="1"/>
      <c r="T180" s="1"/>
      <c r="U180" s="49"/>
      <c r="V180" s="1"/>
      <c r="W180" s="1"/>
      <c r="X180" s="1"/>
      <c r="Y180" s="1"/>
      <c r="Z180" s="52"/>
      <c r="AA180" s="1"/>
      <c r="AB180" s="1"/>
      <c r="AC180" s="1"/>
      <c r="AD180" s="1"/>
      <c r="AE180" s="221"/>
    </row>
    <row r="181" spans="1:31" x14ac:dyDescent="0.25">
      <c r="A181" s="108">
        <v>170</v>
      </c>
      <c r="B181" s="1"/>
      <c r="C181" s="1"/>
      <c r="D181" s="1"/>
      <c r="E181" s="1"/>
      <c r="F181" s="39"/>
      <c r="G181" s="1"/>
      <c r="H181" s="1"/>
      <c r="I181" s="1"/>
      <c r="J181" s="1"/>
      <c r="K181" s="43"/>
      <c r="L181" s="1"/>
      <c r="M181" s="1"/>
      <c r="N181" s="1"/>
      <c r="O181" s="1"/>
      <c r="P181" s="46"/>
      <c r="Q181" s="1"/>
      <c r="R181" s="1"/>
      <c r="S181" s="1"/>
      <c r="T181" s="1"/>
      <c r="U181" s="49"/>
      <c r="V181" s="1"/>
      <c r="W181" s="1"/>
      <c r="X181" s="1"/>
      <c r="Y181" s="1"/>
      <c r="Z181" s="52"/>
      <c r="AA181" s="1"/>
      <c r="AB181" s="1"/>
      <c r="AC181" s="1"/>
      <c r="AD181" s="1"/>
      <c r="AE181" s="221"/>
    </row>
    <row r="182" spans="1:31" x14ac:dyDescent="0.25">
      <c r="A182" s="108">
        <v>171</v>
      </c>
      <c r="B182" s="1"/>
      <c r="C182" s="1"/>
      <c r="D182" s="1"/>
      <c r="E182" s="1"/>
      <c r="F182" s="39"/>
      <c r="G182" s="1"/>
      <c r="H182" s="1"/>
      <c r="I182" s="1"/>
      <c r="J182" s="1"/>
      <c r="K182" s="43"/>
      <c r="L182" s="1"/>
      <c r="M182" s="1"/>
      <c r="N182" s="1"/>
      <c r="O182" s="1"/>
      <c r="P182" s="46"/>
      <c r="Q182" s="1"/>
      <c r="R182" s="1"/>
      <c r="S182" s="1"/>
      <c r="T182" s="1"/>
      <c r="U182" s="49"/>
      <c r="V182" s="1"/>
      <c r="W182" s="1"/>
      <c r="X182" s="1"/>
      <c r="Y182" s="1"/>
      <c r="Z182" s="52"/>
      <c r="AA182" s="1"/>
      <c r="AB182" s="1"/>
      <c r="AC182" s="1"/>
      <c r="AD182" s="1"/>
      <c r="AE182" s="221"/>
    </row>
    <row r="183" spans="1:31" x14ac:dyDescent="0.25">
      <c r="A183" s="108">
        <v>172</v>
      </c>
      <c r="B183" s="1"/>
      <c r="C183" s="1"/>
      <c r="D183" s="1"/>
      <c r="E183" s="1"/>
      <c r="F183" s="39"/>
      <c r="G183" s="1"/>
      <c r="H183" s="1"/>
      <c r="I183" s="1"/>
      <c r="J183" s="1"/>
      <c r="K183" s="43"/>
      <c r="L183" s="1"/>
      <c r="M183" s="1"/>
      <c r="N183" s="1"/>
      <c r="O183" s="1"/>
      <c r="P183" s="46"/>
      <c r="Q183" s="1"/>
      <c r="R183" s="1"/>
      <c r="S183" s="1"/>
      <c r="T183" s="1"/>
      <c r="U183" s="49"/>
      <c r="V183" s="1"/>
      <c r="W183" s="1"/>
      <c r="X183" s="1"/>
      <c r="Y183" s="1"/>
      <c r="Z183" s="52"/>
      <c r="AA183" s="1"/>
      <c r="AB183" s="1"/>
      <c r="AC183" s="1"/>
      <c r="AD183" s="1"/>
      <c r="AE183" s="221"/>
    </row>
    <row r="184" spans="1:31" x14ac:dyDescent="0.25">
      <c r="A184" s="108">
        <v>173</v>
      </c>
      <c r="B184" s="1"/>
      <c r="C184" s="1"/>
      <c r="D184" s="1"/>
      <c r="E184" s="1"/>
      <c r="F184" s="39"/>
      <c r="G184" s="1"/>
      <c r="H184" s="1"/>
      <c r="I184" s="1"/>
      <c r="J184" s="1"/>
      <c r="K184" s="43"/>
      <c r="L184" s="1"/>
      <c r="M184" s="1"/>
      <c r="N184" s="1"/>
      <c r="O184" s="1"/>
      <c r="P184" s="46"/>
      <c r="Q184" s="1"/>
      <c r="R184" s="1"/>
      <c r="S184" s="1"/>
      <c r="T184" s="1"/>
      <c r="U184" s="49"/>
      <c r="V184" s="1"/>
      <c r="W184" s="1"/>
      <c r="X184" s="1"/>
      <c r="Y184" s="1"/>
      <c r="Z184" s="52"/>
      <c r="AA184" s="1"/>
      <c r="AB184" s="1"/>
      <c r="AC184" s="1"/>
      <c r="AD184" s="1"/>
      <c r="AE184" s="221"/>
    </row>
    <row r="185" spans="1:31" x14ac:dyDescent="0.25">
      <c r="A185" s="108">
        <v>174</v>
      </c>
      <c r="B185" s="1"/>
      <c r="C185" s="1"/>
      <c r="D185" s="1"/>
      <c r="E185" s="1"/>
      <c r="F185" s="39"/>
      <c r="G185" s="1"/>
      <c r="H185" s="1"/>
      <c r="I185" s="1"/>
      <c r="J185" s="1"/>
      <c r="K185" s="43"/>
      <c r="L185" s="1"/>
      <c r="M185" s="1"/>
      <c r="N185" s="1"/>
      <c r="O185" s="1"/>
      <c r="P185" s="46"/>
      <c r="Q185" s="1"/>
      <c r="R185" s="1"/>
      <c r="S185" s="1"/>
      <c r="T185" s="1"/>
      <c r="U185" s="49"/>
      <c r="V185" s="1"/>
      <c r="W185" s="1"/>
      <c r="X185" s="1"/>
      <c r="Y185" s="1"/>
      <c r="Z185" s="52"/>
      <c r="AA185" s="1"/>
      <c r="AB185" s="1"/>
      <c r="AC185" s="1"/>
      <c r="AD185" s="1"/>
      <c r="AE185" s="221"/>
    </row>
    <row r="186" spans="1:31" x14ac:dyDescent="0.25">
      <c r="A186" s="108">
        <v>175</v>
      </c>
      <c r="B186" s="1"/>
      <c r="C186" s="1"/>
      <c r="D186" s="1"/>
      <c r="E186" s="1"/>
      <c r="F186" s="39"/>
      <c r="G186" s="1"/>
      <c r="H186" s="1"/>
      <c r="I186" s="1"/>
      <c r="J186" s="1"/>
      <c r="K186" s="43"/>
      <c r="L186" s="1"/>
      <c r="M186" s="1"/>
      <c r="N186" s="1"/>
      <c r="O186" s="1"/>
      <c r="P186" s="46"/>
      <c r="Q186" s="1"/>
      <c r="R186" s="1"/>
      <c r="S186" s="1"/>
      <c r="T186" s="1"/>
      <c r="U186" s="49"/>
      <c r="V186" s="1"/>
      <c r="W186" s="1"/>
      <c r="X186" s="1"/>
      <c r="Y186" s="1"/>
      <c r="Z186" s="52"/>
      <c r="AA186" s="1"/>
      <c r="AB186" s="1"/>
      <c r="AC186" s="1"/>
      <c r="AD186" s="1"/>
      <c r="AE186" s="221"/>
    </row>
    <row r="187" spans="1:31" x14ac:dyDescent="0.25">
      <c r="A187" s="108">
        <v>176</v>
      </c>
      <c r="B187" s="1"/>
      <c r="C187" s="1"/>
      <c r="D187" s="1"/>
      <c r="E187" s="1"/>
      <c r="F187" s="39"/>
      <c r="G187" s="1"/>
      <c r="H187" s="1"/>
      <c r="I187" s="1"/>
      <c r="J187" s="1"/>
      <c r="K187" s="43"/>
      <c r="L187" s="1"/>
      <c r="M187" s="1"/>
      <c r="N187" s="1"/>
      <c r="O187" s="1"/>
      <c r="P187" s="46"/>
      <c r="Q187" s="1"/>
      <c r="R187" s="1"/>
      <c r="S187" s="1"/>
      <c r="T187" s="1"/>
      <c r="U187" s="49"/>
      <c r="V187" s="1"/>
      <c r="W187" s="1"/>
      <c r="X187" s="1"/>
      <c r="Y187" s="1"/>
      <c r="Z187" s="52"/>
      <c r="AA187" s="1"/>
      <c r="AB187" s="1"/>
      <c r="AC187" s="1"/>
      <c r="AD187" s="1"/>
      <c r="AE187" s="221"/>
    </row>
    <row r="188" spans="1:31" x14ac:dyDescent="0.25">
      <c r="A188" s="108">
        <v>177</v>
      </c>
      <c r="B188" s="1"/>
      <c r="C188" s="1"/>
      <c r="D188" s="1"/>
      <c r="E188" s="1"/>
      <c r="F188" s="39"/>
      <c r="G188" s="1"/>
      <c r="H188" s="1"/>
      <c r="I188" s="1"/>
      <c r="J188" s="1"/>
      <c r="K188" s="43"/>
      <c r="L188" s="1"/>
      <c r="M188" s="1"/>
      <c r="N188" s="1"/>
      <c r="O188" s="1"/>
      <c r="P188" s="46"/>
      <c r="Q188" s="1"/>
      <c r="R188" s="1"/>
      <c r="S188" s="1"/>
      <c r="T188" s="1"/>
      <c r="U188" s="49"/>
      <c r="V188" s="1"/>
      <c r="W188" s="1"/>
      <c r="X188" s="1"/>
      <c r="Y188" s="1"/>
      <c r="Z188" s="52"/>
      <c r="AA188" s="1"/>
      <c r="AB188" s="1"/>
      <c r="AC188" s="1"/>
      <c r="AD188" s="1"/>
      <c r="AE188" s="221"/>
    </row>
    <row r="189" spans="1:31" x14ac:dyDescent="0.25">
      <c r="A189" s="108">
        <v>178</v>
      </c>
      <c r="B189" s="1"/>
      <c r="C189" s="1"/>
      <c r="D189" s="1"/>
      <c r="E189" s="1"/>
      <c r="F189" s="39"/>
      <c r="G189" s="1"/>
      <c r="H189" s="1"/>
      <c r="I189" s="1"/>
      <c r="J189" s="1"/>
      <c r="K189" s="43"/>
      <c r="L189" s="1"/>
      <c r="M189" s="1"/>
      <c r="N189" s="1"/>
      <c r="O189" s="1"/>
      <c r="P189" s="46"/>
      <c r="Q189" s="1"/>
      <c r="R189" s="1"/>
      <c r="S189" s="1"/>
      <c r="T189" s="1"/>
      <c r="U189" s="49"/>
      <c r="V189" s="1"/>
      <c r="W189" s="1"/>
      <c r="X189" s="1"/>
      <c r="Y189" s="1"/>
      <c r="Z189" s="52"/>
      <c r="AA189" s="1"/>
      <c r="AB189" s="1"/>
      <c r="AC189" s="1"/>
      <c r="AD189" s="1"/>
      <c r="AE189" s="221"/>
    </row>
    <row r="190" spans="1:31" x14ac:dyDescent="0.25">
      <c r="A190" s="108">
        <v>179</v>
      </c>
      <c r="B190" s="1"/>
      <c r="C190" s="1"/>
      <c r="D190" s="1"/>
      <c r="E190" s="1"/>
      <c r="F190" s="39"/>
      <c r="G190" s="1"/>
      <c r="H190" s="1"/>
      <c r="I190" s="1"/>
      <c r="J190" s="1"/>
      <c r="K190" s="43"/>
      <c r="L190" s="1"/>
      <c r="M190" s="1"/>
      <c r="N190" s="1"/>
      <c r="O190" s="1"/>
      <c r="P190" s="46"/>
      <c r="Q190" s="1"/>
      <c r="R190" s="1"/>
      <c r="S190" s="1"/>
      <c r="T190" s="1"/>
      <c r="U190" s="49"/>
      <c r="V190" s="1"/>
      <c r="W190" s="1"/>
      <c r="X190" s="1"/>
      <c r="Y190" s="1"/>
      <c r="Z190" s="52"/>
      <c r="AA190" s="1"/>
      <c r="AB190" s="1"/>
      <c r="AC190" s="1"/>
      <c r="AD190" s="1"/>
      <c r="AE190" s="221"/>
    </row>
    <row r="191" spans="1:31" x14ac:dyDescent="0.25">
      <c r="A191" s="108">
        <v>180</v>
      </c>
      <c r="B191" s="1"/>
      <c r="C191" s="1"/>
      <c r="D191" s="1"/>
      <c r="E191" s="1"/>
      <c r="F191" s="39"/>
      <c r="G191" s="1"/>
      <c r="H191" s="1"/>
      <c r="I191" s="1"/>
      <c r="J191" s="1"/>
      <c r="K191" s="43"/>
      <c r="L191" s="1"/>
      <c r="M191" s="1"/>
      <c r="N191" s="1"/>
      <c r="O191" s="1"/>
      <c r="P191" s="46"/>
      <c r="Q191" s="1"/>
      <c r="R191" s="1"/>
      <c r="S191" s="1"/>
      <c r="T191" s="1"/>
      <c r="U191" s="49"/>
      <c r="V191" s="1"/>
      <c r="W191" s="1"/>
      <c r="X191" s="1"/>
      <c r="Y191" s="1"/>
      <c r="Z191" s="52"/>
      <c r="AA191" s="1"/>
      <c r="AB191" s="1"/>
      <c r="AC191" s="1"/>
      <c r="AD191" s="1"/>
      <c r="AE191" s="221"/>
    </row>
    <row r="192" spans="1:31" x14ac:dyDescent="0.25">
      <c r="A192" s="108">
        <v>181</v>
      </c>
      <c r="B192" s="1"/>
      <c r="C192" s="1"/>
      <c r="D192" s="1"/>
      <c r="E192" s="1"/>
      <c r="F192" s="39"/>
      <c r="G192" s="1"/>
      <c r="H192" s="1"/>
      <c r="I192" s="1"/>
      <c r="J192" s="1"/>
      <c r="K192" s="43"/>
      <c r="L192" s="1"/>
      <c r="M192" s="1"/>
      <c r="N192" s="1"/>
      <c r="O192" s="1"/>
      <c r="P192" s="46"/>
      <c r="Q192" s="1"/>
      <c r="R192" s="1"/>
      <c r="S192" s="1"/>
      <c r="T192" s="1"/>
      <c r="U192" s="49"/>
      <c r="V192" s="1"/>
      <c r="W192" s="1"/>
      <c r="X192" s="1"/>
      <c r="Y192" s="1"/>
      <c r="Z192" s="52"/>
      <c r="AA192" s="1"/>
      <c r="AB192" s="1"/>
      <c r="AC192" s="1"/>
      <c r="AD192" s="1"/>
      <c r="AE192" s="221"/>
    </row>
    <row r="193" spans="1:31" x14ac:dyDescent="0.25">
      <c r="A193" s="108">
        <v>182</v>
      </c>
      <c r="B193" s="1"/>
      <c r="C193" s="1"/>
      <c r="D193" s="1"/>
      <c r="E193" s="1"/>
      <c r="F193" s="39"/>
      <c r="G193" s="1"/>
      <c r="H193" s="1"/>
      <c r="I193" s="1"/>
      <c r="J193" s="1"/>
      <c r="K193" s="43"/>
      <c r="L193" s="1"/>
      <c r="M193" s="1"/>
      <c r="N193" s="1"/>
      <c r="O193" s="1"/>
      <c r="P193" s="46"/>
      <c r="Q193" s="1"/>
      <c r="R193" s="1"/>
      <c r="S193" s="1"/>
      <c r="T193" s="1"/>
      <c r="U193" s="49"/>
      <c r="V193" s="1"/>
      <c r="W193" s="1"/>
      <c r="X193" s="1"/>
      <c r="Y193" s="1"/>
      <c r="Z193" s="52"/>
      <c r="AA193" s="1"/>
      <c r="AB193" s="1"/>
      <c r="AC193" s="1"/>
      <c r="AD193" s="1"/>
      <c r="AE193" s="221"/>
    </row>
    <row r="194" spans="1:31" x14ac:dyDescent="0.25">
      <c r="A194" s="108">
        <v>183</v>
      </c>
      <c r="B194" s="1"/>
      <c r="C194" s="1"/>
      <c r="D194" s="1"/>
      <c r="E194" s="1"/>
      <c r="F194" s="39"/>
      <c r="G194" s="1"/>
      <c r="H194" s="1"/>
      <c r="I194" s="1"/>
      <c r="J194" s="1"/>
      <c r="K194" s="43"/>
      <c r="L194" s="1"/>
      <c r="M194" s="1"/>
      <c r="N194" s="1"/>
      <c r="O194" s="1"/>
      <c r="P194" s="46"/>
      <c r="Q194" s="1"/>
      <c r="R194" s="1"/>
      <c r="S194" s="1"/>
      <c r="T194" s="1"/>
      <c r="U194" s="49"/>
      <c r="V194" s="1"/>
      <c r="W194" s="1"/>
      <c r="X194" s="1"/>
      <c r="Y194" s="1"/>
      <c r="Z194" s="52"/>
      <c r="AA194" s="1"/>
      <c r="AB194" s="1"/>
      <c r="AC194" s="1"/>
      <c r="AD194" s="1"/>
      <c r="AE194" s="221"/>
    </row>
    <row r="195" spans="1:31" x14ac:dyDescent="0.25">
      <c r="A195" s="108">
        <v>184</v>
      </c>
      <c r="B195" s="1"/>
      <c r="C195" s="1"/>
      <c r="D195" s="1"/>
      <c r="E195" s="1"/>
      <c r="F195" s="39"/>
      <c r="G195" s="1"/>
      <c r="H195" s="1"/>
      <c r="I195" s="1"/>
      <c r="J195" s="1"/>
      <c r="K195" s="43"/>
      <c r="L195" s="1"/>
      <c r="M195" s="1"/>
      <c r="N195" s="1"/>
      <c r="O195" s="1"/>
      <c r="P195" s="46"/>
      <c r="Q195" s="1"/>
      <c r="R195" s="1"/>
      <c r="S195" s="1"/>
      <c r="T195" s="1"/>
      <c r="U195" s="49"/>
      <c r="V195" s="1"/>
      <c r="W195" s="1"/>
      <c r="X195" s="1"/>
      <c r="Y195" s="1"/>
      <c r="Z195" s="52"/>
      <c r="AA195" s="1"/>
      <c r="AB195" s="1"/>
      <c r="AC195" s="1"/>
      <c r="AD195" s="1"/>
      <c r="AE195" s="221"/>
    </row>
    <row r="196" spans="1:31" x14ac:dyDescent="0.25">
      <c r="A196" s="108">
        <v>185</v>
      </c>
      <c r="B196" s="1"/>
      <c r="C196" s="1"/>
      <c r="D196" s="1"/>
      <c r="E196" s="1"/>
      <c r="F196" s="39"/>
      <c r="G196" s="1"/>
      <c r="H196" s="1"/>
      <c r="I196" s="1"/>
      <c r="J196" s="1"/>
      <c r="K196" s="43"/>
      <c r="L196" s="1"/>
      <c r="M196" s="1"/>
      <c r="N196" s="1"/>
      <c r="O196" s="1"/>
      <c r="P196" s="46"/>
      <c r="Q196" s="1"/>
      <c r="R196" s="1"/>
      <c r="S196" s="1"/>
      <c r="T196" s="1"/>
      <c r="U196" s="49"/>
      <c r="V196" s="1"/>
      <c r="W196" s="1"/>
      <c r="X196" s="1"/>
      <c r="Y196" s="1"/>
      <c r="Z196" s="52"/>
      <c r="AA196" s="1"/>
      <c r="AB196" s="1"/>
      <c r="AC196" s="1"/>
      <c r="AD196" s="1"/>
      <c r="AE196" s="221"/>
    </row>
    <row r="197" spans="1:31" x14ac:dyDescent="0.25">
      <c r="A197" s="108">
        <v>186</v>
      </c>
      <c r="B197" s="1"/>
      <c r="C197" s="1"/>
      <c r="D197" s="1"/>
      <c r="E197" s="1"/>
      <c r="F197" s="39"/>
      <c r="G197" s="1"/>
      <c r="H197" s="1"/>
      <c r="I197" s="1"/>
      <c r="J197" s="1"/>
      <c r="K197" s="43"/>
      <c r="L197" s="1"/>
      <c r="M197" s="1"/>
      <c r="N197" s="1"/>
      <c r="O197" s="1"/>
      <c r="P197" s="46"/>
      <c r="Q197" s="1"/>
      <c r="R197" s="1"/>
      <c r="S197" s="1"/>
      <c r="T197" s="1"/>
      <c r="U197" s="49"/>
      <c r="V197" s="1"/>
      <c r="W197" s="1"/>
      <c r="X197" s="1"/>
      <c r="Y197" s="1"/>
      <c r="Z197" s="52"/>
      <c r="AA197" s="1"/>
      <c r="AB197" s="1"/>
      <c r="AC197" s="1"/>
      <c r="AD197" s="1"/>
      <c r="AE197" s="221"/>
    </row>
    <row r="198" spans="1:31" x14ac:dyDescent="0.25">
      <c r="A198" s="108">
        <v>187</v>
      </c>
      <c r="B198" s="1"/>
      <c r="C198" s="1"/>
      <c r="D198" s="1"/>
      <c r="E198" s="1"/>
      <c r="F198" s="39"/>
      <c r="G198" s="1"/>
      <c r="H198" s="1"/>
      <c r="I198" s="1"/>
      <c r="J198" s="1"/>
      <c r="K198" s="43"/>
      <c r="L198" s="1"/>
      <c r="M198" s="1"/>
      <c r="N198" s="1"/>
      <c r="O198" s="1"/>
      <c r="P198" s="46"/>
      <c r="Q198" s="1"/>
      <c r="R198" s="1"/>
      <c r="S198" s="1"/>
      <c r="T198" s="1"/>
      <c r="U198" s="49"/>
      <c r="V198" s="1"/>
      <c r="W198" s="1"/>
      <c r="X198" s="1"/>
      <c r="Y198" s="1"/>
      <c r="Z198" s="52"/>
      <c r="AA198" s="1"/>
      <c r="AB198" s="1"/>
      <c r="AC198" s="1"/>
      <c r="AD198" s="1"/>
      <c r="AE198" s="221"/>
    </row>
    <row r="199" spans="1:31" x14ac:dyDescent="0.25">
      <c r="A199" s="108">
        <v>188</v>
      </c>
      <c r="B199" s="1"/>
      <c r="C199" s="1"/>
      <c r="D199" s="1"/>
      <c r="E199" s="1"/>
      <c r="F199" s="39"/>
      <c r="G199" s="1"/>
      <c r="H199" s="1"/>
      <c r="I199" s="1"/>
      <c r="J199" s="1"/>
      <c r="K199" s="43"/>
      <c r="L199" s="1"/>
      <c r="M199" s="1"/>
      <c r="N199" s="1"/>
      <c r="O199" s="1"/>
      <c r="P199" s="46"/>
      <c r="Q199" s="1"/>
      <c r="R199" s="1"/>
      <c r="S199" s="1"/>
      <c r="T199" s="1"/>
      <c r="U199" s="49"/>
      <c r="V199" s="1"/>
      <c r="W199" s="1"/>
      <c r="X199" s="1"/>
      <c r="Y199" s="1"/>
      <c r="Z199" s="52"/>
      <c r="AA199" s="1"/>
      <c r="AB199" s="1"/>
      <c r="AC199" s="1"/>
      <c r="AD199" s="1"/>
      <c r="AE199" s="221"/>
    </row>
    <row r="200" spans="1:31" x14ac:dyDescent="0.25">
      <c r="A200" s="108">
        <v>189</v>
      </c>
      <c r="B200" s="1"/>
      <c r="C200" s="1"/>
      <c r="D200" s="1"/>
      <c r="E200" s="1"/>
      <c r="F200" s="39"/>
      <c r="G200" s="1"/>
      <c r="H200" s="1"/>
      <c r="I200" s="1"/>
      <c r="J200" s="1"/>
      <c r="K200" s="43"/>
      <c r="L200" s="1"/>
      <c r="M200" s="1"/>
      <c r="N200" s="1"/>
      <c r="O200" s="1"/>
      <c r="P200" s="46"/>
      <c r="Q200" s="1"/>
      <c r="R200" s="1"/>
      <c r="S200" s="1"/>
      <c r="T200" s="1"/>
      <c r="U200" s="49"/>
      <c r="V200" s="1"/>
      <c r="W200" s="1"/>
      <c r="X200" s="1"/>
      <c r="Y200" s="1"/>
      <c r="Z200" s="52"/>
      <c r="AA200" s="1"/>
      <c r="AB200" s="1"/>
      <c r="AC200" s="1"/>
      <c r="AD200" s="1"/>
      <c r="AE200" s="221"/>
    </row>
    <row r="201" spans="1:31" x14ac:dyDescent="0.25">
      <c r="A201" s="108">
        <v>190</v>
      </c>
      <c r="B201" s="1"/>
      <c r="C201" s="1"/>
      <c r="D201" s="1"/>
      <c r="E201" s="1"/>
      <c r="F201" s="39"/>
      <c r="G201" s="1"/>
      <c r="H201" s="1"/>
      <c r="I201" s="1"/>
      <c r="J201" s="1"/>
      <c r="K201" s="43"/>
      <c r="L201" s="1"/>
      <c r="M201" s="1"/>
      <c r="N201" s="1"/>
      <c r="O201" s="1"/>
      <c r="P201" s="46"/>
      <c r="Q201" s="1"/>
      <c r="R201" s="1"/>
      <c r="S201" s="1"/>
      <c r="T201" s="1"/>
      <c r="U201" s="49"/>
      <c r="V201" s="1"/>
      <c r="W201" s="1"/>
      <c r="X201" s="1"/>
      <c r="Y201" s="1"/>
      <c r="Z201" s="52"/>
      <c r="AA201" s="1"/>
      <c r="AB201" s="1"/>
      <c r="AC201" s="1"/>
      <c r="AD201" s="1"/>
      <c r="AE201" s="221"/>
    </row>
    <row r="202" spans="1:31" x14ac:dyDescent="0.25">
      <c r="A202" s="108">
        <v>191</v>
      </c>
      <c r="B202" s="1"/>
      <c r="C202" s="1"/>
      <c r="D202" s="1"/>
      <c r="E202" s="1"/>
      <c r="F202" s="39"/>
      <c r="G202" s="1"/>
      <c r="H202" s="1"/>
      <c r="I202" s="1"/>
      <c r="J202" s="1"/>
      <c r="K202" s="43"/>
      <c r="L202" s="1"/>
      <c r="M202" s="1"/>
      <c r="N202" s="1"/>
      <c r="O202" s="1"/>
      <c r="P202" s="46"/>
      <c r="Q202" s="1"/>
      <c r="R202" s="1"/>
      <c r="S202" s="1"/>
      <c r="T202" s="1"/>
      <c r="U202" s="49"/>
      <c r="V202" s="1"/>
      <c r="W202" s="1"/>
      <c r="X202" s="1"/>
      <c r="Y202" s="1"/>
      <c r="Z202" s="52"/>
      <c r="AA202" s="1"/>
      <c r="AB202" s="1"/>
      <c r="AC202" s="1"/>
      <c r="AD202" s="1"/>
      <c r="AE202" s="221"/>
    </row>
    <row r="203" spans="1:31" x14ac:dyDescent="0.25">
      <c r="A203" s="108">
        <v>192</v>
      </c>
      <c r="B203" s="1"/>
      <c r="C203" s="1"/>
      <c r="D203" s="1"/>
      <c r="E203" s="1"/>
      <c r="F203" s="39"/>
      <c r="G203" s="1"/>
      <c r="H203" s="1"/>
      <c r="I203" s="1"/>
      <c r="J203" s="1"/>
      <c r="K203" s="43"/>
      <c r="L203" s="1"/>
      <c r="M203" s="1"/>
      <c r="N203" s="1"/>
      <c r="O203" s="1"/>
      <c r="P203" s="46"/>
      <c r="Q203" s="1"/>
      <c r="R203" s="1"/>
      <c r="S203" s="1"/>
      <c r="T203" s="1"/>
      <c r="U203" s="49"/>
      <c r="V203" s="1"/>
      <c r="W203" s="1"/>
      <c r="X203" s="1"/>
      <c r="Y203" s="1"/>
      <c r="Z203" s="52"/>
      <c r="AA203" s="1"/>
      <c r="AB203" s="1"/>
      <c r="AC203" s="1"/>
      <c r="AD203" s="1"/>
      <c r="AE203" s="221"/>
    </row>
    <row r="204" spans="1:31" x14ac:dyDescent="0.25">
      <c r="A204" s="108">
        <v>193</v>
      </c>
      <c r="B204" s="1"/>
      <c r="C204" s="1"/>
      <c r="D204" s="1"/>
      <c r="E204" s="1"/>
      <c r="F204" s="39"/>
      <c r="G204" s="1"/>
      <c r="H204" s="1"/>
      <c r="I204" s="1"/>
      <c r="J204" s="1"/>
      <c r="K204" s="43"/>
      <c r="L204" s="1"/>
      <c r="M204" s="1"/>
      <c r="N204" s="1"/>
      <c r="O204" s="1"/>
      <c r="P204" s="46"/>
      <c r="Q204" s="1"/>
      <c r="R204" s="1"/>
      <c r="S204" s="1"/>
      <c r="T204" s="1"/>
      <c r="U204" s="49"/>
      <c r="V204" s="1"/>
      <c r="W204" s="1"/>
      <c r="X204" s="1"/>
      <c r="Y204" s="1"/>
      <c r="Z204" s="52"/>
      <c r="AA204" s="1"/>
      <c r="AB204" s="1"/>
      <c r="AC204" s="1"/>
      <c r="AD204" s="1"/>
      <c r="AE204" s="221"/>
    </row>
    <row r="205" spans="1:31" x14ac:dyDescent="0.25">
      <c r="A205" s="108">
        <v>194</v>
      </c>
      <c r="B205" s="1"/>
      <c r="C205" s="1"/>
      <c r="D205" s="1"/>
      <c r="E205" s="1"/>
      <c r="F205" s="39"/>
      <c r="G205" s="1"/>
      <c r="H205" s="1"/>
      <c r="I205" s="1"/>
      <c r="J205" s="1"/>
      <c r="K205" s="43"/>
      <c r="L205" s="1"/>
      <c r="M205" s="1"/>
      <c r="N205" s="1"/>
      <c r="O205" s="1"/>
      <c r="P205" s="46"/>
      <c r="Q205" s="1"/>
      <c r="R205" s="1"/>
      <c r="S205" s="1"/>
      <c r="T205" s="1"/>
      <c r="U205" s="49"/>
      <c r="V205" s="1"/>
      <c r="W205" s="1"/>
      <c r="X205" s="1"/>
      <c r="Y205" s="1"/>
      <c r="Z205" s="52"/>
      <c r="AA205" s="1"/>
      <c r="AB205" s="1"/>
      <c r="AC205" s="1"/>
      <c r="AD205" s="1"/>
      <c r="AE205" s="221"/>
    </row>
    <row r="206" spans="1:31" x14ac:dyDescent="0.25">
      <c r="A206" s="108">
        <v>195</v>
      </c>
      <c r="B206" s="1"/>
      <c r="C206" s="1"/>
      <c r="D206" s="1"/>
      <c r="E206" s="1"/>
      <c r="F206" s="39"/>
      <c r="G206" s="1"/>
      <c r="H206" s="1"/>
      <c r="I206" s="1"/>
      <c r="J206" s="1"/>
      <c r="K206" s="43"/>
      <c r="L206" s="1"/>
      <c r="M206" s="1"/>
      <c r="N206" s="1"/>
      <c r="O206" s="1"/>
      <c r="P206" s="46"/>
      <c r="Q206" s="1"/>
      <c r="R206" s="1"/>
      <c r="S206" s="1"/>
      <c r="T206" s="1"/>
      <c r="U206" s="49"/>
      <c r="V206" s="1"/>
      <c r="W206" s="1"/>
      <c r="X206" s="1"/>
      <c r="Y206" s="1"/>
      <c r="Z206" s="52"/>
      <c r="AA206" s="1"/>
      <c r="AB206" s="1"/>
      <c r="AC206" s="1"/>
      <c r="AD206" s="1"/>
      <c r="AE206" s="221"/>
    </row>
    <row r="207" spans="1:31" x14ac:dyDescent="0.25">
      <c r="A207" s="108">
        <v>196</v>
      </c>
      <c r="B207" s="1"/>
      <c r="C207" s="1"/>
      <c r="D207" s="1"/>
      <c r="E207" s="1"/>
      <c r="F207" s="39"/>
      <c r="G207" s="1"/>
      <c r="H207" s="1"/>
      <c r="I207" s="1"/>
      <c r="J207" s="1"/>
      <c r="K207" s="43"/>
      <c r="L207" s="1"/>
      <c r="M207" s="1"/>
      <c r="N207" s="1"/>
      <c r="O207" s="1"/>
      <c r="P207" s="46"/>
      <c r="Q207" s="1"/>
      <c r="R207" s="1"/>
      <c r="S207" s="1"/>
      <c r="T207" s="1"/>
      <c r="U207" s="49"/>
      <c r="V207" s="1"/>
      <c r="W207" s="1"/>
      <c r="X207" s="1"/>
      <c r="Y207" s="1"/>
      <c r="Z207" s="52"/>
      <c r="AA207" s="1"/>
      <c r="AB207" s="1"/>
      <c r="AC207" s="1"/>
      <c r="AD207" s="1"/>
      <c r="AE207" s="221"/>
    </row>
    <row r="208" spans="1:31" x14ac:dyDescent="0.25">
      <c r="A208" s="108">
        <v>197</v>
      </c>
      <c r="B208" s="1"/>
      <c r="C208" s="1"/>
      <c r="D208" s="1"/>
      <c r="E208" s="1"/>
      <c r="F208" s="39"/>
      <c r="G208" s="1"/>
      <c r="H208" s="1"/>
      <c r="I208" s="1"/>
      <c r="J208" s="1"/>
      <c r="K208" s="43"/>
      <c r="L208" s="1"/>
      <c r="M208" s="1"/>
      <c r="N208" s="1"/>
      <c r="O208" s="1"/>
      <c r="P208" s="46"/>
      <c r="Q208" s="1"/>
      <c r="R208" s="1"/>
      <c r="S208" s="1"/>
      <c r="T208" s="1"/>
      <c r="U208" s="49"/>
      <c r="V208" s="1"/>
      <c r="W208" s="1"/>
      <c r="X208" s="1"/>
      <c r="Y208" s="1"/>
      <c r="Z208" s="52"/>
      <c r="AA208" s="1"/>
      <c r="AB208" s="1"/>
      <c r="AC208" s="1"/>
      <c r="AD208" s="1"/>
      <c r="AE208" s="221"/>
    </row>
    <row r="209" spans="1:31" x14ac:dyDescent="0.25">
      <c r="A209" s="108">
        <v>198</v>
      </c>
      <c r="B209" s="1"/>
      <c r="C209" s="1"/>
      <c r="D209" s="1"/>
      <c r="E209" s="1"/>
      <c r="F209" s="39"/>
      <c r="G209" s="1"/>
      <c r="H209" s="1"/>
      <c r="I209" s="1"/>
      <c r="J209" s="1"/>
      <c r="K209" s="43"/>
      <c r="L209" s="1"/>
      <c r="M209" s="1"/>
      <c r="N209" s="1"/>
      <c r="O209" s="1"/>
      <c r="P209" s="46"/>
      <c r="Q209" s="1"/>
      <c r="R209" s="1"/>
      <c r="S209" s="1"/>
      <c r="T209" s="1"/>
      <c r="U209" s="49"/>
      <c r="V209" s="1"/>
      <c r="W209" s="1"/>
      <c r="X209" s="1"/>
      <c r="Y209" s="1"/>
      <c r="Z209" s="52"/>
      <c r="AA209" s="1"/>
      <c r="AB209" s="1"/>
      <c r="AC209" s="1"/>
      <c r="AD209" s="1"/>
      <c r="AE209" s="221"/>
    </row>
    <row r="210" spans="1:31" x14ac:dyDescent="0.25">
      <c r="A210" s="108">
        <v>199</v>
      </c>
      <c r="B210" s="1"/>
      <c r="C210" s="1"/>
      <c r="D210" s="1"/>
      <c r="E210" s="1"/>
      <c r="F210" s="39"/>
      <c r="G210" s="1"/>
      <c r="H210" s="1"/>
      <c r="I210" s="1"/>
      <c r="J210" s="1"/>
      <c r="K210" s="43"/>
      <c r="L210" s="1"/>
      <c r="M210" s="1"/>
      <c r="N210" s="1"/>
      <c r="O210" s="1"/>
      <c r="P210" s="46"/>
      <c r="Q210" s="1"/>
      <c r="R210" s="1"/>
      <c r="S210" s="1"/>
      <c r="T210" s="1"/>
      <c r="U210" s="49"/>
      <c r="V210" s="1"/>
      <c r="W210" s="1"/>
      <c r="X210" s="1"/>
      <c r="Y210" s="1"/>
      <c r="Z210" s="52"/>
      <c r="AA210" s="1"/>
      <c r="AB210" s="1"/>
      <c r="AC210" s="1"/>
      <c r="AD210" s="1"/>
      <c r="AE210" s="221"/>
    </row>
    <row r="211" spans="1:31" x14ac:dyDescent="0.25">
      <c r="A211" s="108">
        <v>200</v>
      </c>
      <c r="B211" s="1"/>
      <c r="C211" s="1"/>
      <c r="D211" s="1"/>
      <c r="E211" s="1"/>
      <c r="F211" s="39"/>
      <c r="G211" s="1"/>
      <c r="H211" s="1"/>
      <c r="I211" s="1"/>
      <c r="J211" s="1"/>
      <c r="K211" s="43"/>
      <c r="L211" s="1"/>
      <c r="M211" s="1"/>
      <c r="N211" s="1"/>
      <c r="O211" s="1"/>
      <c r="P211" s="46"/>
      <c r="Q211" s="1"/>
      <c r="R211" s="1"/>
      <c r="S211" s="1"/>
      <c r="T211" s="1"/>
      <c r="U211" s="49"/>
      <c r="V211" s="1"/>
      <c r="W211" s="1"/>
      <c r="X211" s="1"/>
      <c r="Y211" s="1"/>
      <c r="Z211" s="52"/>
      <c r="AA211" s="1"/>
      <c r="AB211" s="1"/>
      <c r="AC211" s="1"/>
      <c r="AD211" s="1"/>
      <c r="AE211" s="221"/>
    </row>
    <row r="212" spans="1:31" x14ac:dyDescent="0.25">
      <c r="A212" s="108">
        <v>201</v>
      </c>
      <c r="B212" s="1"/>
      <c r="C212" s="1"/>
      <c r="D212" s="1"/>
      <c r="E212" s="1"/>
      <c r="F212" s="39"/>
      <c r="G212" s="1"/>
      <c r="H212" s="1"/>
      <c r="I212" s="1"/>
      <c r="J212" s="1"/>
      <c r="K212" s="43"/>
      <c r="L212" s="1"/>
      <c r="M212" s="1"/>
      <c r="N212" s="1"/>
      <c r="O212" s="1"/>
      <c r="P212" s="46"/>
      <c r="Q212" s="1"/>
      <c r="R212" s="1"/>
      <c r="S212" s="1"/>
      <c r="T212" s="1"/>
      <c r="U212" s="49"/>
      <c r="V212" s="1"/>
      <c r="W212" s="1"/>
      <c r="X212" s="1"/>
      <c r="Y212" s="1"/>
      <c r="Z212" s="52"/>
      <c r="AA212" s="1"/>
      <c r="AB212" s="1"/>
      <c r="AC212" s="1"/>
      <c r="AD212" s="1"/>
      <c r="AE212" s="221"/>
    </row>
    <row r="213" spans="1:31" x14ac:dyDescent="0.25">
      <c r="A213" s="108">
        <v>202</v>
      </c>
      <c r="B213" s="1"/>
      <c r="C213" s="1"/>
      <c r="D213" s="1"/>
      <c r="E213" s="1"/>
      <c r="F213" s="39"/>
      <c r="G213" s="1"/>
      <c r="H213" s="1"/>
      <c r="I213" s="1"/>
      <c r="J213" s="1"/>
      <c r="K213" s="43"/>
      <c r="L213" s="1"/>
      <c r="M213" s="1"/>
      <c r="N213" s="1"/>
      <c r="O213" s="1"/>
      <c r="P213" s="46"/>
      <c r="Q213" s="1"/>
      <c r="R213" s="1"/>
      <c r="S213" s="1"/>
      <c r="T213" s="1"/>
      <c r="U213" s="49"/>
      <c r="V213" s="1"/>
      <c r="W213" s="1"/>
      <c r="X213" s="1"/>
      <c r="Y213" s="1"/>
      <c r="Z213" s="52"/>
      <c r="AA213" s="1"/>
      <c r="AB213" s="1"/>
      <c r="AC213" s="1"/>
      <c r="AD213" s="1"/>
      <c r="AE213" s="221"/>
    </row>
    <row r="214" spans="1:31" x14ac:dyDescent="0.25">
      <c r="A214" s="108">
        <v>203</v>
      </c>
      <c r="B214" s="1"/>
      <c r="C214" s="1"/>
      <c r="D214" s="1"/>
      <c r="E214" s="1"/>
      <c r="F214" s="39"/>
      <c r="G214" s="1"/>
      <c r="H214" s="1"/>
      <c r="I214" s="1"/>
      <c r="J214" s="1"/>
      <c r="K214" s="43"/>
      <c r="L214" s="1"/>
      <c r="M214" s="1"/>
      <c r="N214" s="1"/>
      <c r="O214" s="1"/>
      <c r="P214" s="46"/>
      <c r="Q214" s="1"/>
      <c r="R214" s="1"/>
      <c r="S214" s="1"/>
      <c r="T214" s="1"/>
      <c r="U214" s="49"/>
      <c r="V214" s="1"/>
      <c r="W214" s="1"/>
      <c r="X214" s="1"/>
      <c r="Y214" s="1"/>
      <c r="Z214" s="52"/>
      <c r="AA214" s="1"/>
      <c r="AB214" s="1"/>
      <c r="AC214" s="1"/>
      <c r="AD214" s="1"/>
      <c r="AE214" s="221"/>
    </row>
    <row r="215" spans="1:31" x14ac:dyDescent="0.25">
      <c r="A215" s="108">
        <v>204</v>
      </c>
      <c r="B215" s="1"/>
      <c r="C215" s="1"/>
      <c r="D215" s="1"/>
      <c r="E215" s="1"/>
      <c r="F215" s="39"/>
      <c r="G215" s="1"/>
      <c r="H215" s="1"/>
      <c r="I215" s="1"/>
      <c r="J215" s="1"/>
      <c r="K215" s="43"/>
      <c r="L215" s="1"/>
      <c r="M215" s="1"/>
      <c r="N215" s="1"/>
      <c r="O215" s="1"/>
      <c r="P215" s="46"/>
      <c r="Q215" s="1"/>
      <c r="R215" s="1"/>
      <c r="S215" s="1"/>
      <c r="T215" s="1"/>
      <c r="U215" s="49"/>
      <c r="V215" s="1"/>
      <c r="W215" s="1"/>
      <c r="X215" s="1"/>
      <c r="Y215" s="1"/>
      <c r="Z215" s="52"/>
      <c r="AA215" s="1"/>
      <c r="AB215" s="1"/>
      <c r="AC215" s="1"/>
      <c r="AD215" s="1"/>
      <c r="AE215" s="221"/>
    </row>
    <row r="216" spans="1:31" x14ac:dyDescent="0.25">
      <c r="A216" s="108">
        <v>205</v>
      </c>
      <c r="B216" s="1"/>
      <c r="C216" s="1"/>
      <c r="D216" s="1"/>
      <c r="E216" s="1"/>
      <c r="F216" s="39"/>
      <c r="G216" s="1"/>
      <c r="H216" s="1"/>
      <c r="I216" s="1"/>
      <c r="J216" s="1"/>
      <c r="K216" s="43"/>
      <c r="L216" s="1"/>
      <c r="M216" s="1"/>
      <c r="N216" s="1"/>
      <c r="O216" s="1"/>
      <c r="P216" s="46"/>
      <c r="Q216" s="1"/>
      <c r="R216" s="1"/>
      <c r="S216" s="1"/>
      <c r="T216" s="1"/>
      <c r="U216" s="49"/>
      <c r="V216" s="1"/>
      <c r="W216" s="1"/>
      <c r="X216" s="1"/>
      <c r="Y216" s="1"/>
      <c r="Z216" s="52"/>
      <c r="AA216" s="1"/>
      <c r="AB216" s="1"/>
      <c r="AC216" s="1"/>
      <c r="AD216" s="1"/>
      <c r="AE216" s="221"/>
    </row>
    <row r="217" spans="1:31" x14ac:dyDescent="0.25">
      <c r="A217" s="108">
        <v>206</v>
      </c>
      <c r="B217" s="1"/>
      <c r="C217" s="1"/>
      <c r="D217" s="1"/>
      <c r="E217" s="1"/>
      <c r="F217" s="39"/>
      <c r="G217" s="1"/>
      <c r="H217" s="1"/>
      <c r="I217" s="1"/>
      <c r="J217" s="1"/>
      <c r="K217" s="43"/>
      <c r="L217" s="1"/>
      <c r="M217" s="1"/>
      <c r="N217" s="1"/>
      <c r="O217" s="1"/>
      <c r="P217" s="46"/>
      <c r="Q217" s="1"/>
      <c r="R217" s="1"/>
      <c r="S217" s="1"/>
      <c r="T217" s="1"/>
      <c r="U217" s="49"/>
      <c r="V217" s="1"/>
      <c r="W217" s="1"/>
      <c r="X217" s="1"/>
      <c r="Y217" s="1"/>
      <c r="Z217" s="52"/>
      <c r="AA217" s="1"/>
      <c r="AB217" s="1"/>
      <c r="AC217" s="1"/>
      <c r="AD217" s="1"/>
      <c r="AE217" s="221"/>
    </row>
    <row r="218" spans="1:31" x14ac:dyDescent="0.25">
      <c r="A218" s="108">
        <v>207</v>
      </c>
      <c r="B218" s="1"/>
      <c r="C218" s="1"/>
      <c r="D218" s="1"/>
      <c r="E218" s="1"/>
      <c r="F218" s="39"/>
      <c r="G218" s="1"/>
      <c r="H218" s="1"/>
      <c r="I218" s="1"/>
      <c r="J218" s="1"/>
      <c r="K218" s="43"/>
      <c r="L218" s="1"/>
      <c r="M218" s="1"/>
      <c r="N218" s="1"/>
      <c r="O218" s="1"/>
      <c r="P218" s="46"/>
      <c r="Q218" s="1"/>
      <c r="R218" s="1"/>
      <c r="S218" s="1"/>
      <c r="T218" s="1"/>
      <c r="U218" s="49"/>
      <c r="V218" s="1"/>
      <c r="W218" s="1"/>
      <c r="X218" s="1"/>
      <c r="Y218" s="1"/>
      <c r="Z218" s="52"/>
      <c r="AA218" s="1"/>
      <c r="AB218" s="1"/>
      <c r="AC218" s="1"/>
      <c r="AD218" s="1"/>
      <c r="AE218" s="221"/>
    </row>
    <row r="219" spans="1:31" x14ac:dyDescent="0.25">
      <c r="A219" s="108">
        <v>208</v>
      </c>
      <c r="B219" s="1"/>
      <c r="C219" s="1"/>
      <c r="D219" s="1"/>
      <c r="E219" s="1"/>
      <c r="F219" s="39"/>
      <c r="G219" s="1"/>
      <c r="H219" s="1"/>
      <c r="I219" s="1"/>
      <c r="J219" s="1"/>
      <c r="K219" s="43"/>
      <c r="L219" s="1"/>
      <c r="M219" s="1"/>
      <c r="N219" s="1"/>
      <c r="O219" s="1"/>
      <c r="P219" s="46"/>
      <c r="Q219" s="1"/>
      <c r="R219" s="1"/>
      <c r="S219" s="1"/>
      <c r="T219" s="1"/>
      <c r="U219" s="49"/>
      <c r="V219" s="1"/>
      <c r="W219" s="1"/>
      <c r="X219" s="1"/>
      <c r="Y219" s="1"/>
      <c r="Z219" s="52"/>
      <c r="AA219" s="1"/>
      <c r="AB219" s="1"/>
      <c r="AC219" s="1"/>
      <c r="AD219" s="1"/>
      <c r="AE219" s="221"/>
    </row>
    <row r="220" spans="1:31" x14ac:dyDescent="0.25">
      <c r="A220" s="108">
        <v>209</v>
      </c>
      <c r="B220" s="1"/>
      <c r="C220" s="1"/>
      <c r="D220" s="1"/>
      <c r="E220" s="1"/>
      <c r="F220" s="39"/>
      <c r="G220" s="1"/>
      <c r="H220" s="1"/>
      <c r="I220" s="1"/>
      <c r="J220" s="1"/>
      <c r="K220" s="43"/>
      <c r="L220" s="1"/>
      <c r="M220" s="1"/>
      <c r="N220" s="1"/>
      <c r="O220" s="1"/>
      <c r="P220" s="46"/>
      <c r="Q220" s="1"/>
      <c r="R220" s="1"/>
      <c r="S220" s="1"/>
      <c r="T220" s="1"/>
      <c r="U220" s="49"/>
      <c r="V220" s="1"/>
      <c r="W220" s="1"/>
      <c r="X220" s="1"/>
      <c r="Y220" s="1"/>
      <c r="Z220" s="52"/>
      <c r="AA220" s="1"/>
      <c r="AB220" s="1"/>
      <c r="AC220" s="1"/>
      <c r="AD220" s="1"/>
      <c r="AE220" s="221"/>
    </row>
    <row r="221" spans="1:31" x14ac:dyDescent="0.25">
      <c r="A221" s="108">
        <v>210</v>
      </c>
      <c r="B221" s="1"/>
      <c r="C221" s="1"/>
      <c r="D221" s="1"/>
      <c r="E221" s="1"/>
      <c r="F221" s="39"/>
      <c r="G221" s="1"/>
      <c r="H221" s="1"/>
      <c r="I221" s="1"/>
      <c r="J221" s="1"/>
      <c r="K221" s="43"/>
      <c r="L221" s="1"/>
      <c r="M221" s="1"/>
      <c r="N221" s="1"/>
      <c r="O221" s="1"/>
      <c r="P221" s="46"/>
      <c r="Q221" s="1"/>
      <c r="R221" s="1"/>
      <c r="S221" s="1"/>
      <c r="T221" s="1"/>
      <c r="U221" s="49"/>
      <c r="V221" s="1"/>
      <c r="W221" s="1"/>
      <c r="X221" s="1"/>
      <c r="Y221" s="1"/>
      <c r="Z221" s="52"/>
      <c r="AA221" s="1"/>
      <c r="AB221" s="1"/>
      <c r="AC221" s="1"/>
      <c r="AD221" s="1"/>
      <c r="AE221" s="221"/>
    </row>
    <row r="222" spans="1:31" x14ac:dyDescent="0.25">
      <c r="A222" s="108">
        <v>211</v>
      </c>
      <c r="B222" s="1"/>
      <c r="C222" s="1"/>
      <c r="D222" s="1"/>
      <c r="E222" s="1"/>
      <c r="F222" s="39"/>
      <c r="G222" s="1"/>
      <c r="H222" s="1"/>
      <c r="I222" s="1"/>
      <c r="J222" s="1"/>
      <c r="K222" s="43"/>
      <c r="L222" s="1"/>
      <c r="M222" s="1"/>
      <c r="N222" s="1"/>
      <c r="O222" s="1"/>
      <c r="P222" s="46"/>
      <c r="Q222" s="1"/>
      <c r="R222" s="1"/>
      <c r="S222" s="1"/>
      <c r="T222" s="1"/>
      <c r="U222" s="49"/>
      <c r="V222" s="1"/>
      <c r="W222" s="1"/>
      <c r="X222" s="1"/>
      <c r="Y222" s="1"/>
      <c r="Z222" s="52"/>
      <c r="AA222" s="1"/>
      <c r="AB222" s="1"/>
      <c r="AC222" s="1"/>
      <c r="AD222" s="1"/>
      <c r="AE222" s="221"/>
    </row>
    <row r="223" spans="1:31" x14ac:dyDescent="0.25">
      <c r="A223" s="108">
        <v>212</v>
      </c>
      <c r="B223" s="1"/>
      <c r="C223" s="1"/>
      <c r="D223" s="1"/>
      <c r="E223" s="1"/>
      <c r="F223" s="39"/>
      <c r="G223" s="1"/>
      <c r="H223" s="1"/>
      <c r="I223" s="1"/>
      <c r="J223" s="1"/>
      <c r="K223" s="43"/>
      <c r="L223" s="1"/>
      <c r="M223" s="1"/>
      <c r="N223" s="1"/>
      <c r="O223" s="1"/>
      <c r="P223" s="46"/>
      <c r="Q223" s="1"/>
      <c r="R223" s="1"/>
      <c r="S223" s="1"/>
      <c r="T223" s="1"/>
      <c r="U223" s="49"/>
      <c r="V223" s="1"/>
      <c r="W223" s="1"/>
      <c r="X223" s="1"/>
      <c r="Y223" s="1"/>
      <c r="Z223" s="52"/>
      <c r="AA223" s="1"/>
      <c r="AB223" s="1"/>
      <c r="AC223" s="1"/>
      <c r="AD223" s="1"/>
      <c r="AE223" s="221"/>
    </row>
    <row r="224" spans="1:31" x14ac:dyDescent="0.25">
      <c r="A224" s="108">
        <v>213</v>
      </c>
      <c r="B224" s="1"/>
      <c r="C224" s="1"/>
      <c r="D224" s="1"/>
      <c r="E224" s="1"/>
      <c r="F224" s="39"/>
      <c r="G224" s="1"/>
      <c r="H224" s="1"/>
      <c r="I224" s="1"/>
      <c r="J224" s="1"/>
      <c r="K224" s="43"/>
      <c r="L224" s="1"/>
      <c r="M224" s="1"/>
      <c r="N224" s="1"/>
      <c r="O224" s="1"/>
      <c r="P224" s="46"/>
      <c r="Q224" s="1"/>
      <c r="R224" s="1"/>
      <c r="S224" s="1"/>
      <c r="T224" s="1"/>
      <c r="U224" s="49"/>
      <c r="V224" s="1"/>
      <c r="W224" s="1"/>
      <c r="X224" s="1"/>
      <c r="Y224" s="1"/>
      <c r="Z224" s="52"/>
      <c r="AA224" s="1"/>
      <c r="AB224" s="1"/>
      <c r="AC224" s="1"/>
      <c r="AD224" s="1"/>
      <c r="AE224" s="221"/>
    </row>
    <row r="225" spans="1:31" x14ac:dyDescent="0.25">
      <c r="A225" s="108">
        <v>214</v>
      </c>
      <c r="B225" s="1"/>
      <c r="C225" s="1"/>
      <c r="D225" s="1"/>
      <c r="E225" s="1"/>
      <c r="F225" s="39"/>
      <c r="G225" s="1"/>
      <c r="H225" s="1"/>
      <c r="I225" s="1"/>
      <c r="J225" s="1"/>
      <c r="K225" s="43"/>
      <c r="L225" s="1"/>
      <c r="M225" s="1"/>
      <c r="N225" s="1"/>
      <c r="O225" s="1"/>
      <c r="P225" s="46"/>
      <c r="Q225" s="1"/>
      <c r="R225" s="1"/>
      <c r="S225" s="1"/>
      <c r="T225" s="1"/>
      <c r="U225" s="49"/>
      <c r="V225" s="1"/>
      <c r="W225" s="1"/>
      <c r="X225" s="1"/>
      <c r="Y225" s="1"/>
      <c r="Z225" s="52"/>
      <c r="AA225" s="1"/>
      <c r="AB225" s="1"/>
      <c r="AC225" s="1"/>
      <c r="AD225" s="1"/>
      <c r="AE225" s="221"/>
    </row>
    <row r="226" spans="1:31" x14ac:dyDescent="0.25">
      <c r="A226" s="108">
        <v>215</v>
      </c>
      <c r="B226" s="1"/>
      <c r="C226" s="1"/>
      <c r="D226" s="1"/>
      <c r="E226" s="1"/>
      <c r="F226" s="39"/>
      <c r="G226" s="1"/>
      <c r="H226" s="1"/>
      <c r="I226" s="1"/>
      <c r="J226" s="1"/>
      <c r="K226" s="43"/>
      <c r="L226" s="1"/>
      <c r="M226" s="1"/>
      <c r="N226" s="1"/>
      <c r="O226" s="1"/>
      <c r="P226" s="46"/>
      <c r="Q226" s="1"/>
      <c r="R226" s="1"/>
      <c r="S226" s="1"/>
      <c r="T226" s="1"/>
      <c r="U226" s="49"/>
      <c r="V226" s="1"/>
      <c r="W226" s="1"/>
      <c r="X226" s="1"/>
      <c r="Y226" s="1"/>
      <c r="Z226" s="52"/>
      <c r="AA226" s="1"/>
      <c r="AB226" s="1"/>
      <c r="AC226" s="1"/>
      <c r="AD226" s="1"/>
      <c r="AE226" s="221"/>
    </row>
    <row r="227" spans="1:31" x14ac:dyDescent="0.25">
      <c r="A227" s="108">
        <v>216</v>
      </c>
      <c r="B227" s="1"/>
      <c r="C227" s="1"/>
      <c r="D227" s="1"/>
      <c r="E227" s="1"/>
      <c r="F227" s="39"/>
      <c r="G227" s="1"/>
      <c r="H227" s="1"/>
      <c r="I227" s="1"/>
      <c r="J227" s="1"/>
      <c r="K227" s="43"/>
      <c r="L227" s="1"/>
      <c r="M227" s="1"/>
      <c r="N227" s="1"/>
      <c r="O227" s="1"/>
      <c r="P227" s="46"/>
      <c r="Q227" s="1"/>
      <c r="R227" s="1"/>
      <c r="S227" s="1"/>
      <c r="T227" s="1"/>
      <c r="U227" s="49"/>
      <c r="V227" s="1"/>
      <c r="W227" s="1"/>
      <c r="X227" s="1"/>
      <c r="Y227" s="1"/>
      <c r="Z227" s="52"/>
      <c r="AA227" s="1"/>
      <c r="AB227" s="1"/>
      <c r="AC227" s="1"/>
      <c r="AD227" s="1"/>
      <c r="AE227" s="221"/>
    </row>
    <row r="228" spans="1:31" x14ac:dyDescent="0.25">
      <c r="A228" s="108">
        <v>217</v>
      </c>
      <c r="B228" s="1"/>
      <c r="C228" s="1"/>
      <c r="D228" s="1"/>
      <c r="E228" s="1"/>
      <c r="F228" s="39"/>
      <c r="G228" s="1"/>
      <c r="H228" s="1"/>
      <c r="I228" s="1"/>
      <c r="J228" s="1"/>
      <c r="K228" s="43"/>
      <c r="L228" s="1"/>
      <c r="M228" s="1"/>
      <c r="N228" s="1"/>
      <c r="O228" s="1"/>
      <c r="P228" s="46"/>
      <c r="Q228" s="1"/>
      <c r="R228" s="1"/>
      <c r="S228" s="1"/>
      <c r="T228" s="1"/>
      <c r="U228" s="49"/>
      <c r="V228" s="1"/>
      <c r="W228" s="1"/>
      <c r="X228" s="1"/>
      <c r="Y228" s="1"/>
      <c r="Z228" s="52"/>
      <c r="AA228" s="1"/>
      <c r="AB228" s="1"/>
      <c r="AC228" s="1"/>
      <c r="AD228" s="1"/>
      <c r="AE228" s="221"/>
    </row>
    <row r="229" spans="1:31" x14ac:dyDescent="0.25">
      <c r="A229" s="108">
        <v>218</v>
      </c>
      <c r="B229" s="1"/>
      <c r="C229" s="1"/>
      <c r="D229" s="1"/>
      <c r="E229" s="1"/>
      <c r="F229" s="39"/>
      <c r="G229" s="1"/>
      <c r="H229" s="1"/>
      <c r="I229" s="1"/>
      <c r="J229" s="1"/>
      <c r="K229" s="43"/>
      <c r="L229" s="1"/>
      <c r="M229" s="1"/>
      <c r="N229" s="1"/>
      <c r="O229" s="1"/>
      <c r="P229" s="46"/>
      <c r="Q229" s="1"/>
      <c r="R229" s="1"/>
      <c r="S229" s="1"/>
      <c r="T229" s="1"/>
      <c r="U229" s="49"/>
      <c r="V229" s="1"/>
      <c r="W229" s="1"/>
      <c r="X229" s="1"/>
      <c r="Y229" s="1"/>
      <c r="Z229" s="52"/>
      <c r="AA229" s="1"/>
      <c r="AB229" s="1"/>
      <c r="AC229" s="1"/>
      <c r="AD229" s="1"/>
      <c r="AE229" s="221"/>
    </row>
    <row r="230" spans="1:31" x14ac:dyDescent="0.25">
      <c r="A230" s="108">
        <v>219</v>
      </c>
      <c r="B230" s="1"/>
      <c r="C230" s="1"/>
      <c r="D230" s="1"/>
      <c r="E230" s="1"/>
      <c r="F230" s="39"/>
      <c r="G230" s="1"/>
      <c r="H230" s="1"/>
      <c r="I230" s="1"/>
      <c r="J230" s="1"/>
      <c r="K230" s="43"/>
      <c r="L230" s="1"/>
      <c r="M230" s="1"/>
      <c r="N230" s="1"/>
      <c r="O230" s="1"/>
      <c r="P230" s="46"/>
      <c r="Q230" s="1"/>
      <c r="R230" s="1"/>
      <c r="S230" s="1"/>
      <c r="T230" s="1"/>
      <c r="U230" s="49"/>
      <c r="V230" s="1"/>
      <c r="W230" s="1"/>
      <c r="X230" s="1"/>
      <c r="Y230" s="1"/>
      <c r="Z230" s="52"/>
      <c r="AA230" s="1"/>
      <c r="AB230" s="1"/>
      <c r="AC230" s="1"/>
      <c r="AD230" s="1"/>
      <c r="AE230" s="221"/>
    </row>
    <row r="231" spans="1:31" x14ac:dyDescent="0.25">
      <c r="A231" s="108">
        <v>220</v>
      </c>
      <c r="B231" s="1"/>
      <c r="C231" s="1"/>
      <c r="D231" s="1"/>
      <c r="E231" s="1"/>
      <c r="F231" s="39"/>
      <c r="G231" s="1"/>
      <c r="H231" s="1"/>
      <c r="I231" s="1"/>
      <c r="J231" s="1"/>
      <c r="K231" s="43"/>
      <c r="L231" s="1"/>
      <c r="M231" s="1"/>
      <c r="N231" s="1"/>
      <c r="O231" s="1"/>
      <c r="P231" s="46"/>
      <c r="Q231" s="1"/>
      <c r="R231" s="1"/>
      <c r="S231" s="1"/>
      <c r="T231" s="1"/>
      <c r="U231" s="49"/>
      <c r="V231" s="1"/>
      <c r="W231" s="1"/>
      <c r="X231" s="1"/>
      <c r="Y231" s="1"/>
      <c r="Z231" s="52"/>
      <c r="AA231" s="1"/>
      <c r="AB231" s="1"/>
      <c r="AC231" s="1"/>
      <c r="AD231" s="1"/>
      <c r="AE231" s="221"/>
    </row>
    <row r="232" spans="1:31" x14ac:dyDescent="0.25">
      <c r="A232" s="108">
        <v>221</v>
      </c>
      <c r="B232" s="1"/>
      <c r="C232" s="1"/>
      <c r="D232" s="1"/>
      <c r="E232" s="1"/>
      <c r="F232" s="39"/>
      <c r="G232" s="1"/>
      <c r="H232" s="1"/>
      <c r="I232" s="1"/>
      <c r="J232" s="1"/>
      <c r="K232" s="43"/>
      <c r="L232" s="1"/>
      <c r="M232" s="1"/>
      <c r="N232" s="1"/>
      <c r="O232" s="1"/>
      <c r="P232" s="46"/>
      <c r="Q232" s="1"/>
      <c r="R232" s="1"/>
      <c r="S232" s="1"/>
      <c r="T232" s="1"/>
      <c r="U232" s="49"/>
      <c r="V232" s="1"/>
      <c r="W232" s="1"/>
      <c r="X232" s="1"/>
      <c r="Y232" s="1"/>
      <c r="Z232" s="52"/>
      <c r="AA232" s="1"/>
      <c r="AB232" s="1"/>
      <c r="AC232" s="1"/>
      <c r="AD232" s="1"/>
      <c r="AE232" s="221"/>
    </row>
    <row r="233" spans="1:31" x14ac:dyDescent="0.25">
      <c r="A233" s="108">
        <v>222</v>
      </c>
      <c r="B233" s="1"/>
      <c r="C233" s="1"/>
      <c r="D233" s="1"/>
      <c r="E233" s="1"/>
      <c r="F233" s="39"/>
      <c r="G233" s="1"/>
      <c r="H233" s="1"/>
      <c r="I233" s="1"/>
      <c r="J233" s="1"/>
      <c r="K233" s="43"/>
      <c r="L233" s="1"/>
      <c r="M233" s="1"/>
      <c r="N233" s="1"/>
      <c r="O233" s="1"/>
      <c r="P233" s="46"/>
      <c r="Q233" s="1"/>
      <c r="R233" s="1"/>
      <c r="S233" s="1"/>
      <c r="T233" s="1"/>
      <c r="U233" s="49"/>
      <c r="V233" s="1"/>
      <c r="W233" s="1"/>
      <c r="X233" s="1"/>
      <c r="Y233" s="1"/>
      <c r="Z233" s="52"/>
      <c r="AA233" s="1"/>
      <c r="AB233" s="1"/>
      <c r="AC233" s="1"/>
      <c r="AD233" s="1"/>
      <c r="AE233" s="221"/>
    </row>
    <row r="234" spans="1:31" x14ac:dyDescent="0.25">
      <c r="A234" s="108">
        <v>223</v>
      </c>
      <c r="B234" s="1"/>
      <c r="C234" s="1"/>
      <c r="D234" s="1"/>
      <c r="E234" s="1"/>
      <c r="F234" s="39"/>
      <c r="G234" s="1"/>
      <c r="H234" s="1"/>
      <c r="I234" s="1"/>
      <c r="J234" s="1"/>
      <c r="K234" s="43"/>
      <c r="L234" s="1"/>
      <c r="M234" s="1"/>
      <c r="N234" s="1"/>
      <c r="O234" s="1"/>
      <c r="P234" s="46"/>
      <c r="Q234" s="1"/>
      <c r="R234" s="1"/>
      <c r="S234" s="1"/>
      <c r="T234" s="1"/>
      <c r="U234" s="49"/>
      <c r="V234" s="1"/>
      <c r="W234" s="1"/>
      <c r="X234" s="1"/>
      <c r="Y234" s="1"/>
      <c r="Z234" s="52"/>
      <c r="AA234" s="1"/>
      <c r="AB234" s="1"/>
      <c r="AC234" s="1"/>
      <c r="AD234" s="1"/>
      <c r="AE234" s="221"/>
    </row>
    <row r="235" spans="1:31" x14ac:dyDescent="0.25">
      <c r="A235" s="108">
        <v>224</v>
      </c>
      <c r="B235" s="1"/>
      <c r="C235" s="1"/>
      <c r="D235" s="1"/>
      <c r="E235" s="1"/>
      <c r="F235" s="39"/>
      <c r="G235" s="1"/>
      <c r="H235" s="1"/>
      <c r="I235" s="1"/>
      <c r="J235" s="1"/>
      <c r="K235" s="43"/>
      <c r="L235" s="1"/>
      <c r="M235" s="1"/>
      <c r="N235" s="1"/>
      <c r="O235" s="1"/>
      <c r="P235" s="46"/>
      <c r="Q235" s="1"/>
      <c r="R235" s="1"/>
      <c r="S235" s="1"/>
      <c r="T235" s="1"/>
      <c r="U235" s="49"/>
      <c r="V235" s="1"/>
      <c r="W235" s="1"/>
      <c r="X235" s="1"/>
      <c r="Y235" s="1"/>
      <c r="Z235" s="52"/>
      <c r="AA235" s="1"/>
      <c r="AB235" s="1"/>
      <c r="AC235" s="1"/>
      <c r="AD235" s="1"/>
      <c r="AE235" s="221"/>
    </row>
    <row r="236" spans="1:31" x14ac:dyDescent="0.25">
      <c r="A236" s="108">
        <v>225</v>
      </c>
      <c r="B236" s="1"/>
      <c r="C236" s="1"/>
      <c r="D236" s="1"/>
      <c r="E236" s="1"/>
      <c r="F236" s="39"/>
      <c r="G236" s="1"/>
      <c r="H236" s="1"/>
      <c r="I236" s="1"/>
      <c r="J236" s="1"/>
      <c r="K236" s="43"/>
      <c r="L236" s="1"/>
      <c r="M236" s="1"/>
      <c r="N236" s="1"/>
      <c r="O236" s="1"/>
      <c r="P236" s="46"/>
      <c r="Q236" s="1"/>
      <c r="R236" s="1"/>
      <c r="S236" s="1"/>
      <c r="T236" s="1"/>
      <c r="U236" s="49"/>
      <c r="V236" s="1"/>
      <c r="W236" s="1"/>
      <c r="X236" s="1"/>
      <c r="Y236" s="1"/>
      <c r="Z236" s="52"/>
      <c r="AA236" s="1"/>
      <c r="AB236" s="1"/>
      <c r="AC236" s="1"/>
      <c r="AD236" s="1"/>
      <c r="AE236" s="221"/>
    </row>
    <row r="237" spans="1:31" x14ac:dyDescent="0.25">
      <c r="A237" s="108">
        <v>226</v>
      </c>
      <c r="B237" s="1"/>
      <c r="C237" s="1"/>
      <c r="D237" s="1"/>
      <c r="E237" s="1"/>
      <c r="F237" s="39"/>
      <c r="G237" s="1"/>
      <c r="H237" s="1"/>
      <c r="I237" s="1"/>
      <c r="J237" s="1"/>
      <c r="K237" s="43"/>
      <c r="L237" s="1"/>
      <c r="M237" s="1"/>
      <c r="N237" s="1"/>
      <c r="O237" s="1"/>
      <c r="P237" s="46"/>
      <c r="Q237" s="1"/>
      <c r="R237" s="1"/>
      <c r="S237" s="1"/>
      <c r="T237" s="1"/>
      <c r="U237" s="49"/>
      <c r="V237" s="1"/>
      <c r="W237" s="1"/>
      <c r="X237" s="1"/>
      <c r="Y237" s="1"/>
      <c r="Z237" s="52"/>
      <c r="AA237" s="1"/>
      <c r="AB237" s="1"/>
      <c r="AC237" s="1"/>
      <c r="AD237" s="1"/>
      <c r="AE237" s="221"/>
    </row>
    <row r="238" spans="1:31" x14ac:dyDescent="0.25">
      <c r="A238" s="108">
        <v>227</v>
      </c>
      <c r="B238" s="1"/>
      <c r="C238" s="1"/>
      <c r="D238" s="1"/>
      <c r="E238" s="1"/>
      <c r="F238" s="39"/>
      <c r="G238" s="1"/>
      <c r="H238" s="1"/>
      <c r="I238" s="1"/>
      <c r="J238" s="1"/>
      <c r="K238" s="43"/>
      <c r="L238" s="1"/>
      <c r="M238" s="1"/>
      <c r="N238" s="1"/>
      <c r="O238" s="1"/>
      <c r="P238" s="46"/>
      <c r="Q238" s="1"/>
      <c r="R238" s="1"/>
      <c r="S238" s="1"/>
      <c r="T238" s="1"/>
      <c r="U238" s="49"/>
      <c r="V238" s="1"/>
      <c r="W238" s="1"/>
      <c r="X238" s="1"/>
      <c r="Y238" s="1"/>
      <c r="Z238" s="52"/>
      <c r="AA238" s="1"/>
      <c r="AB238" s="1"/>
      <c r="AC238" s="1"/>
      <c r="AD238" s="1"/>
      <c r="AE238" s="221"/>
    </row>
    <row r="239" spans="1:31" x14ac:dyDescent="0.25">
      <c r="A239" s="108">
        <v>228</v>
      </c>
      <c r="B239" s="1"/>
      <c r="C239" s="1"/>
      <c r="D239" s="1"/>
      <c r="E239" s="1"/>
      <c r="F239" s="39"/>
      <c r="G239" s="1"/>
      <c r="H239" s="1"/>
      <c r="I239" s="1"/>
      <c r="J239" s="1"/>
      <c r="K239" s="43"/>
      <c r="L239" s="1"/>
      <c r="M239" s="1"/>
      <c r="N239" s="1"/>
      <c r="O239" s="1"/>
      <c r="P239" s="46"/>
      <c r="Q239" s="1"/>
      <c r="R239" s="1"/>
      <c r="S239" s="1"/>
      <c r="T239" s="1"/>
      <c r="U239" s="49"/>
      <c r="V239" s="1"/>
      <c r="W239" s="1"/>
      <c r="X239" s="1"/>
      <c r="Y239" s="1"/>
      <c r="Z239" s="52"/>
      <c r="AA239" s="1"/>
      <c r="AB239" s="1"/>
      <c r="AC239" s="1"/>
      <c r="AD239" s="1"/>
      <c r="AE239" s="221"/>
    </row>
    <row r="240" spans="1:31" x14ac:dyDescent="0.25">
      <c r="A240" s="108">
        <v>229</v>
      </c>
      <c r="B240" s="1"/>
      <c r="C240" s="1"/>
      <c r="D240" s="1"/>
      <c r="E240" s="1"/>
      <c r="F240" s="39"/>
      <c r="G240" s="1"/>
      <c r="H240" s="1"/>
      <c r="I240" s="1"/>
      <c r="J240" s="1"/>
      <c r="K240" s="43"/>
      <c r="L240" s="1"/>
      <c r="M240" s="1"/>
      <c r="N240" s="1"/>
      <c r="O240" s="1"/>
      <c r="P240" s="46"/>
      <c r="Q240" s="1"/>
      <c r="R240" s="1"/>
      <c r="S240" s="1"/>
      <c r="T240" s="1"/>
      <c r="U240" s="49"/>
      <c r="V240" s="1"/>
      <c r="W240" s="1"/>
      <c r="X240" s="1"/>
      <c r="Y240" s="1"/>
      <c r="Z240" s="52"/>
      <c r="AA240" s="1"/>
      <c r="AB240" s="1"/>
      <c r="AC240" s="1"/>
      <c r="AD240" s="1"/>
      <c r="AE240" s="221"/>
    </row>
    <row r="241" spans="1:31" x14ac:dyDescent="0.25">
      <c r="A241" s="108">
        <v>230</v>
      </c>
      <c r="B241" s="1"/>
      <c r="C241" s="1"/>
      <c r="D241" s="1"/>
      <c r="E241" s="1"/>
      <c r="F241" s="39"/>
      <c r="G241" s="1"/>
      <c r="H241" s="1"/>
      <c r="I241" s="1"/>
      <c r="J241" s="1"/>
      <c r="K241" s="43"/>
      <c r="L241" s="1"/>
      <c r="M241" s="1"/>
      <c r="N241" s="1"/>
      <c r="O241" s="1"/>
      <c r="P241" s="46"/>
      <c r="Q241" s="1"/>
      <c r="R241" s="1"/>
      <c r="S241" s="1"/>
      <c r="T241" s="1"/>
      <c r="U241" s="49"/>
      <c r="V241" s="1"/>
      <c r="W241" s="1"/>
      <c r="X241" s="1"/>
      <c r="Y241" s="1"/>
      <c r="Z241" s="52"/>
      <c r="AA241" s="1"/>
      <c r="AB241" s="1"/>
      <c r="AC241" s="1"/>
      <c r="AD241" s="1"/>
      <c r="AE241" s="221"/>
    </row>
    <row r="242" spans="1:31" x14ac:dyDescent="0.25">
      <c r="A242" s="108">
        <v>231</v>
      </c>
      <c r="B242" s="1"/>
      <c r="C242" s="1"/>
      <c r="D242" s="1"/>
      <c r="E242" s="1"/>
      <c r="F242" s="39"/>
      <c r="G242" s="1"/>
      <c r="H242" s="1"/>
      <c r="I242" s="1"/>
      <c r="J242" s="1"/>
      <c r="K242" s="43"/>
      <c r="L242" s="1"/>
      <c r="M242" s="1"/>
      <c r="N242" s="1"/>
      <c r="O242" s="1"/>
      <c r="P242" s="46"/>
      <c r="Q242" s="1"/>
      <c r="R242" s="1"/>
      <c r="S242" s="1"/>
      <c r="T242" s="1"/>
      <c r="U242" s="49"/>
      <c r="V242" s="1"/>
      <c r="W242" s="1"/>
      <c r="X242" s="1"/>
      <c r="Y242" s="1"/>
      <c r="Z242" s="52"/>
      <c r="AA242" s="1"/>
      <c r="AB242" s="1"/>
      <c r="AC242" s="1"/>
      <c r="AD242" s="1"/>
      <c r="AE242" s="221"/>
    </row>
    <row r="243" spans="1:31" x14ac:dyDescent="0.25">
      <c r="A243" s="108">
        <v>232</v>
      </c>
      <c r="B243" s="1"/>
      <c r="C243" s="1"/>
      <c r="D243" s="1"/>
      <c r="E243" s="1"/>
      <c r="F243" s="39"/>
      <c r="G243" s="1"/>
      <c r="H243" s="1"/>
      <c r="I243" s="1"/>
      <c r="J243" s="1"/>
      <c r="K243" s="43"/>
      <c r="L243" s="1"/>
      <c r="M243" s="1"/>
      <c r="N243" s="1"/>
      <c r="O243" s="1"/>
      <c r="P243" s="46"/>
      <c r="Q243" s="1"/>
      <c r="R243" s="1"/>
      <c r="S243" s="1"/>
      <c r="T243" s="1"/>
      <c r="U243" s="49"/>
      <c r="V243" s="1"/>
      <c r="W243" s="1"/>
      <c r="X243" s="1"/>
      <c r="Y243" s="1"/>
      <c r="Z243" s="52"/>
      <c r="AA243" s="1"/>
      <c r="AB243" s="1"/>
      <c r="AC243" s="1"/>
      <c r="AD243" s="1"/>
      <c r="AE243" s="221"/>
    </row>
    <row r="244" spans="1:31" x14ac:dyDescent="0.25">
      <c r="A244" s="108">
        <v>233</v>
      </c>
      <c r="B244" s="1"/>
      <c r="C244" s="1"/>
      <c r="D244" s="1"/>
      <c r="E244" s="1"/>
      <c r="F244" s="39"/>
      <c r="G244" s="1"/>
      <c r="H244" s="1"/>
      <c r="I244" s="1"/>
      <c r="J244" s="1"/>
      <c r="K244" s="43"/>
      <c r="L244" s="1"/>
      <c r="M244" s="1"/>
      <c r="N244" s="1"/>
      <c r="O244" s="1"/>
      <c r="P244" s="46"/>
      <c r="Q244" s="1"/>
      <c r="R244" s="1"/>
      <c r="S244" s="1"/>
      <c r="T244" s="1"/>
      <c r="U244" s="49"/>
      <c r="V244" s="1"/>
      <c r="W244" s="1"/>
      <c r="X244" s="1"/>
      <c r="Y244" s="1"/>
      <c r="Z244" s="52"/>
      <c r="AA244" s="1"/>
      <c r="AB244" s="1"/>
      <c r="AC244" s="1"/>
      <c r="AD244" s="1"/>
      <c r="AE244" s="221"/>
    </row>
    <row r="245" spans="1:31" x14ac:dyDescent="0.25">
      <c r="A245" s="108">
        <v>234</v>
      </c>
      <c r="B245" s="1"/>
      <c r="C245" s="1"/>
      <c r="D245" s="1"/>
      <c r="E245" s="1"/>
      <c r="F245" s="39"/>
      <c r="G245" s="1"/>
      <c r="H245" s="1"/>
      <c r="I245" s="1"/>
      <c r="J245" s="1"/>
      <c r="K245" s="43"/>
      <c r="L245" s="1"/>
      <c r="M245" s="1"/>
      <c r="N245" s="1"/>
      <c r="O245" s="1"/>
      <c r="P245" s="46"/>
      <c r="Q245" s="1"/>
      <c r="R245" s="1"/>
      <c r="S245" s="1"/>
      <c r="T245" s="1"/>
      <c r="U245" s="49"/>
      <c r="V245" s="1"/>
      <c r="W245" s="1"/>
      <c r="X245" s="1"/>
      <c r="Y245" s="1"/>
      <c r="Z245" s="52"/>
      <c r="AA245" s="1"/>
      <c r="AB245" s="1"/>
      <c r="AC245" s="1"/>
      <c r="AD245" s="1"/>
      <c r="AE245" s="221"/>
    </row>
    <row r="246" spans="1:31" x14ac:dyDescent="0.25">
      <c r="A246" s="108">
        <v>235</v>
      </c>
      <c r="B246" s="1"/>
      <c r="C246" s="1"/>
      <c r="D246" s="1"/>
      <c r="E246" s="1"/>
      <c r="F246" s="39"/>
      <c r="G246" s="1"/>
      <c r="H246" s="1"/>
      <c r="I246" s="1"/>
      <c r="J246" s="1"/>
      <c r="K246" s="43"/>
      <c r="L246" s="1"/>
      <c r="M246" s="1"/>
      <c r="N246" s="1"/>
      <c r="O246" s="1"/>
      <c r="P246" s="46"/>
      <c r="Q246" s="1"/>
      <c r="R246" s="1"/>
      <c r="S246" s="1"/>
      <c r="T246" s="1"/>
      <c r="U246" s="49"/>
      <c r="V246" s="1"/>
      <c r="W246" s="1"/>
      <c r="X246" s="1"/>
      <c r="Y246" s="1"/>
      <c r="Z246" s="52"/>
      <c r="AA246" s="1"/>
      <c r="AB246" s="1"/>
      <c r="AC246" s="1"/>
      <c r="AD246" s="1"/>
      <c r="AE246" s="221"/>
    </row>
    <row r="247" spans="1:31" x14ac:dyDescent="0.25">
      <c r="A247" s="108">
        <v>236</v>
      </c>
      <c r="B247" s="1"/>
      <c r="C247" s="1"/>
      <c r="D247" s="1"/>
      <c r="E247" s="1"/>
      <c r="F247" s="39"/>
      <c r="G247" s="1"/>
      <c r="H247" s="1"/>
      <c r="I247" s="1"/>
      <c r="J247" s="1"/>
      <c r="K247" s="43"/>
      <c r="L247" s="1"/>
      <c r="M247" s="1"/>
      <c r="N247" s="1"/>
      <c r="O247" s="1"/>
      <c r="P247" s="46"/>
      <c r="Q247" s="1"/>
      <c r="R247" s="1"/>
      <c r="S247" s="1"/>
      <c r="T247" s="1"/>
      <c r="U247" s="49"/>
      <c r="V247" s="1"/>
      <c r="W247" s="1"/>
      <c r="X247" s="1"/>
      <c r="Y247" s="1"/>
      <c r="Z247" s="52"/>
      <c r="AA247" s="1"/>
      <c r="AB247" s="1"/>
      <c r="AC247" s="1"/>
      <c r="AD247" s="1"/>
      <c r="AE247" s="221"/>
    </row>
    <row r="248" spans="1:31" x14ac:dyDescent="0.25">
      <c r="A248" s="108">
        <v>237</v>
      </c>
      <c r="B248" s="1"/>
      <c r="C248" s="1"/>
      <c r="D248" s="1"/>
      <c r="E248" s="1"/>
      <c r="F248" s="39"/>
      <c r="G248" s="1"/>
      <c r="H248" s="1"/>
      <c r="I248" s="1"/>
      <c r="J248" s="1"/>
      <c r="K248" s="43"/>
      <c r="L248" s="1"/>
      <c r="M248" s="1"/>
      <c r="N248" s="1"/>
      <c r="O248" s="1"/>
      <c r="P248" s="46"/>
      <c r="Q248" s="1"/>
      <c r="R248" s="1"/>
      <c r="S248" s="1"/>
      <c r="T248" s="1"/>
      <c r="U248" s="49"/>
      <c r="V248" s="1"/>
      <c r="W248" s="1"/>
      <c r="X248" s="1"/>
      <c r="Y248" s="1"/>
      <c r="Z248" s="52"/>
      <c r="AA248" s="1"/>
      <c r="AB248" s="1"/>
      <c r="AC248" s="1"/>
      <c r="AD248" s="1"/>
      <c r="AE248" s="221"/>
    </row>
    <row r="249" spans="1:31" x14ac:dyDescent="0.25">
      <c r="A249" s="108">
        <v>238</v>
      </c>
      <c r="B249" s="1"/>
      <c r="C249" s="1"/>
      <c r="D249" s="1"/>
      <c r="E249" s="1"/>
      <c r="F249" s="39"/>
      <c r="G249" s="1"/>
      <c r="H249" s="1"/>
      <c r="I249" s="1"/>
      <c r="J249" s="1"/>
      <c r="K249" s="43"/>
      <c r="L249" s="1"/>
      <c r="M249" s="1"/>
      <c r="N249" s="1"/>
      <c r="O249" s="1"/>
      <c r="P249" s="46"/>
      <c r="Q249" s="1"/>
      <c r="R249" s="1"/>
      <c r="S249" s="1"/>
      <c r="T249" s="1"/>
      <c r="U249" s="49"/>
      <c r="V249" s="1"/>
      <c r="W249" s="1"/>
      <c r="X249" s="1"/>
      <c r="Y249" s="1"/>
      <c r="Z249" s="52"/>
      <c r="AA249" s="1"/>
      <c r="AB249" s="1"/>
      <c r="AC249" s="1"/>
      <c r="AD249" s="1"/>
      <c r="AE249" s="221"/>
    </row>
    <row r="250" spans="1:31" x14ac:dyDescent="0.25">
      <c r="A250" s="108">
        <v>239</v>
      </c>
      <c r="B250" s="1"/>
      <c r="C250" s="1"/>
      <c r="D250" s="1"/>
      <c r="E250" s="1"/>
      <c r="F250" s="39"/>
      <c r="G250" s="1"/>
      <c r="H250" s="1"/>
      <c r="I250" s="1"/>
      <c r="J250" s="1"/>
      <c r="K250" s="43"/>
      <c r="L250" s="1"/>
      <c r="M250" s="1"/>
      <c r="N250" s="1"/>
      <c r="O250" s="1"/>
      <c r="P250" s="46"/>
      <c r="Q250" s="1"/>
      <c r="R250" s="1"/>
      <c r="S250" s="1"/>
      <c r="T250" s="1"/>
      <c r="U250" s="49"/>
      <c r="V250" s="1"/>
      <c r="W250" s="1"/>
      <c r="X250" s="1"/>
      <c r="Y250" s="1"/>
      <c r="Z250" s="52"/>
      <c r="AA250" s="1"/>
      <c r="AB250" s="1"/>
      <c r="AC250" s="1"/>
      <c r="AD250" s="1"/>
      <c r="AE250" s="221"/>
    </row>
    <row r="251" spans="1:31" x14ac:dyDescent="0.25">
      <c r="A251" s="108">
        <v>240</v>
      </c>
      <c r="B251" s="1"/>
      <c r="C251" s="1"/>
      <c r="D251" s="1"/>
      <c r="E251" s="1"/>
      <c r="F251" s="39"/>
      <c r="G251" s="1"/>
      <c r="H251" s="1"/>
      <c r="I251" s="1"/>
      <c r="J251" s="1"/>
      <c r="K251" s="43"/>
      <c r="L251" s="1"/>
      <c r="M251" s="1"/>
      <c r="N251" s="1"/>
      <c r="O251" s="1"/>
      <c r="P251" s="46"/>
      <c r="Q251" s="1"/>
      <c r="R251" s="1"/>
      <c r="S251" s="1"/>
      <c r="T251" s="1"/>
      <c r="U251" s="49"/>
      <c r="V251" s="1"/>
      <c r="W251" s="1"/>
      <c r="X251" s="1"/>
      <c r="Y251" s="1"/>
      <c r="Z251" s="52"/>
      <c r="AA251" s="1"/>
      <c r="AB251" s="1"/>
      <c r="AC251" s="1"/>
      <c r="AD251" s="1"/>
      <c r="AE251" s="221"/>
    </row>
    <row r="252" spans="1:31" x14ac:dyDescent="0.25">
      <c r="A252" s="108">
        <v>241</v>
      </c>
      <c r="B252" s="1"/>
      <c r="C252" s="1"/>
      <c r="D252" s="1"/>
      <c r="E252" s="1"/>
      <c r="F252" s="39"/>
      <c r="G252" s="1"/>
      <c r="H252" s="1"/>
      <c r="I252" s="1"/>
      <c r="J252" s="1"/>
      <c r="K252" s="43"/>
      <c r="L252" s="1"/>
      <c r="M252" s="1"/>
      <c r="N252" s="1"/>
      <c r="O252" s="1"/>
      <c r="P252" s="46"/>
      <c r="Q252" s="1"/>
      <c r="R252" s="1"/>
      <c r="S252" s="1"/>
      <c r="T252" s="1"/>
      <c r="U252" s="49"/>
      <c r="V252" s="1"/>
      <c r="W252" s="1"/>
      <c r="X252" s="1"/>
      <c r="Y252" s="1"/>
      <c r="Z252" s="52"/>
      <c r="AA252" s="1"/>
      <c r="AB252" s="1"/>
      <c r="AC252" s="1"/>
      <c r="AD252" s="1"/>
      <c r="AE252" s="221"/>
    </row>
    <row r="253" spans="1:31" x14ac:dyDescent="0.25">
      <c r="A253" s="108">
        <v>242</v>
      </c>
      <c r="B253" s="1"/>
      <c r="C253" s="1"/>
      <c r="D253" s="1"/>
      <c r="E253" s="1"/>
      <c r="F253" s="39"/>
      <c r="G253" s="1"/>
      <c r="H253" s="1"/>
      <c r="I253" s="1"/>
      <c r="J253" s="1"/>
      <c r="K253" s="43"/>
      <c r="L253" s="1"/>
      <c r="M253" s="1"/>
      <c r="N253" s="1"/>
      <c r="O253" s="1"/>
      <c r="P253" s="46"/>
      <c r="Q253" s="1"/>
      <c r="R253" s="1"/>
      <c r="S253" s="1"/>
      <c r="T253" s="1"/>
      <c r="U253" s="49"/>
      <c r="V253" s="1"/>
      <c r="W253" s="1"/>
      <c r="X253" s="1"/>
      <c r="Y253" s="1"/>
      <c r="Z253" s="52"/>
      <c r="AA253" s="1"/>
      <c r="AB253" s="1"/>
      <c r="AC253" s="1"/>
      <c r="AD253" s="1"/>
      <c r="AE253" s="221"/>
    </row>
    <row r="254" spans="1:31" x14ac:dyDescent="0.25">
      <c r="A254" s="108">
        <v>243</v>
      </c>
      <c r="B254" s="1"/>
      <c r="C254" s="1"/>
      <c r="D254" s="1"/>
      <c r="E254" s="1"/>
      <c r="F254" s="39"/>
      <c r="G254" s="1"/>
      <c r="H254" s="1"/>
      <c r="I254" s="1"/>
      <c r="J254" s="1"/>
      <c r="K254" s="43"/>
      <c r="L254" s="1"/>
      <c r="M254" s="1"/>
      <c r="N254" s="1"/>
      <c r="O254" s="1"/>
      <c r="P254" s="46"/>
      <c r="Q254" s="1"/>
      <c r="R254" s="1"/>
      <c r="S254" s="1"/>
      <c r="T254" s="1"/>
      <c r="U254" s="49"/>
      <c r="V254" s="1"/>
      <c r="W254" s="1"/>
      <c r="X254" s="1"/>
      <c r="Y254" s="1"/>
      <c r="Z254" s="52"/>
      <c r="AA254" s="1"/>
      <c r="AB254" s="1"/>
      <c r="AC254" s="1"/>
      <c r="AD254" s="1"/>
      <c r="AE254" s="221"/>
    </row>
    <row r="255" spans="1:31" x14ac:dyDescent="0.25">
      <c r="A255" s="108">
        <v>244</v>
      </c>
      <c r="B255" s="1"/>
      <c r="C255" s="1"/>
      <c r="D255" s="1"/>
      <c r="E255" s="1"/>
      <c r="F255" s="39"/>
      <c r="G255" s="1"/>
      <c r="H255" s="1"/>
      <c r="I255" s="1"/>
      <c r="J255" s="1"/>
      <c r="K255" s="43"/>
      <c r="L255" s="1"/>
      <c r="M255" s="1"/>
      <c r="N255" s="1"/>
      <c r="O255" s="1"/>
      <c r="P255" s="46"/>
      <c r="Q255" s="1"/>
      <c r="R255" s="1"/>
      <c r="S255" s="1"/>
      <c r="T255" s="1"/>
      <c r="U255" s="49"/>
      <c r="V255" s="1"/>
      <c r="W255" s="1"/>
      <c r="X255" s="1"/>
      <c r="Y255" s="1"/>
      <c r="Z255" s="52"/>
      <c r="AA255" s="1"/>
      <c r="AB255" s="1"/>
      <c r="AC255" s="1"/>
      <c r="AD255" s="1"/>
      <c r="AE255" s="221"/>
    </row>
    <row r="256" spans="1:31" x14ac:dyDescent="0.25">
      <c r="A256" s="108">
        <v>245</v>
      </c>
      <c r="B256" s="1"/>
      <c r="C256" s="1"/>
      <c r="D256" s="1"/>
      <c r="E256" s="1"/>
      <c r="F256" s="39"/>
      <c r="G256" s="1"/>
      <c r="H256" s="1"/>
      <c r="I256" s="1"/>
      <c r="J256" s="1"/>
      <c r="K256" s="43"/>
      <c r="L256" s="1"/>
      <c r="M256" s="1"/>
      <c r="N256" s="1"/>
      <c r="O256" s="1"/>
      <c r="P256" s="46"/>
      <c r="Q256" s="1"/>
      <c r="R256" s="1"/>
      <c r="S256" s="1"/>
      <c r="T256" s="1"/>
      <c r="U256" s="49"/>
      <c r="V256" s="1"/>
      <c r="W256" s="1"/>
      <c r="X256" s="1"/>
      <c r="Y256" s="1"/>
      <c r="Z256" s="52"/>
      <c r="AA256" s="1"/>
      <c r="AB256" s="1"/>
      <c r="AC256" s="1"/>
      <c r="AD256" s="1"/>
      <c r="AE256" s="221"/>
    </row>
    <row r="257" spans="1:31" x14ac:dyDescent="0.25">
      <c r="A257" s="108">
        <v>246</v>
      </c>
      <c r="B257" s="1"/>
      <c r="C257" s="1"/>
      <c r="D257" s="1"/>
      <c r="E257" s="1"/>
      <c r="F257" s="39"/>
      <c r="G257" s="1"/>
      <c r="H257" s="1"/>
      <c r="I257" s="1"/>
      <c r="J257" s="1"/>
      <c r="K257" s="43"/>
      <c r="L257" s="1"/>
      <c r="M257" s="1"/>
      <c r="N257" s="1"/>
      <c r="O257" s="1"/>
      <c r="P257" s="46"/>
      <c r="Q257" s="1"/>
      <c r="R257" s="1"/>
      <c r="S257" s="1"/>
      <c r="T257" s="1"/>
      <c r="U257" s="49"/>
      <c r="V257" s="1"/>
      <c r="W257" s="1"/>
      <c r="X257" s="1"/>
      <c r="Y257" s="1"/>
      <c r="Z257" s="52"/>
      <c r="AA257" s="1"/>
      <c r="AB257" s="1"/>
      <c r="AC257" s="1"/>
      <c r="AD257" s="1"/>
      <c r="AE257" s="221"/>
    </row>
    <row r="258" spans="1:31" x14ac:dyDescent="0.25">
      <c r="A258" s="108">
        <v>247</v>
      </c>
      <c r="B258" s="1"/>
      <c r="C258" s="1"/>
      <c r="D258" s="1"/>
      <c r="E258" s="1"/>
      <c r="F258" s="39"/>
      <c r="G258" s="1"/>
      <c r="H258" s="1"/>
      <c r="I258" s="1"/>
      <c r="J258" s="1"/>
      <c r="K258" s="43"/>
      <c r="L258" s="1"/>
      <c r="M258" s="1"/>
      <c r="N258" s="1"/>
      <c r="O258" s="1"/>
      <c r="P258" s="46"/>
      <c r="Q258" s="1"/>
      <c r="R258" s="1"/>
      <c r="S258" s="1"/>
      <c r="T258" s="1"/>
      <c r="U258" s="49"/>
      <c r="V258" s="1"/>
      <c r="W258" s="1"/>
      <c r="X258" s="1"/>
      <c r="Y258" s="1"/>
      <c r="Z258" s="52"/>
      <c r="AA258" s="1"/>
      <c r="AB258" s="1"/>
      <c r="AC258" s="1"/>
      <c r="AD258" s="1"/>
      <c r="AE258" s="221"/>
    </row>
    <row r="259" spans="1:31" x14ac:dyDescent="0.25">
      <c r="A259" s="108">
        <v>248</v>
      </c>
      <c r="B259" s="1"/>
      <c r="C259" s="1"/>
      <c r="D259" s="1"/>
      <c r="E259" s="1"/>
      <c r="F259" s="39"/>
      <c r="G259" s="1"/>
      <c r="H259" s="1"/>
      <c r="I259" s="1"/>
      <c r="J259" s="1"/>
      <c r="K259" s="43"/>
      <c r="L259" s="1"/>
      <c r="M259" s="1"/>
      <c r="N259" s="1"/>
      <c r="O259" s="1"/>
      <c r="P259" s="46"/>
      <c r="Q259" s="1"/>
      <c r="R259" s="1"/>
      <c r="S259" s="1"/>
      <c r="T259" s="1"/>
      <c r="U259" s="49"/>
      <c r="V259" s="1"/>
      <c r="W259" s="1"/>
      <c r="X259" s="1"/>
      <c r="Y259" s="1"/>
      <c r="Z259" s="52"/>
      <c r="AA259" s="1"/>
      <c r="AB259" s="1"/>
      <c r="AC259" s="1"/>
      <c r="AD259" s="1"/>
      <c r="AE259" s="221"/>
    </row>
    <row r="260" spans="1:31" x14ac:dyDescent="0.25">
      <c r="A260" s="108">
        <v>249</v>
      </c>
      <c r="B260" s="1"/>
      <c r="C260" s="1"/>
      <c r="D260" s="1"/>
      <c r="E260" s="1"/>
      <c r="F260" s="39"/>
      <c r="G260" s="1"/>
      <c r="H260" s="1"/>
      <c r="I260" s="1"/>
      <c r="J260" s="1"/>
      <c r="K260" s="43"/>
      <c r="L260" s="1"/>
      <c r="M260" s="1"/>
      <c r="N260" s="1"/>
      <c r="O260" s="1"/>
      <c r="P260" s="46"/>
      <c r="Q260" s="1"/>
      <c r="R260" s="1"/>
      <c r="S260" s="1"/>
      <c r="T260" s="1"/>
      <c r="U260" s="49"/>
      <c r="V260" s="1"/>
      <c r="W260" s="1"/>
      <c r="X260" s="1"/>
      <c r="Y260" s="1"/>
      <c r="Z260" s="52"/>
      <c r="AA260" s="1"/>
      <c r="AB260" s="1"/>
      <c r="AC260" s="1"/>
      <c r="AD260" s="1"/>
      <c r="AE260" s="221"/>
    </row>
    <row r="261" spans="1:31" x14ac:dyDescent="0.25">
      <c r="A261" s="108">
        <v>250</v>
      </c>
      <c r="B261" s="1"/>
      <c r="C261" s="1"/>
      <c r="D261" s="1"/>
      <c r="E261" s="1"/>
      <c r="F261" s="39"/>
      <c r="G261" s="1"/>
      <c r="H261" s="1"/>
      <c r="I261" s="1"/>
      <c r="J261" s="1"/>
      <c r="K261" s="43"/>
      <c r="L261" s="1"/>
      <c r="M261" s="1"/>
      <c r="N261" s="1"/>
      <c r="O261" s="1"/>
      <c r="P261" s="46"/>
      <c r="Q261" s="1"/>
      <c r="R261" s="1"/>
      <c r="S261" s="1"/>
      <c r="T261" s="1"/>
      <c r="U261" s="49"/>
      <c r="V261" s="1"/>
      <c r="W261" s="1"/>
      <c r="X261" s="1"/>
      <c r="Y261" s="1"/>
      <c r="Z261" s="52"/>
      <c r="AA261" s="1"/>
      <c r="AB261" s="1"/>
      <c r="AC261" s="1"/>
      <c r="AD261" s="1"/>
      <c r="AE261" s="221"/>
    </row>
    <row r="262" spans="1:31" ht="15.75" thickBot="1" x14ac:dyDescent="0.3">
      <c r="A262" s="109"/>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c r="AA262" s="244"/>
      <c r="AB262" s="244"/>
      <c r="AC262" s="244"/>
      <c r="AD262" s="244"/>
      <c r="AE262" s="110"/>
    </row>
  </sheetData>
  <sheetProtection sheet="1" objects="1" scenarios="1"/>
  <mergeCells count="6">
    <mergeCell ref="AA1:AD1"/>
    <mergeCell ref="B1:E1"/>
    <mergeCell ref="G1:J1"/>
    <mergeCell ref="L1:O1"/>
    <mergeCell ref="Q1:T1"/>
    <mergeCell ref="V1:Y1"/>
  </mergeCells>
  <conditionalFormatting sqref="F6">
    <cfRule type="expression" dxfId="22" priority="6">
      <formula>ISERR(F6)</formula>
    </cfRule>
  </conditionalFormatting>
  <conditionalFormatting sqref="K6">
    <cfRule type="expression" dxfId="21" priority="5">
      <formula>ISERR(K6)</formula>
    </cfRule>
  </conditionalFormatting>
  <conditionalFormatting sqref="P6">
    <cfRule type="expression" dxfId="20" priority="4">
      <formula>ISERR(P6)</formula>
    </cfRule>
  </conditionalFormatting>
  <conditionalFormatting sqref="U6">
    <cfRule type="expression" dxfId="19" priority="3">
      <formula>ISERR(U6)</formula>
    </cfRule>
  </conditionalFormatting>
  <conditionalFormatting sqref="Z6">
    <cfRule type="expression" dxfId="18" priority="2">
      <formula>ISERR(Z6)</formula>
    </cfRule>
  </conditionalFormatting>
  <conditionalFormatting sqref="AE6">
    <cfRule type="expression" dxfId="17" priority="1">
      <formula>ISERR(AE6)</formula>
    </cfRule>
  </conditionalFormatting>
  <pageMargins left="0.7" right="0.7" top="0.75" bottom="0.75" header="0.3" footer="0.3"/>
  <pageSetup scale="40" fitToHeight="3" orientation="landscape"/>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rgb="FF0000FF"/>
    <pageSetUpPr fitToPage="1"/>
  </sheetPr>
  <dimension ref="A1:AE262"/>
  <sheetViews>
    <sheetView workbookViewId="0">
      <pane xSplit="1" ySplit="10" topLeftCell="B11" activePane="bottomRight" state="frozen"/>
      <selection activeCell="L1" activeCellId="2" sqref="B1:E1 G1:J1 L1:O1"/>
      <selection pane="topRight" activeCell="L1" activeCellId="2" sqref="B1:E1 G1:J1 L1:O1"/>
      <selection pane="bottomLeft" activeCell="L1" activeCellId="2" sqref="B1:E1 G1:J1 L1:O1"/>
      <selection pane="bottomRight" activeCell="B11" sqref="B11"/>
    </sheetView>
  </sheetViews>
  <sheetFormatPr defaultColWidth="8.85546875" defaultRowHeight="15" x14ac:dyDescent="0.25"/>
  <cols>
    <col min="1" max="1" width="14.85546875" style="7" customWidth="1"/>
    <col min="2" max="2" width="8.42578125" style="7" customWidth="1"/>
    <col min="3" max="3" width="8.85546875" style="7" customWidth="1"/>
    <col min="4" max="5" width="9.28515625" style="7" bestFit="1" customWidth="1"/>
    <col min="6" max="6" width="10" style="7" customWidth="1"/>
    <col min="7" max="10" width="9.28515625" style="7" bestFit="1" customWidth="1"/>
    <col min="11" max="11" width="10" style="7" customWidth="1"/>
    <col min="12" max="12" width="10.140625" style="7" bestFit="1" customWidth="1"/>
    <col min="13" max="15" width="9.28515625" style="7" bestFit="1" customWidth="1"/>
    <col min="16" max="16" width="10" style="7" customWidth="1"/>
    <col min="17" max="17" width="9.28515625" style="7" bestFit="1" customWidth="1"/>
    <col min="18" max="20" width="8.85546875" style="7"/>
    <col min="21" max="21" width="10" style="7" customWidth="1"/>
    <col min="22" max="25" width="8.85546875" style="7"/>
    <col min="26" max="26" width="10" style="7" customWidth="1"/>
    <col min="27" max="30" width="8.85546875" style="7"/>
    <col min="31" max="31" width="10" style="7" customWidth="1"/>
    <col min="32" max="16384" width="8.85546875" style="7"/>
  </cols>
  <sheetData>
    <row r="1" spans="1:31" s="512" customFormat="1" ht="19.5" thickBot="1" x14ac:dyDescent="0.35">
      <c r="A1" s="511"/>
      <c r="B1" s="1447"/>
      <c r="C1" s="1448"/>
      <c r="D1" s="1448"/>
      <c r="E1" s="1449"/>
      <c r="F1" s="414"/>
      <c r="G1" s="1450"/>
      <c r="H1" s="1451"/>
      <c r="I1" s="1451"/>
      <c r="J1" s="1452"/>
      <c r="K1" s="414"/>
      <c r="L1" s="1453"/>
      <c r="M1" s="1454"/>
      <c r="N1" s="1454"/>
      <c r="O1" s="1455"/>
      <c r="P1" s="414"/>
      <c r="Q1" s="1456"/>
      <c r="R1" s="1457"/>
      <c r="S1" s="1457"/>
      <c r="T1" s="1458"/>
      <c r="U1" s="414"/>
      <c r="V1" s="1459"/>
      <c r="W1" s="1460"/>
      <c r="X1" s="1460"/>
      <c r="Y1" s="1461"/>
      <c r="Z1" s="414"/>
      <c r="AA1" s="1444"/>
      <c r="AB1" s="1445"/>
      <c r="AC1" s="1445"/>
      <c r="AD1" s="1446"/>
      <c r="AE1" s="254"/>
    </row>
    <row r="2" spans="1:31" ht="108" customHeight="1" thickBot="1" x14ac:dyDescent="0.3">
      <c r="A2" s="417" t="s">
        <v>3</v>
      </c>
      <c r="B2" s="258"/>
      <c r="C2" s="259"/>
      <c r="D2" s="259"/>
      <c r="E2" s="418"/>
      <c r="F2" s="260"/>
      <c r="G2" s="420"/>
      <c r="H2" s="261"/>
      <c r="I2" s="261"/>
      <c r="J2" s="262"/>
      <c r="K2" s="263"/>
      <c r="L2" s="264"/>
      <c r="M2" s="265"/>
      <c r="N2" s="265"/>
      <c r="O2" s="266"/>
      <c r="P2" s="267"/>
      <c r="Q2" s="268"/>
      <c r="R2" s="269"/>
      <c r="S2" s="269"/>
      <c r="T2" s="270"/>
      <c r="U2" s="695"/>
      <c r="V2" s="424"/>
      <c r="W2" s="425"/>
      <c r="X2" s="425"/>
      <c r="Y2" s="426"/>
      <c r="Z2" s="696"/>
      <c r="AA2" s="513"/>
      <c r="AB2" s="514"/>
      <c r="AC2" s="514"/>
      <c r="AD2" s="515"/>
      <c r="AE2" s="697"/>
    </row>
    <row r="3" spans="1:31" x14ac:dyDescent="0.25">
      <c r="A3" s="277" t="s">
        <v>11</v>
      </c>
      <c r="B3" s="278"/>
      <c r="C3" s="279"/>
      <c r="D3" s="279"/>
      <c r="E3" s="427"/>
      <c r="F3" s="698"/>
      <c r="G3" s="428"/>
      <c r="H3" s="283"/>
      <c r="I3" s="283"/>
      <c r="J3" s="284"/>
      <c r="K3" s="699"/>
      <c r="L3" s="286"/>
      <c r="M3" s="287"/>
      <c r="N3" s="287"/>
      <c r="O3" s="288"/>
      <c r="P3" s="700" t="s">
        <v>122</v>
      </c>
      <c r="Q3" s="290"/>
      <c r="R3" s="291"/>
      <c r="S3" s="291"/>
      <c r="T3" s="292"/>
      <c r="U3" s="701" t="s">
        <v>122</v>
      </c>
      <c r="V3" s="294"/>
      <c r="W3" s="295"/>
      <c r="X3" s="295"/>
      <c r="Y3" s="296"/>
      <c r="Z3" s="702" t="s">
        <v>122</v>
      </c>
      <c r="AA3" s="298"/>
      <c r="AB3" s="299"/>
      <c r="AC3" s="299"/>
      <c r="AD3" s="300"/>
      <c r="AE3" s="703" t="s">
        <v>122</v>
      </c>
    </row>
    <row r="4" spans="1:31" ht="15.75" thickBot="1" x14ac:dyDescent="0.3">
      <c r="A4" s="277" t="s">
        <v>1</v>
      </c>
      <c r="B4" s="430"/>
      <c r="C4" s="431"/>
      <c r="D4" s="431"/>
      <c r="E4" s="432"/>
      <c r="F4" s="698"/>
      <c r="G4" s="433"/>
      <c r="H4" s="434"/>
      <c r="I4" s="434"/>
      <c r="J4" s="435"/>
      <c r="K4" s="699"/>
      <c r="L4" s="436"/>
      <c r="M4" s="437"/>
      <c r="N4" s="437"/>
      <c r="O4" s="438"/>
      <c r="P4" s="700"/>
      <c r="Q4" s="439"/>
      <c r="R4" s="440"/>
      <c r="S4" s="440"/>
      <c r="T4" s="441"/>
      <c r="U4" s="701"/>
      <c r="V4" s="442"/>
      <c r="W4" s="443"/>
      <c r="X4" s="443"/>
      <c r="Y4" s="444"/>
      <c r="Z4" s="702"/>
      <c r="AA4" s="445"/>
      <c r="AB4" s="446"/>
      <c r="AC4" s="446"/>
      <c r="AD4" s="447"/>
      <c r="AE4" s="703"/>
    </row>
    <row r="5" spans="1:31" x14ac:dyDescent="0.25">
      <c r="A5" s="277"/>
      <c r="B5" s="448"/>
      <c r="C5" s="449"/>
      <c r="D5" s="449"/>
      <c r="E5" s="450"/>
      <c r="F5" s="704"/>
      <c r="G5" s="452"/>
      <c r="H5" s="453"/>
      <c r="I5" s="453"/>
      <c r="J5" s="454"/>
      <c r="K5" s="705"/>
      <c r="L5" s="456"/>
      <c r="M5" s="457"/>
      <c r="N5" s="457"/>
      <c r="O5" s="458"/>
      <c r="P5" s="706"/>
      <c r="Q5" s="460"/>
      <c r="R5" s="461"/>
      <c r="S5" s="461"/>
      <c r="T5" s="462"/>
      <c r="U5" s="707"/>
      <c r="V5" s="464"/>
      <c r="W5" s="465"/>
      <c r="X5" s="465"/>
      <c r="Y5" s="466"/>
      <c r="Z5" s="708"/>
      <c r="AA5" s="468"/>
      <c r="AB5" s="469"/>
      <c r="AC5" s="469"/>
      <c r="AD5" s="470"/>
      <c r="AE5" s="709"/>
    </row>
    <row r="6" spans="1:31" x14ac:dyDescent="0.25">
      <c r="A6" s="277"/>
      <c r="B6" s="448"/>
      <c r="C6" s="449"/>
      <c r="D6" s="449"/>
      <c r="E6" s="450"/>
      <c r="F6" s="710"/>
      <c r="G6" s="452"/>
      <c r="H6" s="453"/>
      <c r="I6" s="453"/>
      <c r="J6" s="454"/>
      <c r="K6" s="711"/>
      <c r="L6" s="456"/>
      <c r="M6" s="457"/>
      <c r="N6" s="457"/>
      <c r="O6" s="458"/>
      <c r="P6" s="712"/>
      <c r="Q6" s="460"/>
      <c r="R6" s="461"/>
      <c r="S6" s="461"/>
      <c r="T6" s="462"/>
      <c r="U6" s="713"/>
      <c r="V6" s="464"/>
      <c r="W6" s="465"/>
      <c r="X6" s="465"/>
      <c r="Y6" s="466"/>
      <c r="Z6" s="507"/>
      <c r="AA6" s="468"/>
      <c r="AB6" s="469"/>
      <c r="AC6" s="469"/>
      <c r="AD6" s="470"/>
      <c r="AE6" s="509"/>
    </row>
    <row r="7" spans="1:31" ht="15.75" thickBot="1" x14ac:dyDescent="0.3">
      <c r="A7" s="714"/>
      <c r="B7" s="1168"/>
      <c r="C7" s="1169"/>
      <c r="D7" s="1169"/>
      <c r="E7" s="1170"/>
      <c r="F7" s="1087"/>
      <c r="G7" s="1171"/>
      <c r="H7" s="1172"/>
      <c r="I7" s="1172"/>
      <c r="J7" s="1173"/>
      <c r="K7" s="1174"/>
      <c r="L7" s="1175"/>
      <c r="M7" s="1176"/>
      <c r="N7" s="1176"/>
      <c r="O7" s="1177"/>
      <c r="P7" s="1178"/>
      <c r="Q7" s="1179"/>
      <c r="R7" s="1180"/>
      <c r="S7" s="1180"/>
      <c r="T7" s="1181"/>
      <c r="U7" s="1182"/>
      <c r="V7" s="1183"/>
      <c r="W7" s="1184"/>
      <c r="X7" s="1184"/>
      <c r="Y7" s="1185"/>
      <c r="Z7" s="1186"/>
      <c r="AA7" s="1187"/>
      <c r="AB7" s="1188"/>
      <c r="AC7" s="1188"/>
      <c r="AD7" s="1189"/>
      <c r="AE7" s="1190"/>
    </row>
    <row r="8" spans="1:31" ht="17.25" thickBot="1" x14ac:dyDescent="0.35">
      <c r="A8" s="277" t="s">
        <v>18</v>
      </c>
      <c r="B8" s="733"/>
      <c r="C8" s="734"/>
      <c r="D8" s="734"/>
      <c r="E8" s="735"/>
      <c r="F8" s="1140"/>
      <c r="G8" s="736"/>
      <c r="H8" s="737"/>
      <c r="I8" s="737"/>
      <c r="J8" s="738"/>
      <c r="K8" s="1141"/>
      <c r="L8" s="739"/>
      <c r="M8" s="740"/>
      <c r="N8" s="740"/>
      <c r="O8" s="741"/>
      <c r="P8" s="1142"/>
      <c r="Q8" s="742"/>
      <c r="R8" s="743"/>
      <c r="S8" s="743"/>
      <c r="T8" s="744"/>
      <c r="U8" s="1143"/>
      <c r="V8" s="745"/>
      <c r="W8" s="746"/>
      <c r="X8" s="746"/>
      <c r="Y8" s="747"/>
      <c r="Z8" s="1144"/>
      <c r="AA8" s="748"/>
      <c r="AB8" s="749"/>
      <c r="AC8" s="749"/>
      <c r="AD8" s="750"/>
      <c r="AE8" s="1145"/>
    </row>
    <row r="9" spans="1:31" ht="15.75" thickBot="1" x14ac:dyDescent="0.3">
      <c r="A9" s="277" t="s">
        <v>7</v>
      </c>
      <c r="B9" s="356"/>
      <c r="C9" s="357"/>
      <c r="D9" s="357"/>
      <c r="E9" s="555"/>
      <c r="F9" s="1106"/>
      <c r="G9" s="556"/>
      <c r="H9" s="557"/>
      <c r="I9" s="557"/>
      <c r="J9" s="558"/>
      <c r="K9" s="1107"/>
      <c r="L9" s="559"/>
      <c r="M9" s="560"/>
      <c r="N9" s="560"/>
      <c r="O9" s="561"/>
      <c r="P9" s="1108"/>
      <c r="Q9" s="562"/>
      <c r="R9" s="563"/>
      <c r="S9" s="563"/>
      <c r="T9" s="564"/>
      <c r="U9" s="1109"/>
      <c r="V9" s="565"/>
      <c r="W9" s="566"/>
      <c r="X9" s="566"/>
      <c r="Y9" s="567"/>
      <c r="Z9" s="1110"/>
      <c r="AA9" s="568"/>
      <c r="AB9" s="569"/>
      <c r="AC9" s="569"/>
      <c r="AD9" s="570"/>
      <c r="AE9" s="1111"/>
    </row>
    <row r="10" spans="1:31" ht="75" customHeight="1" thickBot="1" x14ac:dyDescent="0.3">
      <c r="A10" s="374" t="s">
        <v>0</v>
      </c>
      <c r="B10" s="751"/>
      <c r="C10" s="752"/>
      <c r="D10" s="752"/>
      <c r="E10" s="753"/>
      <c r="F10" s="754"/>
      <c r="G10" s="755"/>
      <c r="H10" s="756"/>
      <c r="I10" s="756"/>
      <c r="J10" s="757"/>
      <c r="K10" s="758"/>
      <c r="L10" s="759"/>
      <c r="M10" s="760"/>
      <c r="N10" s="760"/>
      <c r="O10" s="761"/>
      <c r="P10" s="762"/>
      <c r="Q10" s="763"/>
      <c r="R10" s="764"/>
      <c r="S10" s="764"/>
      <c r="T10" s="765"/>
      <c r="U10" s="766"/>
      <c r="V10" s="767"/>
      <c r="W10" s="768"/>
      <c r="X10" s="768"/>
      <c r="Y10" s="769"/>
      <c r="Z10" s="770"/>
      <c r="AA10" s="771"/>
      <c r="AB10" s="772"/>
      <c r="AC10" s="772"/>
      <c r="AD10" s="773"/>
      <c r="AE10" s="774"/>
    </row>
    <row r="11" spans="1:31" x14ac:dyDescent="0.25">
      <c r="A11" s="399">
        <v>0</v>
      </c>
      <c r="B11" s="775"/>
      <c r="C11" s="775"/>
      <c r="D11" s="775"/>
      <c r="E11" s="775"/>
      <c r="F11" s="776"/>
      <c r="G11" s="775"/>
      <c r="H11" s="775"/>
      <c r="I11" s="775"/>
      <c r="J11" s="775"/>
      <c r="K11" s="777"/>
      <c r="L11" s="775"/>
      <c r="M11" s="775"/>
      <c r="N11" s="775"/>
      <c r="O11" s="775"/>
      <c r="P11" s="778"/>
      <c r="Q11" s="775"/>
      <c r="R11" s="775"/>
      <c r="S11" s="775"/>
      <c r="T11" s="775"/>
      <c r="U11" s="779"/>
      <c r="V11" s="775"/>
      <c r="W11" s="775"/>
      <c r="X11" s="775"/>
      <c r="Y11" s="775"/>
      <c r="Z11" s="780"/>
      <c r="AA11" s="400"/>
      <c r="AB11" s="400"/>
      <c r="AC11" s="400"/>
      <c r="AD11" s="400"/>
      <c r="AE11" s="406"/>
    </row>
    <row r="12" spans="1:31" x14ac:dyDescent="0.25">
      <c r="A12" s="399">
        <v>1</v>
      </c>
      <c r="B12" s="781"/>
      <c r="C12" s="781"/>
      <c r="D12" s="781"/>
      <c r="E12" s="781"/>
      <c r="F12" s="407"/>
      <c r="G12" s="781"/>
      <c r="H12" s="781"/>
      <c r="I12" s="781"/>
      <c r="J12" s="781"/>
      <c r="K12" s="782"/>
      <c r="L12" s="781"/>
      <c r="M12" s="781"/>
      <c r="N12" s="781"/>
      <c r="O12" s="781"/>
      <c r="P12" s="783"/>
      <c r="Q12" s="781"/>
      <c r="R12" s="781"/>
      <c r="S12" s="781"/>
      <c r="T12" s="781"/>
      <c r="U12" s="784"/>
      <c r="V12" s="781"/>
      <c r="W12" s="781"/>
      <c r="X12" s="781"/>
      <c r="Y12" s="781"/>
      <c r="Z12" s="785"/>
      <c r="AA12" s="400"/>
      <c r="AB12" s="400"/>
      <c r="AC12" s="400"/>
      <c r="AD12" s="400"/>
      <c r="AE12" s="406"/>
    </row>
    <row r="13" spans="1:31" x14ac:dyDescent="0.25">
      <c r="A13" s="399">
        <v>2</v>
      </c>
      <c r="B13" s="781"/>
      <c r="C13" s="781"/>
      <c r="D13" s="781"/>
      <c r="E13" s="781"/>
      <c r="F13" s="407"/>
      <c r="G13" s="781"/>
      <c r="H13" s="781"/>
      <c r="I13" s="781"/>
      <c r="J13" s="781"/>
      <c r="K13" s="782"/>
      <c r="L13" s="781"/>
      <c r="M13" s="781"/>
      <c r="N13" s="781"/>
      <c r="O13" s="781"/>
      <c r="P13" s="783"/>
      <c r="Q13" s="781"/>
      <c r="R13" s="781"/>
      <c r="S13" s="781"/>
      <c r="T13" s="781"/>
      <c r="U13" s="784"/>
      <c r="V13" s="781"/>
      <c r="W13" s="781"/>
      <c r="X13" s="781"/>
      <c r="Y13" s="781"/>
      <c r="Z13" s="785"/>
      <c r="AA13" s="400"/>
      <c r="AB13" s="400"/>
      <c r="AC13" s="400"/>
      <c r="AD13" s="400"/>
      <c r="AE13" s="406"/>
    </row>
    <row r="14" spans="1:31" x14ac:dyDescent="0.25">
      <c r="A14" s="399">
        <v>3</v>
      </c>
      <c r="B14" s="781"/>
      <c r="C14" s="781"/>
      <c r="D14" s="781"/>
      <c r="E14" s="781"/>
      <c r="F14" s="407"/>
      <c r="G14" s="781"/>
      <c r="H14" s="781"/>
      <c r="I14" s="781"/>
      <c r="J14" s="781"/>
      <c r="K14" s="782"/>
      <c r="L14" s="781"/>
      <c r="M14" s="781"/>
      <c r="N14" s="781"/>
      <c r="O14" s="781"/>
      <c r="P14" s="783"/>
      <c r="Q14" s="781"/>
      <c r="R14" s="781"/>
      <c r="S14" s="781"/>
      <c r="T14" s="781"/>
      <c r="U14" s="784"/>
      <c r="V14" s="781"/>
      <c r="W14" s="781"/>
      <c r="X14" s="781"/>
      <c r="Y14" s="781"/>
      <c r="Z14" s="785"/>
      <c r="AA14" s="400"/>
      <c r="AB14" s="400"/>
      <c r="AC14" s="400"/>
      <c r="AD14" s="400"/>
      <c r="AE14" s="406"/>
    </row>
    <row r="15" spans="1:31" x14ac:dyDescent="0.25">
      <c r="A15" s="399">
        <v>4</v>
      </c>
      <c r="B15" s="781"/>
      <c r="C15" s="781"/>
      <c r="D15" s="781"/>
      <c r="E15" s="781"/>
      <c r="F15" s="407"/>
      <c r="G15" s="781"/>
      <c r="H15" s="781"/>
      <c r="I15" s="781"/>
      <c r="J15" s="781"/>
      <c r="K15" s="782"/>
      <c r="L15" s="781"/>
      <c r="M15" s="781"/>
      <c r="N15" s="781"/>
      <c r="O15" s="781"/>
      <c r="P15" s="783"/>
      <c r="Q15" s="781"/>
      <c r="R15" s="781"/>
      <c r="S15" s="781"/>
      <c r="T15" s="781"/>
      <c r="U15" s="784"/>
      <c r="V15" s="781"/>
      <c r="W15" s="781"/>
      <c r="X15" s="781"/>
      <c r="Y15" s="781"/>
      <c r="Z15" s="785"/>
      <c r="AA15" s="400"/>
      <c r="AB15" s="400"/>
      <c r="AC15" s="400"/>
      <c r="AD15" s="400"/>
      <c r="AE15" s="406"/>
    </row>
    <row r="16" spans="1:31" x14ac:dyDescent="0.25">
      <c r="A16" s="399">
        <v>5</v>
      </c>
      <c r="B16" s="781"/>
      <c r="C16" s="781"/>
      <c r="D16" s="781"/>
      <c r="E16" s="781"/>
      <c r="F16" s="407"/>
      <c r="G16" s="781"/>
      <c r="H16" s="781"/>
      <c r="I16" s="781"/>
      <c r="J16" s="781"/>
      <c r="K16" s="782"/>
      <c r="L16" s="781"/>
      <c r="M16" s="781"/>
      <c r="N16" s="781"/>
      <c r="O16" s="781"/>
      <c r="P16" s="783"/>
      <c r="Q16" s="781"/>
      <c r="R16" s="781"/>
      <c r="S16" s="781"/>
      <c r="T16" s="781"/>
      <c r="U16" s="784"/>
      <c r="V16" s="781"/>
      <c r="W16" s="781"/>
      <c r="X16" s="781"/>
      <c r="Y16" s="781"/>
      <c r="Z16" s="785"/>
      <c r="AA16" s="400"/>
      <c r="AB16" s="400"/>
      <c r="AC16" s="400"/>
      <c r="AD16" s="400"/>
      <c r="AE16" s="406"/>
    </row>
    <row r="17" spans="1:31" x14ac:dyDescent="0.25">
      <c r="A17" s="399">
        <v>6</v>
      </c>
      <c r="B17" s="781"/>
      <c r="C17" s="781"/>
      <c r="D17" s="781"/>
      <c r="E17" s="781"/>
      <c r="F17" s="407"/>
      <c r="G17" s="781"/>
      <c r="H17" s="781"/>
      <c r="I17" s="781"/>
      <c r="J17" s="781"/>
      <c r="K17" s="782"/>
      <c r="L17" s="781"/>
      <c r="M17" s="781"/>
      <c r="N17" s="781"/>
      <c r="O17" s="781"/>
      <c r="P17" s="783"/>
      <c r="Q17" s="781"/>
      <c r="R17" s="781"/>
      <c r="S17" s="781"/>
      <c r="T17" s="781"/>
      <c r="U17" s="784"/>
      <c r="V17" s="781"/>
      <c r="W17" s="781"/>
      <c r="X17" s="781"/>
      <c r="Y17" s="781"/>
      <c r="Z17" s="785"/>
      <c r="AA17" s="400"/>
      <c r="AB17" s="400"/>
      <c r="AC17" s="400"/>
      <c r="AD17" s="400"/>
      <c r="AE17" s="406"/>
    </row>
    <row r="18" spans="1:31" x14ac:dyDescent="0.25">
      <c r="A18" s="399">
        <v>7</v>
      </c>
      <c r="B18" s="781"/>
      <c r="C18" s="781"/>
      <c r="D18" s="781"/>
      <c r="E18" s="781"/>
      <c r="F18" s="407"/>
      <c r="G18" s="781"/>
      <c r="H18" s="781"/>
      <c r="I18" s="781"/>
      <c r="J18" s="781"/>
      <c r="K18" s="782"/>
      <c r="L18" s="781"/>
      <c r="M18" s="781"/>
      <c r="N18" s="781"/>
      <c r="O18" s="781"/>
      <c r="P18" s="783"/>
      <c r="Q18" s="781"/>
      <c r="R18" s="781"/>
      <c r="S18" s="781"/>
      <c r="T18" s="781"/>
      <c r="U18" s="784"/>
      <c r="V18" s="781"/>
      <c r="W18" s="781"/>
      <c r="X18" s="781"/>
      <c r="Y18" s="781"/>
      <c r="Z18" s="785"/>
      <c r="AA18" s="400"/>
      <c r="AB18" s="400"/>
      <c r="AC18" s="400"/>
      <c r="AD18" s="400"/>
      <c r="AE18" s="406"/>
    </row>
    <row r="19" spans="1:31" x14ac:dyDescent="0.25">
      <c r="A19" s="399">
        <v>8</v>
      </c>
      <c r="B19" s="781"/>
      <c r="C19" s="781"/>
      <c r="D19" s="781"/>
      <c r="E19" s="781"/>
      <c r="F19" s="407"/>
      <c r="G19" s="781"/>
      <c r="H19" s="781"/>
      <c r="I19" s="781"/>
      <c r="J19" s="781"/>
      <c r="K19" s="782"/>
      <c r="L19" s="781"/>
      <c r="M19" s="781"/>
      <c r="N19" s="781"/>
      <c r="O19" s="781"/>
      <c r="P19" s="783"/>
      <c r="Q19" s="781"/>
      <c r="R19" s="781"/>
      <c r="S19" s="781"/>
      <c r="T19" s="781"/>
      <c r="U19" s="784"/>
      <c r="V19" s="781"/>
      <c r="W19" s="781"/>
      <c r="X19" s="781"/>
      <c r="Y19" s="781"/>
      <c r="Z19" s="785"/>
      <c r="AA19" s="400"/>
      <c r="AB19" s="400"/>
      <c r="AC19" s="400"/>
      <c r="AD19" s="400"/>
      <c r="AE19" s="406"/>
    </row>
    <row r="20" spans="1:31" x14ac:dyDescent="0.25">
      <c r="A20" s="399">
        <v>9</v>
      </c>
      <c r="B20" s="781"/>
      <c r="C20" s="781"/>
      <c r="D20" s="781"/>
      <c r="E20" s="781"/>
      <c r="F20" s="407"/>
      <c r="G20" s="781"/>
      <c r="H20" s="781"/>
      <c r="I20" s="781"/>
      <c r="J20" s="781"/>
      <c r="K20" s="782"/>
      <c r="L20" s="781"/>
      <c r="M20" s="781"/>
      <c r="N20" s="781"/>
      <c r="O20" s="781"/>
      <c r="P20" s="783"/>
      <c r="Q20" s="781"/>
      <c r="R20" s="781"/>
      <c r="S20" s="781"/>
      <c r="T20" s="781"/>
      <c r="U20" s="784"/>
      <c r="V20" s="781"/>
      <c r="W20" s="781"/>
      <c r="X20" s="781"/>
      <c r="Y20" s="781"/>
      <c r="Z20" s="785"/>
      <c r="AA20" s="400"/>
      <c r="AB20" s="400"/>
      <c r="AC20" s="400"/>
      <c r="AD20" s="400"/>
      <c r="AE20" s="406"/>
    </row>
    <row r="21" spans="1:31" x14ac:dyDescent="0.25">
      <c r="A21" s="399">
        <v>10</v>
      </c>
      <c r="B21" s="781"/>
      <c r="C21" s="781"/>
      <c r="D21" s="781"/>
      <c r="E21" s="781"/>
      <c r="F21" s="407"/>
      <c r="G21" s="781"/>
      <c r="H21" s="781"/>
      <c r="I21" s="781"/>
      <c r="J21" s="781"/>
      <c r="K21" s="782"/>
      <c r="L21" s="781"/>
      <c r="M21" s="781"/>
      <c r="N21" s="781"/>
      <c r="O21" s="781"/>
      <c r="P21" s="783"/>
      <c r="Q21" s="781"/>
      <c r="R21" s="781"/>
      <c r="S21" s="781"/>
      <c r="T21" s="781"/>
      <c r="U21" s="784"/>
      <c r="V21" s="781"/>
      <c r="W21" s="781"/>
      <c r="X21" s="781"/>
      <c r="Y21" s="781"/>
      <c r="Z21" s="785"/>
      <c r="AA21" s="400"/>
      <c r="AB21" s="400"/>
      <c r="AC21" s="400"/>
      <c r="AD21" s="400"/>
      <c r="AE21" s="406"/>
    </row>
    <row r="22" spans="1:31" x14ac:dyDescent="0.25">
      <c r="A22" s="399">
        <v>11</v>
      </c>
      <c r="B22" s="781"/>
      <c r="C22" s="781"/>
      <c r="D22" s="781"/>
      <c r="E22" s="781"/>
      <c r="F22" s="407"/>
      <c r="G22" s="781"/>
      <c r="H22" s="781"/>
      <c r="I22" s="781"/>
      <c r="J22" s="781"/>
      <c r="K22" s="782"/>
      <c r="L22" s="781"/>
      <c r="M22" s="781"/>
      <c r="N22" s="781"/>
      <c r="O22" s="781"/>
      <c r="P22" s="783"/>
      <c r="Q22" s="781"/>
      <c r="R22" s="781"/>
      <c r="S22" s="781"/>
      <c r="T22" s="781"/>
      <c r="U22" s="784"/>
      <c r="V22" s="781"/>
      <c r="W22" s="781"/>
      <c r="X22" s="781"/>
      <c r="Y22" s="781"/>
      <c r="Z22" s="785"/>
      <c r="AA22" s="400"/>
      <c r="AB22" s="400"/>
      <c r="AC22" s="400"/>
      <c r="AD22" s="400"/>
      <c r="AE22" s="406"/>
    </row>
    <row r="23" spans="1:31" x14ac:dyDescent="0.25">
      <c r="A23" s="399">
        <v>12</v>
      </c>
      <c r="B23" s="781"/>
      <c r="C23" s="781"/>
      <c r="D23" s="781"/>
      <c r="E23" s="781"/>
      <c r="F23" s="407"/>
      <c r="G23" s="781"/>
      <c r="H23" s="781"/>
      <c r="I23" s="781"/>
      <c r="J23" s="781"/>
      <c r="K23" s="782"/>
      <c r="L23" s="781"/>
      <c r="M23" s="781"/>
      <c r="N23" s="781"/>
      <c r="O23" s="781"/>
      <c r="P23" s="783"/>
      <c r="Q23" s="781"/>
      <c r="R23" s="781"/>
      <c r="S23" s="781"/>
      <c r="T23" s="781"/>
      <c r="U23" s="784"/>
      <c r="V23" s="781"/>
      <c r="W23" s="781"/>
      <c r="X23" s="781"/>
      <c r="Y23" s="781"/>
      <c r="Z23" s="785"/>
      <c r="AA23" s="400"/>
      <c r="AB23" s="400"/>
      <c r="AC23" s="400"/>
      <c r="AD23" s="400"/>
      <c r="AE23" s="406"/>
    </row>
    <row r="24" spans="1:31" x14ac:dyDescent="0.25">
      <c r="A24" s="399">
        <v>13</v>
      </c>
      <c r="B24" s="781"/>
      <c r="C24" s="781"/>
      <c r="D24" s="781"/>
      <c r="E24" s="781"/>
      <c r="F24" s="407"/>
      <c r="G24" s="781"/>
      <c r="H24" s="781"/>
      <c r="I24" s="781"/>
      <c r="J24" s="781"/>
      <c r="K24" s="782"/>
      <c r="L24" s="781"/>
      <c r="M24" s="781"/>
      <c r="N24" s="781"/>
      <c r="O24" s="781"/>
      <c r="P24" s="783"/>
      <c r="Q24" s="781"/>
      <c r="R24" s="781"/>
      <c r="S24" s="781"/>
      <c r="T24" s="781"/>
      <c r="U24" s="784"/>
      <c r="V24" s="781"/>
      <c r="W24" s="781"/>
      <c r="X24" s="781"/>
      <c r="Y24" s="781"/>
      <c r="Z24" s="785"/>
      <c r="AA24" s="400"/>
      <c r="AB24" s="400"/>
      <c r="AC24" s="400"/>
      <c r="AD24" s="400"/>
      <c r="AE24" s="406"/>
    </row>
    <row r="25" spans="1:31" x14ac:dyDescent="0.25">
      <c r="A25" s="399">
        <v>14</v>
      </c>
      <c r="B25" s="781"/>
      <c r="C25" s="781"/>
      <c r="D25" s="781"/>
      <c r="E25" s="781"/>
      <c r="F25" s="407"/>
      <c r="G25" s="781"/>
      <c r="H25" s="781"/>
      <c r="I25" s="781"/>
      <c r="J25" s="781"/>
      <c r="K25" s="782"/>
      <c r="L25" s="781"/>
      <c r="M25" s="781"/>
      <c r="N25" s="781"/>
      <c r="O25" s="781"/>
      <c r="P25" s="783"/>
      <c r="Q25" s="781"/>
      <c r="R25" s="781"/>
      <c r="S25" s="781"/>
      <c r="T25" s="781"/>
      <c r="U25" s="784"/>
      <c r="V25" s="781"/>
      <c r="W25" s="781"/>
      <c r="X25" s="781"/>
      <c r="Y25" s="781"/>
      <c r="Z25" s="785"/>
      <c r="AA25" s="400"/>
      <c r="AB25" s="400"/>
      <c r="AC25" s="400"/>
      <c r="AD25" s="400"/>
      <c r="AE25" s="406"/>
    </row>
    <row r="26" spans="1:31" x14ac:dyDescent="0.25">
      <c r="A26" s="399">
        <v>15</v>
      </c>
      <c r="B26" s="781"/>
      <c r="C26" s="781"/>
      <c r="D26" s="781"/>
      <c r="E26" s="781"/>
      <c r="F26" s="407"/>
      <c r="G26" s="781"/>
      <c r="H26" s="781"/>
      <c r="I26" s="781"/>
      <c r="J26" s="781"/>
      <c r="K26" s="782"/>
      <c r="L26" s="781"/>
      <c r="M26" s="781"/>
      <c r="N26" s="781"/>
      <c r="O26" s="781"/>
      <c r="P26" s="783"/>
      <c r="Q26" s="781"/>
      <c r="R26" s="781"/>
      <c r="S26" s="781"/>
      <c r="T26" s="781"/>
      <c r="U26" s="784"/>
      <c r="V26" s="781"/>
      <c r="W26" s="781"/>
      <c r="X26" s="781"/>
      <c r="Y26" s="781"/>
      <c r="Z26" s="785"/>
      <c r="AA26" s="400"/>
      <c r="AB26" s="400"/>
      <c r="AC26" s="400"/>
      <c r="AD26" s="400"/>
      <c r="AE26" s="406"/>
    </row>
    <row r="27" spans="1:31" x14ac:dyDescent="0.25">
      <c r="A27" s="399">
        <v>16</v>
      </c>
      <c r="B27" s="781"/>
      <c r="C27" s="781"/>
      <c r="D27" s="781"/>
      <c r="E27" s="781"/>
      <c r="F27" s="407"/>
      <c r="G27" s="781"/>
      <c r="H27" s="781"/>
      <c r="I27" s="781"/>
      <c r="J27" s="781"/>
      <c r="K27" s="782"/>
      <c r="L27" s="781"/>
      <c r="M27" s="781"/>
      <c r="N27" s="781"/>
      <c r="O27" s="781"/>
      <c r="P27" s="783"/>
      <c r="Q27" s="781"/>
      <c r="R27" s="781"/>
      <c r="S27" s="781"/>
      <c r="T27" s="781"/>
      <c r="U27" s="784"/>
      <c r="V27" s="781"/>
      <c r="W27" s="781"/>
      <c r="X27" s="781"/>
      <c r="Y27" s="781"/>
      <c r="Z27" s="785"/>
      <c r="AA27" s="400"/>
      <c r="AB27" s="400"/>
      <c r="AC27" s="400"/>
      <c r="AD27" s="400"/>
      <c r="AE27" s="406"/>
    </row>
    <row r="28" spans="1:31" x14ac:dyDescent="0.25">
      <c r="A28" s="399">
        <v>17</v>
      </c>
      <c r="B28" s="781"/>
      <c r="C28" s="781"/>
      <c r="D28" s="781"/>
      <c r="E28" s="781"/>
      <c r="F28" s="407"/>
      <c r="G28" s="781"/>
      <c r="H28" s="781"/>
      <c r="I28" s="781"/>
      <c r="J28" s="781"/>
      <c r="K28" s="782"/>
      <c r="L28" s="781"/>
      <c r="M28" s="781"/>
      <c r="N28" s="781"/>
      <c r="O28" s="781"/>
      <c r="P28" s="783"/>
      <c r="Q28" s="781"/>
      <c r="R28" s="781"/>
      <c r="S28" s="781"/>
      <c r="T28" s="781"/>
      <c r="U28" s="784"/>
      <c r="V28" s="781"/>
      <c r="W28" s="781"/>
      <c r="X28" s="781"/>
      <c r="Y28" s="781"/>
      <c r="Z28" s="785"/>
      <c r="AA28" s="400"/>
      <c r="AB28" s="400"/>
      <c r="AC28" s="400"/>
      <c r="AD28" s="400"/>
      <c r="AE28" s="406"/>
    </row>
    <row r="29" spans="1:31" x14ac:dyDescent="0.25">
      <c r="A29" s="399">
        <v>18</v>
      </c>
      <c r="B29" s="781"/>
      <c r="C29" s="781"/>
      <c r="D29" s="781"/>
      <c r="E29" s="781"/>
      <c r="F29" s="407"/>
      <c r="G29" s="781"/>
      <c r="H29" s="781"/>
      <c r="I29" s="781"/>
      <c r="J29" s="781"/>
      <c r="K29" s="782"/>
      <c r="L29" s="781"/>
      <c r="M29" s="781"/>
      <c r="N29" s="781"/>
      <c r="O29" s="781"/>
      <c r="P29" s="783"/>
      <c r="Q29" s="781"/>
      <c r="R29" s="781"/>
      <c r="S29" s="781"/>
      <c r="T29" s="781"/>
      <c r="U29" s="784"/>
      <c r="V29" s="781"/>
      <c r="W29" s="781"/>
      <c r="X29" s="781"/>
      <c r="Y29" s="781"/>
      <c r="Z29" s="785"/>
      <c r="AA29" s="400"/>
      <c r="AB29" s="400"/>
      <c r="AC29" s="400"/>
      <c r="AD29" s="400"/>
      <c r="AE29" s="406"/>
    </row>
    <row r="30" spans="1:31" x14ac:dyDescent="0.25">
      <c r="A30" s="399">
        <v>19</v>
      </c>
      <c r="B30" s="781"/>
      <c r="C30" s="781"/>
      <c r="D30" s="781"/>
      <c r="E30" s="781"/>
      <c r="F30" s="407"/>
      <c r="G30" s="781"/>
      <c r="H30" s="781"/>
      <c r="I30" s="781"/>
      <c r="J30" s="781"/>
      <c r="K30" s="782"/>
      <c r="L30" s="781"/>
      <c r="M30" s="781"/>
      <c r="N30" s="781"/>
      <c r="O30" s="781"/>
      <c r="P30" s="783"/>
      <c r="Q30" s="781"/>
      <c r="R30" s="781"/>
      <c r="S30" s="781"/>
      <c r="T30" s="781"/>
      <c r="U30" s="784"/>
      <c r="V30" s="781"/>
      <c r="W30" s="781"/>
      <c r="X30" s="781"/>
      <c r="Y30" s="781"/>
      <c r="Z30" s="785"/>
      <c r="AA30" s="400"/>
      <c r="AB30" s="400"/>
      <c r="AC30" s="400"/>
      <c r="AD30" s="400"/>
      <c r="AE30" s="406"/>
    </row>
    <row r="31" spans="1:31" x14ac:dyDescent="0.25">
      <c r="A31" s="399">
        <v>20</v>
      </c>
      <c r="B31" s="781"/>
      <c r="C31" s="781"/>
      <c r="D31" s="781"/>
      <c r="E31" s="781"/>
      <c r="F31" s="407"/>
      <c r="G31" s="781"/>
      <c r="H31" s="781"/>
      <c r="I31" s="781"/>
      <c r="J31" s="781"/>
      <c r="K31" s="782"/>
      <c r="L31" s="781"/>
      <c r="M31" s="781"/>
      <c r="N31" s="781"/>
      <c r="O31" s="781"/>
      <c r="P31" s="783"/>
      <c r="Q31" s="781"/>
      <c r="R31" s="781"/>
      <c r="S31" s="781"/>
      <c r="T31" s="781"/>
      <c r="U31" s="784"/>
      <c r="V31" s="781"/>
      <c r="W31" s="781"/>
      <c r="X31" s="781"/>
      <c r="Y31" s="781"/>
      <c r="Z31" s="785"/>
      <c r="AA31" s="400"/>
      <c r="AB31" s="400"/>
      <c r="AC31" s="400"/>
      <c r="AD31" s="400"/>
      <c r="AE31" s="406"/>
    </row>
    <row r="32" spans="1:31" x14ac:dyDescent="0.25">
      <c r="A32" s="399">
        <v>21</v>
      </c>
      <c r="B32" s="781"/>
      <c r="C32" s="781"/>
      <c r="D32" s="781"/>
      <c r="E32" s="781"/>
      <c r="F32" s="407"/>
      <c r="G32" s="781"/>
      <c r="H32" s="781"/>
      <c r="I32" s="781"/>
      <c r="J32" s="781"/>
      <c r="K32" s="782"/>
      <c r="L32" s="781"/>
      <c r="M32" s="781"/>
      <c r="N32" s="781"/>
      <c r="O32" s="781"/>
      <c r="P32" s="783"/>
      <c r="Q32" s="781"/>
      <c r="R32" s="781"/>
      <c r="S32" s="781"/>
      <c r="T32" s="781"/>
      <c r="U32" s="784"/>
      <c r="V32" s="781"/>
      <c r="W32" s="781"/>
      <c r="X32" s="781"/>
      <c r="Y32" s="781"/>
      <c r="Z32" s="785"/>
      <c r="AA32" s="400"/>
      <c r="AB32" s="400"/>
      <c r="AC32" s="400"/>
      <c r="AD32" s="400"/>
      <c r="AE32" s="406"/>
    </row>
    <row r="33" spans="1:31" x14ac:dyDescent="0.25">
      <c r="A33" s="399">
        <v>22</v>
      </c>
      <c r="B33" s="781"/>
      <c r="C33" s="781"/>
      <c r="D33" s="781"/>
      <c r="E33" s="781"/>
      <c r="F33" s="407"/>
      <c r="G33" s="781"/>
      <c r="H33" s="781"/>
      <c r="I33" s="781"/>
      <c r="J33" s="781"/>
      <c r="K33" s="782"/>
      <c r="L33" s="781"/>
      <c r="M33" s="781"/>
      <c r="N33" s="781"/>
      <c r="O33" s="781"/>
      <c r="P33" s="783"/>
      <c r="Q33" s="781"/>
      <c r="R33" s="781"/>
      <c r="S33" s="781"/>
      <c r="T33" s="781"/>
      <c r="U33" s="784"/>
      <c r="V33" s="781"/>
      <c r="W33" s="781"/>
      <c r="X33" s="781"/>
      <c r="Y33" s="781"/>
      <c r="Z33" s="785"/>
      <c r="AA33" s="400"/>
      <c r="AB33" s="400"/>
      <c r="AC33" s="400"/>
      <c r="AD33" s="400"/>
      <c r="AE33" s="406"/>
    </row>
    <row r="34" spans="1:31" x14ac:dyDescent="0.25">
      <c r="A34" s="399">
        <v>23</v>
      </c>
      <c r="B34" s="781"/>
      <c r="C34" s="781"/>
      <c r="D34" s="781"/>
      <c r="E34" s="781"/>
      <c r="F34" s="407"/>
      <c r="G34" s="781"/>
      <c r="H34" s="781"/>
      <c r="I34" s="781"/>
      <c r="J34" s="781"/>
      <c r="K34" s="782"/>
      <c r="L34" s="781"/>
      <c r="M34" s="781"/>
      <c r="N34" s="781"/>
      <c r="O34" s="781"/>
      <c r="P34" s="783"/>
      <c r="Q34" s="781"/>
      <c r="R34" s="781"/>
      <c r="S34" s="781"/>
      <c r="T34" s="781"/>
      <c r="U34" s="784"/>
      <c r="V34" s="781"/>
      <c r="W34" s="781"/>
      <c r="X34" s="781"/>
      <c r="Y34" s="781"/>
      <c r="Z34" s="785"/>
      <c r="AA34" s="400"/>
      <c r="AB34" s="400"/>
      <c r="AC34" s="400"/>
      <c r="AD34" s="400"/>
      <c r="AE34" s="406"/>
    </row>
    <row r="35" spans="1:31" x14ac:dyDescent="0.25">
      <c r="A35" s="399">
        <v>24</v>
      </c>
      <c r="B35" s="781"/>
      <c r="C35" s="781"/>
      <c r="D35" s="781"/>
      <c r="E35" s="781"/>
      <c r="F35" s="407"/>
      <c r="G35" s="781"/>
      <c r="H35" s="781"/>
      <c r="I35" s="781"/>
      <c r="J35" s="781"/>
      <c r="K35" s="782"/>
      <c r="L35" s="781"/>
      <c r="M35" s="781"/>
      <c r="N35" s="781"/>
      <c r="O35" s="781"/>
      <c r="P35" s="783"/>
      <c r="Q35" s="781"/>
      <c r="R35" s="781"/>
      <c r="S35" s="781"/>
      <c r="T35" s="781"/>
      <c r="U35" s="784"/>
      <c r="V35" s="781"/>
      <c r="W35" s="781"/>
      <c r="X35" s="781"/>
      <c r="Y35" s="781"/>
      <c r="Z35" s="785"/>
      <c r="AA35" s="400"/>
      <c r="AB35" s="400"/>
      <c r="AC35" s="400"/>
      <c r="AD35" s="400"/>
      <c r="AE35" s="406"/>
    </row>
    <row r="36" spans="1:31" x14ac:dyDescent="0.25">
      <c r="A36" s="399">
        <v>25</v>
      </c>
      <c r="B36" s="781"/>
      <c r="C36" s="781"/>
      <c r="D36" s="781"/>
      <c r="E36" s="781"/>
      <c r="F36" s="407"/>
      <c r="G36" s="781"/>
      <c r="H36" s="781"/>
      <c r="I36" s="781"/>
      <c r="J36" s="781"/>
      <c r="K36" s="782"/>
      <c r="L36" s="781"/>
      <c r="M36" s="781"/>
      <c r="N36" s="781"/>
      <c r="O36" s="781"/>
      <c r="P36" s="783"/>
      <c r="Q36" s="781"/>
      <c r="R36" s="781"/>
      <c r="S36" s="781"/>
      <c r="T36" s="781"/>
      <c r="U36" s="784"/>
      <c r="V36" s="781"/>
      <c r="W36" s="781"/>
      <c r="X36" s="781"/>
      <c r="Y36" s="781"/>
      <c r="Z36" s="785"/>
      <c r="AA36" s="400"/>
      <c r="AB36" s="400"/>
      <c r="AC36" s="400"/>
      <c r="AD36" s="400"/>
      <c r="AE36" s="406"/>
    </row>
    <row r="37" spans="1:31" x14ac:dyDescent="0.25">
      <c r="A37" s="399">
        <v>26</v>
      </c>
      <c r="B37" s="781"/>
      <c r="C37" s="781"/>
      <c r="D37" s="781"/>
      <c r="E37" s="781"/>
      <c r="F37" s="407"/>
      <c r="G37" s="781"/>
      <c r="H37" s="781"/>
      <c r="I37" s="781"/>
      <c r="J37" s="781"/>
      <c r="K37" s="782"/>
      <c r="L37" s="781"/>
      <c r="M37" s="781"/>
      <c r="N37" s="781"/>
      <c r="O37" s="781"/>
      <c r="P37" s="783"/>
      <c r="Q37" s="781"/>
      <c r="R37" s="781"/>
      <c r="S37" s="781"/>
      <c r="T37" s="781"/>
      <c r="U37" s="784"/>
      <c r="V37" s="781"/>
      <c r="W37" s="781"/>
      <c r="X37" s="781"/>
      <c r="Y37" s="781"/>
      <c r="Z37" s="785"/>
      <c r="AA37" s="400"/>
      <c r="AB37" s="400"/>
      <c r="AC37" s="400"/>
      <c r="AD37" s="400"/>
      <c r="AE37" s="406"/>
    </row>
    <row r="38" spans="1:31" x14ac:dyDescent="0.25">
      <c r="A38" s="399">
        <v>27</v>
      </c>
      <c r="B38" s="781"/>
      <c r="C38" s="781"/>
      <c r="D38" s="781"/>
      <c r="E38" s="781"/>
      <c r="F38" s="407"/>
      <c r="G38" s="781"/>
      <c r="H38" s="781"/>
      <c r="I38" s="781"/>
      <c r="J38" s="781"/>
      <c r="K38" s="782"/>
      <c r="L38" s="781"/>
      <c r="M38" s="781"/>
      <c r="N38" s="781"/>
      <c r="O38" s="781"/>
      <c r="P38" s="783"/>
      <c r="Q38" s="781"/>
      <c r="R38" s="781"/>
      <c r="S38" s="781"/>
      <c r="T38" s="781"/>
      <c r="U38" s="784"/>
      <c r="V38" s="781"/>
      <c r="W38" s="781"/>
      <c r="X38" s="781"/>
      <c r="Y38" s="781"/>
      <c r="Z38" s="785"/>
      <c r="AA38" s="400"/>
      <c r="AB38" s="400"/>
      <c r="AC38" s="400"/>
      <c r="AD38" s="400"/>
      <c r="AE38" s="406"/>
    </row>
    <row r="39" spans="1:31" x14ac:dyDescent="0.25">
      <c r="A39" s="399">
        <v>28</v>
      </c>
      <c r="B39" s="781"/>
      <c r="C39" s="781"/>
      <c r="D39" s="781"/>
      <c r="E39" s="781"/>
      <c r="F39" s="407"/>
      <c r="G39" s="781"/>
      <c r="H39" s="781"/>
      <c r="I39" s="781"/>
      <c r="J39" s="781"/>
      <c r="K39" s="782"/>
      <c r="L39" s="781"/>
      <c r="M39" s="781"/>
      <c r="N39" s="781"/>
      <c r="O39" s="781"/>
      <c r="P39" s="783"/>
      <c r="Q39" s="781"/>
      <c r="R39" s="781"/>
      <c r="S39" s="781"/>
      <c r="T39" s="781"/>
      <c r="U39" s="784"/>
      <c r="V39" s="781"/>
      <c r="W39" s="781"/>
      <c r="X39" s="781"/>
      <c r="Y39" s="781"/>
      <c r="Z39" s="785"/>
      <c r="AA39" s="400"/>
      <c r="AB39" s="400"/>
      <c r="AC39" s="400"/>
      <c r="AD39" s="400"/>
      <c r="AE39" s="406"/>
    </row>
    <row r="40" spans="1:31" x14ac:dyDescent="0.25">
      <c r="A40" s="399">
        <v>29</v>
      </c>
      <c r="B40" s="781"/>
      <c r="C40" s="781"/>
      <c r="D40" s="781"/>
      <c r="E40" s="781"/>
      <c r="F40" s="407"/>
      <c r="G40" s="781"/>
      <c r="H40" s="781"/>
      <c r="I40" s="781"/>
      <c r="J40" s="781"/>
      <c r="K40" s="782"/>
      <c r="L40" s="781"/>
      <c r="M40" s="781"/>
      <c r="N40" s="781"/>
      <c r="O40" s="781"/>
      <c r="P40" s="783"/>
      <c r="Q40" s="781"/>
      <c r="R40" s="781"/>
      <c r="S40" s="781"/>
      <c r="T40" s="781"/>
      <c r="U40" s="784"/>
      <c r="V40" s="781"/>
      <c r="W40" s="781"/>
      <c r="X40" s="781"/>
      <c r="Y40" s="781"/>
      <c r="Z40" s="785"/>
      <c r="AA40" s="400"/>
      <c r="AB40" s="400"/>
      <c r="AC40" s="400"/>
      <c r="AD40" s="400"/>
      <c r="AE40" s="406"/>
    </row>
    <row r="41" spans="1:31" x14ac:dyDescent="0.25">
      <c r="A41" s="399">
        <v>30</v>
      </c>
      <c r="B41" s="781"/>
      <c r="C41" s="781"/>
      <c r="D41" s="781"/>
      <c r="E41" s="781"/>
      <c r="F41" s="407"/>
      <c r="G41" s="781"/>
      <c r="H41" s="781"/>
      <c r="I41" s="781"/>
      <c r="J41" s="781"/>
      <c r="K41" s="782"/>
      <c r="L41" s="781"/>
      <c r="M41" s="781"/>
      <c r="N41" s="781"/>
      <c r="O41" s="781"/>
      <c r="P41" s="783"/>
      <c r="Q41" s="781"/>
      <c r="R41" s="781"/>
      <c r="S41" s="781"/>
      <c r="T41" s="781"/>
      <c r="U41" s="784"/>
      <c r="V41" s="781"/>
      <c r="W41" s="781"/>
      <c r="X41" s="781"/>
      <c r="Y41" s="781"/>
      <c r="Z41" s="785"/>
      <c r="AA41" s="400"/>
      <c r="AB41" s="400"/>
      <c r="AC41" s="400"/>
      <c r="AD41" s="400"/>
      <c r="AE41" s="406"/>
    </row>
    <row r="42" spans="1:31" x14ac:dyDescent="0.25">
      <c r="A42" s="399">
        <v>31</v>
      </c>
      <c r="B42" s="781"/>
      <c r="C42" s="781"/>
      <c r="D42" s="781"/>
      <c r="E42" s="781"/>
      <c r="F42" s="407"/>
      <c r="G42" s="781"/>
      <c r="H42" s="781"/>
      <c r="I42" s="781"/>
      <c r="J42" s="781"/>
      <c r="K42" s="782"/>
      <c r="L42" s="781"/>
      <c r="M42" s="781"/>
      <c r="N42" s="781"/>
      <c r="O42" s="781"/>
      <c r="P42" s="783"/>
      <c r="Q42" s="781"/>
      <c r="R42" s="781"/>
      <c r="S42" s="781"/>
      <c r="T42" s="781"/>
      <c r="U42" s="784"/>
      <c r="V42" s="781"/>
      <c r="W42" s="781"/>
      <c r="X42" s="781"/>
      <c r="Y42" s="781"/>
      <c r="Z42" s="785"/>
      <c r="AA42" s="400"/>
      <c r="AB42" s="400"/>
      <c r="AC42" s="400"/>
      <c r="AD42" s="400"/>
      <c r="AE42" s="406"/>
    </row>
    <row r="43" spans="1:31" x14ac:dyDescent="0.25">
      <c r="A43" s="399">
        <v>32</v>
      </c>
      <c r="B43" s="781"/>
      <c r="C43" s="781"/>
      <c r="D43" s="781"/>
      <c r="E43" s="781"/>
      <c r="F43" s="407"/>
      <c r="G43" s="781"/>
      <c r="H43" s="781"/>
      <c r="I43" s="781"/>
      <c r="J43" s="781"/>
      <c r="K43" s="782"/>
      <c r="L43" s="781"/>
      <c r="M43" s="781"/>
      <c r="N43" s="781"/>
      <c r="O43" s="781"/>
      <c r="P43" s="783"/>
      <c r="Q43" s="781"/>
      <c r="R43" s="781"/>
      <c r="S43" s="781"/>
      <c r="T43" s="781"/>
      <c r="U43" s="784"/>
      <c r="V43" s="781"/>
      <c r="W43" s="781"/>
      <c r="X43" s="781"/>
      <c r="Y43" s="781"/>
      <c r="Z43" s="785"/>
      <c r="AA43" s="400"/>
      <c r="AB43" s="400"/>
      <c r="AC43" s="400"/>
      <c r="AD43" s="400"/>
      <c r="AE43" s="406"/>
    </row>
    <row r="44" spans="1:31" x14ac:dyDescent="0.25">
      <c r="A44" s="399">
        <v>33</v>
      </c>
      <c r="B44" s="781"/>
      <c r="C44" s="781"/>
      <c r="D44" s="781"/>
      <c r="E44" s="781"/>
      <c r="F44" s="407"/>
      <c r="G44" s="781"/>
      <c r="H44" s="781"/>
      <c r="I44" s="781"/>
      <c r="J44" s="781"/>
      <c r="K44" s="782"/>
      <c r="L44" s="781"/>
      <c r="M44" s="781"/>
      <c r="N44" s="781"/>
      <c r="O44" s="781"/>
      <c r="P44" s="783"/>
      <c r="Q44" s="781"/>
      <c r="R44" s="781"/>
      <c r="S44" s="781"/>
      <c r="T44" s="781"/>
      <c r="U44" s="784"/>
      <c r="V44" s="781"/>
      <c r="W44" s="781"/>
      <c r="X44" s="781"/>
      <c r="Y44" s="781"/>
      <c r="Z44" s="785"/>
      <c r="AA44" s="400"/>
      <c r="AB44" s="400"/>
      <c r="AC44" s="400"/>
      <c r="AD44" s="400"/>
      <c r="AE44" s="406"/>
    </row>
    <row r="45" spans="1:31" x14ac:dyDescent="0.25">
      <c r="A45" s="399">
        <v>34</v>
      </c>
      <c r="B45" s="781"/>
      <c r="C45" s="781"/>
      <c r="D45" s="781"/>
      <c r="E45" s="781"/>
      <c r="F45" s="407"/>
      <c r="G45" s="781"/>
      <c r="H45" s="781"/>
      <c r="I45" s="781"/>
      <c r="J45" s="781"/>
      <c r="K45" s="782"/>
      <c r="L45" s="781"/>
      <c r="M45" s="781"/>
      <c r="N45" s="781"/>
      <c r="O45" s="781"/>
      <c r="P45" s="783"/>
      <c r="Q45" s="781"/>
      <c r="R45" s="781"/>
      <c r="S45" s="781"/>
      <c r="T45" s="781"/>
      <c r="U45" s="784"/>
      <c r="V45" s="781"/>
      <c r="W45" s="781"/>
      <c r="X45" s="781"/>
      <c r="Y45" s="781"/>
      <c r="Z45" s="785"/>
      <c r="AA45" s="400"/>
      <c r="AB45" s="400"/>
      <c r="AC45" s="400"/>
      <c r="AD45" s="400"/>
      <c r="AE45" s="406"/>
    </row>
    <row r="46" spans="1:31" x14ac:dyDescent="0.25">
      <c r="A46" s="399">
        <v>35</v>
      </c>
      <c r="B46" s="781"/>
      <c r="C46" s="781"/>
      <c r="D46" s="781"/>
      <c r="E46" s="781"/>
      <c r="F46" s="407"/>
      <c r="G46" s="781"/>
      <c r="H46" s="781"/>
      <c r="I46" s="781"/>
      <c r="J46" s="781"/>
      <c r="K46" s="782"/>
      <c r="L46" s="781"/>
      <c r="M46" s="781"/>
      <c r="N46" s="781"/>
      <c r="O46" s="781"/>
      <c r="P46" s="783"/>
      <c r="Q46" s="781"/>
      <c r="R46" s="781"/>
      <c r="S46" s="781"/>
      <c r="T46" s="781"/>
      <c r="U46" s="784"/>
      <c r="V46" s="781"/>
      <c r="W46" s="781"/>
      <c r="X46" s="781"/>
      <c r="Y46" s="781"/>
      <c r="Z46" s="785"/>
      <c r="AA46" s="400"/>
      <c r="AB46" s="400"/>
      <c r="AC46" s="400"/>
      <c r="AD46" s="400"/>
      <c r="AE46" s="406"/>
    </row>
    <row r="47" spans="1:31" x14ac:dyDescent="0.25">
      <c r="A47" s="399">
        <v>36</v>
      </c>
      <c r="B47" s="781"/>
      <c r="C47" s="781"/>
      <c r="D47" s="781"/>
      <c r="E47" s="781"/>
      <c r="F47" s="407"/>
      <c r="G47" s="781"/>
      <c r="H47" s="781"/>
      <c r="I47" s="781"/>
      <c r="J47" s="781"/>
      <c r="K47" s="782"/>
      <c r="L47" s="781"/>
      <c r="M47" s="781"/>
      <c r="N47" s="781"/>
      <c r="O47" s="781"/>
      <c r="P47" s="783"/>
      <c r="Q47" s="781"/>
      <c r="R47" s="781"/>
      <c r="S47" s="781"/>
      <c r="T47" s="781"/>
      <c r="U47" s="784"/>
      <c r="V47" s="781"/>
      <c r="W47" s="781"/>
      <c r="X47" s="781"/>
      <c r="Y47" s="781"/>
      <c r="Z47" s="785"/>
      <c r="AA47" s="400"/>
      <c r="AB47" s="400"/>
      <c r="AC47" s="400"/>
      <c r="AD47" s="400"/>
      <c r="AE47" s="406"/>
    </row>
    <row r="48" spans="1:31" x14ac:dyDescent="0.25">
      <c r="A48" s="399">
        <v>37</v>
      </c>
      <c r="B48" s="781"/>
      <c r="C48" s="781"/>
      <c r="D48" s="781"/>
      <c r="E48" s="781"/>
      <c r="F48" s="407"/>
      <c r="G48" s="781"/>
      <c r="H48" s="781"/>
      <c r="I48" s="781"/>
      <c r="J48" s="781"/>
      <c r="K48" s="782"/>
      <c r="L48" s="781"/>
      <c r="M48" s="781"/>
      <c r="N48" s="781"/>
      <c r="O48" s="781"/>
      <c r="P48" s="783"/>
      <c r="Q48" s="781"/>
      <c r="R48" s="781"/>
      <c r="S48" s="781"/>
      <c r="T48" s="781"/>
      <c r="U48" s="784"/>
      <c r="V48" s="781"/>
      <c r="W48" s="781"/>
      <c r="X48" s="781"/>
      <c r="Y48" s="781"/>
      <c r="Z48" s="785"/>
      <c r="AA48" s="400"/>
      <c r="AB48" s="400"/>
      <c r="AC48" s="400"/>
      <c r="AD48" s="400"/>
      <c r="AE48" s="406"/>
    </row>
    <row r="49" spans="1:31" x14ac:dyDescent="0.25">
      <c r="A49" s="399">
        <v>38</v>
      </c>
      <c r="B49" s="781"/>
      <c r="C49" s="781"/>
      <c r="D49" s="781"/>
      <c r="E49" s="781"/>
      <c r="F49" s="407"/>
      <c r="G49" s="781"/>
      <c r="H49" s="781"/>
      <c r="I49" s="781"/>
      <c r="J49" s="781"/>
      <c r="K49" s="782"/>
      <c r="L49" s="781"/>
      <c r="M49" s="781"/>
      <c r="N49" s="781"/>
      <c r="O49" s="781"/>
      <c r="P49" s="783"/>
      <c r="Q49" s="781"/>
      <c r="R49" s="781"/>
      <c r="S49" s="781"/>
      <c r="T49" s="781"/>
      <c r="U49" s="784"/>
      <c r="V49" s="781"/>
      <c r="W49" s="781"/>
      <c r="X49" s="781"/>
      <c r="Y49" s="781"/>
      <c r="Z49" s="785"/>
      <c r="AA49" s="400"/>
      <c r="AB49" s="400"/>
      <c r="AC49" s="400"/>
      <c r="AD49" s="400"/>
      <c r="AE49" s="406"/>
    </row>
    <row r="50" spans="1:31" x14ac:dyDescent="0.25">
      <c r="A50" s="399">
        <v>39</v>
      </c>
      <c r="B50" s="781"/>
      <c r="C50" s="781"/>
      <c r="D50" s="781"/>
      <c r="E50" s="781"/>
      <c r="F50" s="407"/>
      <c r="G50" s="781"/>
      <c r="H50" s="781"/>
      <c r="I50" s="781"/>
      <c r="J50" s="781"/>
      <c r="K50" s="782"/>
      <c r="L50" s="781"/>
      <c r="M50" s="781"/>
      <c r="N50" s="781"/>
      <c r="O50" s="781"/>
      <c r="P50" s="783"/>
      <c r="Q50" s="781"/>
      <c r="R50" s="781"/>
      <c r="S50" s="781"/>
      <c r="T50" s="781"/>
      <c r="U50" s="784"/>
      <c r="V50" s="781"/>
      <c r="W50" s="781"/>
      <c r="X50" s="781"/>
      <c r="Y50" s="781"/>
      <c r="Z50" s="785"/>
      <c r="AA50" s="400"/>
      <c r="AB50" s="400"/>
      <c r="AC50" s="400"/>
      <c r="AD50" s="400"/>
      <c r="AE50" s="406"/>
    </row>
    <row r="51" spans="1:31" x14ac:dyDescent="0.25">
      <c r="A51" s="399">
        <v>40</v>
      </c>
      <c r="B51" s="781"/>
      <c r="C51" s="781"/>
      <c r="D51" s="781"/>
      <c r="E51" s="781"/>
      <c r="F51" s="407"/>
      <c r="G51" s="781"/>
      <c r="H51" s="781"/>
      <c r="I51" s="781"/>
      <c r="J51" s="781"/>
      <c r="K51" s="782"/>
      <c r="L51" s="781"/>
      <c r="M51" s="781"/>
      <c r="N51" s="781"/>
      <c r="O51" s="781"/>
      <c r="P51" s="783"/>
      <c r="Q51" s="781"/>
      <c r="R51" s="781"/>
      <c r="S51" s="781"/>
      <c r="T51" s="781"/>
      <c r="U51" s="784"/>
      <c r="V51" s="781"/>
      <c r="W51" s="781"/>
      <c r="X51" s="781"/>
      <c r="Y51" s="781"/>
      <c r="Z51" s="785"/>
      <c r="AA51" s="400"/>
      <c r="AB51" s="400"/>
      <c r="AC51" s="400"/>
      <c r="AD51" s="400"/>
      <c r="AE51" s="406"/>
    </row>
    <row r="52" spans="1:31" x14ac:dyDescent="0.25">
      <c r="A52" s="399">
        <v>41</v>
      </c>
      <c r="B52" s="781"/>
      <c r="C52" s="781"/>
      <c r="D52" s="781"/>
      <c r="E52" s="781"/>
      <c r="F52" s="407"/>
      <c r="G52" s="781"/>
      <c r="H52" s="781"/>
      <c r="I52" s="781"/>
      <c r="J52" s="781"/>
      <c r="K52" s="782"/>
      <c r="L52" s="781"/>
      <c r="M52" s="781"/>
      <c r="N52" s="781"/>
      <c r="O52" s="781"/>
      <c r="P52" s="783"/>
      <c r="Q52" s="781"/>
      <c r="R52" s="781"/>
      <c r="S52" s="781"/>
      <c r="T52" s="781"/>
      <c r="U52" s="784"/>
      <c r="V52" s="781"/>
      <c r="W52" s="781"/>
      <c r="X52" s="781"/>
      <c r="Y52" s="781"/>
      <c r="Z52" s="785"/>
      <c r="AA52" s="400"/>
      <c r="AB52" s="400"/>
      <c r="AC52" s="400"/>
      <c r="AD52" s="400"/>
      <c r="AE52" s="406"/>
    </row>
    <row r="53" spans="1:31" x14ac:dyDescent="0.25">
      <c r="A53" s="399">
        <v>42</v>
      </c>
      <c r="B53" s="781"/>
      <c r="C53" s="781"/>
      <c r="D53" s="781"/>
      <c r="E53" s="781"/>
      <c r="F53" s="407"/>
      <c r="G53" s="781"/>
      <c r="H53" s="781"/>
      <c r="I53" s="781"/>
      <c r="J53" s="781"/>
      <c r="K53" s="782"/>
      <c r="L53" s="781"/>
      <c r="M53" s="781"/>
      <c r="N53" s="781"/>
      <c r="O53" s="781"/>
      <c r="P53" s="783"/>
      <c r="Q53" s="781"/>
      <c r="R53" s="781"/>
      <c r="S53" s="781"/>
      <c r="T53" s="781"/>
      <c r="U53" s="784"/>
      <c r="V53" s="781"/>
      <c r="W53" s="781"/>
      <c r="X53" s="781"/>
      <c r="Y53" s="781"/>
      <c r="Z53" s="785"/>
      <c r="AA53" s="400"/>
      <c r="AB53" s="400"/>
      <c r="AC53" s="400"/>
      <c r="AD53" s="400"/>
      <c r="AE53" s="406"/>
    </row>
    <row r="54" spans="1:31" x14ac:dyDescent="0.25">
      <c r="A54" s="399">
        <v>43</v>
      </c>
      <c r="B54" s="781"/>
      <c r="C54" s="781"/>
      <c r="D54" s="781"/>
      <c r="E54" s="781"/>
      <c r="F54" s="407"/>
      <c r="G54" s="781"/>
      <c r="H54" s="781"/>
      <c r="I54" s="781"/>
      <c r="J54" s="781"/>
      <c r="K54" s="782"/>
      <c r="L54" s="781"/>
      <c r="M54" s="781"/>
      <c r="N54" s="781"/>
      <c r="O54" s="781"/>
      <c r="P54" s="783"/>
      <c r="Q54" s="781"/>
      <c r="R54" s="781"/>
      <c r="S54" s="781"/>
      <c r="T54" s="781"/>
      <c r="U54" s="784"/>
      <c r="V54" s="781"/>
      <c r="W54" s="781"/>
      <c r="X54" s="781"/>
      <c r="Y54" s="781"/>
      <c r="Z54" s="785"/>
      <c r="AA54" s="400"/>
      <c r="AB54" s="400"/>
      <c r="AC54" s="400"/>
      <c r="AD54" s="400"/>
      <c r="AE54" s="406"/>
    </row>
    <row r="55" spans="1:31" x14ac:dyDescent="0.25">
      <c r="A55" s="399">
        <v>44</v>
      </c>
      <c r="B55" s="781"/>
      <c r="C55" s="781"/>
      <c r="D55" s="781"/>
      <c r="E55" s="781"/>
      <c r="F55" s="407"/>
      <c r="G55" s="781"/>
      <c r="H55" s="781"/>
      <c r="I55" s="781"/>
      <c r="J55" s="781"/>
      <c r="K55" s="782"/>
      <c r="L55" s="781"/>
      <c r="M55" s="781"/>
      <c r="N55" s="781"/>
      <c r="O55" s="781"/>
      <c r="P55" s="783"/>
      <c r="Q55" s="781"/>
      <c r="R55" s="781"/>
      <c r="S55" s="781"/>
      <c r="T55" s="781"/>
      <c r="U55" s="784"/>
      <c r="V55" s="781"/>
      <c r="W55" s="781"/>
      <c r="X55" s="781"/>
      <c r="Y55" s="781"/>
      <c r="Z55" s="785"/>
      <c r="AA55" s="400"/>
      <c r="AB55" s="400"/>
      <c r="AC55" s="400"/>
      <c r="AD55" s="400"/>
      <c r="AE55" s="406"/>
    </row>
    <row r="56" spans="1:31" x14ac:dyDescent="0.25">
      <c r="A56" s="399">
        <v>45</v>
      </c>
      <c r="B56" s="781"/>
      <c r="C56" s="781"/>
      <c r="D56" s="781"/>
      <c r="E56" s="781"/>
      <c r="F56" s="407"/>
      <c r="G56" s="781"/>
      <c r="H56" s="781"/>
      <c r="I56" s="781"/>
      <c r="J56" s="781"/>
      <c r="K56" s="782"/>
      <c r="L56" s="781"/>
      <c r="M56" s="781"/>
      <c r="N56" s="781"/>
      <c r="O56" s="781"/>
      <c r="P56" s="783"/>
      <c r="Q56" s="781"/>
      <c r="R56" s="781"/>
      <c r="S56" s="781"/>
      <c r="T56" s="781"/>
      <c r="U56" s="784"/>
      <c r="V56" s="781"/>
      <c r="W56" s="781"/>
      <c r="X56" s="781"/>
      <c r="Y56" s="781"/>
      <c r="Z56" s="785"/>
      <c r="AA56" s="400"/>
      <c r="AB56" s="400"/>
      <c r="AC56" s="400"/>
      <c r="AD56" s="400"/>
      <c r="AE56" s="406"/>
    </row>
    <row r="57" spans="1:31" x14ac:dyDescent="0.25">
      <c r="A57" s="399">
        <v>46</v>
      </c>
      <c r="B57" s="781"/>
      <c r="C57" s="781"/>
      <c r="D57" s="781"/>
      <c r="E57" s="781"/>
      <c r="F57" s="407"/>
      <c r="G57" s="781"/>
      <c r="H57" s="781"/>
      <c r="I57" s="781"/>
      <c r="J57" s="781"/>
      <c r="K57" s="782"/>
      <c r="L57" s="781"/>
      <c r="M57" s="781"/>
      <c r="N57" s="781"/>
      <c r="O57" s="781"/>
      <c r="P57" s="783"/>
      <c r="Q57" s="781"/>
      <c r="R57" s="781"/>
      <c r="S57" s="781"/>
      <c r="T57" s="781"/>
      <c r="U57" s="784"/>
      <c r="V57" s="781"/>
      <c r="W57" s="781"/>
      <c r="X57" s="781"/>
      <c r="Y57" s="781"/>
      <c r="Z57" s="785"/>
      <c r="AA57" s="400"/>
      <c r="AB57" s="400"/>
      <c r="AC57" s="400"/>
      <c r="AD57" s="400"/>
      <c r="AE57" s="406"/>
    </row>
    <row r="58" spans="1:31" x14ac:dyDescent="0.25">
      <c r="A58" s="399">
        <v>47</v>
      </c>
      <c r="B58" s="781"/>
      <c r="C58" s="781"/>
      <c r="D58" s="781"/>
      <c r="E58" s="781"/>
      <c r="F58" s="407"/>
      <c r="G58" s="781"/>
      <c r="H58" s="781"/>
      <c r="I58" s="781"/>
      <c r="J58" s="781"/>
      <c r="K58" s="782"/>
      <c r="L58" s="781"/>
      <c r="M58" s="781"/>
      <c r="N58" s="781"/>
      <c r="O58" s="781"/>
      <c r="P58" s="783"/>
      <c r="Q58" s="781"/>
      <c r="R58" s="781"/>
      <c r="S58" s="781"/>
      <c r="T58" s="781"/>
      <c r="U58" s="784"/>
      <c r="V58" s="781"/>
      <c r="W58" s="781"/>
      <c r="X58" s="781"/>
      <c r="Y58" s="781"/>
      <c r="Z58" s="785"/>
      <c r="AA58" s="400"/>
      <c r="AB58" s="400"/>
      <c r="AC58" s="400"/>
      <c r="AD58" s="400"/>
      <c r="AE58" s="406"/>
    </row>
    <row r="59" spans="1:31" x14ac:dyDescent="0.25">
      <c r="A59" s="399">
        <v>48</v>
      </c>
      <c r="B59" s="781"/>
      <c r="C59" s="781"/>
      <c r="D59" s="781"/>
      <c r="E59" s="781"/>
      <c r="F59" s="407"/>
      <c r="G59" s="781"/>
      <c r="H59" s="781"/>
      <c r="I59" s="781"/>
      <c r="J59" s="781"/>
      <c r="K59" s="782"/>
      <c r="L59" s="781"/>
      <c r="M59" s="781"/>
      <c r="N59" s="781"/>
      <c r="O59" s="781"/>
      <c r="P59" s="783"/>
      <c r="Q59" s="781"/>
      <c r="R59" s="781"/>
      <c r="S59" s="781"/>
      <c r="T59" s="781"/>
      <c r="U59" s="784"/>
      <c r="V59" s="781"/>
      <c r="W59" s="781"/>
      <c r="X59" s="781"/>
      <c r="Y59" s="781"/>
      <c r="Z59" s="785"/>
      <c r="AA59" s="400"/>
      <c r="AB59" s="400"/>
      <c r="AC59" s="400"/>
      <c r="AD59" s="400"/>
      <c r="AE59" s="406"/>
    </row>
    <row r="60" spans="1:31" x14ac:dyDescent="0.25">
      <c r="A60" s="399">
        <v>49</v>
      </c>
      <c r="B60" s="781"/>
      <c r="C60" s="781"/>
      <c r="D60" s="781"/>
      <c r="E60" s="781"/>
      <c r="F60" s="407"/>
      <c r="G60" s="781"/>
      <c r="H60" s="781"/>
      <c r="I60" s="781"/>
      <c r="J60" s="781"/>
      <c r="K60" s="782"/>
      <c r="L60" s="781"/>
      <c r="M60" s="781"/>
      <c r="N60" s="781"/>
      <c r="O60" s="781"/>
      <c r="P60" s="783"/>
      <c r="Q60" s="781"/>
      <c r="R60" s="781"/>
      <c r="S60" s="781"/>
      <c r="T60" s="781"/>
      <c r="U60" s="784"/>
      <c r="V60" s="781"/>
      <c r="W60" s="781"/>
      <c r="X60" s="781"/>
      <c r="Y60" s="781"/>
      <c r="Z60" s="785"/>
      <c r="AA60" s="400"/>
      <c r="AB60" s="400"/>
      <c r="AC60" s="400"/>
      <c r="AD60" s="400"/>
      <c r="AE60" s="406"/>
    </row>
    <row r="61" spans="1:31" x14ac:dyDescent="0.25">
      <c r="A61" s="399">
        <v>50</v>
      </c>
      <c r="B61" s="781"/>
      <c r="C61" s="781"/>
      <c r="D61" s="781"/>
      <c r="E61" s="781"/>
      <c r="F61" s="407"/>
      <c r="G61" s="781"/>
      <c r="H61" s="781"/>
      <c r="I61" s="781"/>
      <c r="J61" s="781"/>
      <c r="K61" s="782"/>
      <c r="L61" s="781"/>
      <c r="M61" s="781"/>
      <c r="N61" s="781"/>
      <c r="O61" s="781"/>
      <c r="P61" s="783"/>
      <c r="Q61" s="781"/>
      <c r="R61" s="781"/>
      <c r="S61" s="781"/>
      <c r="T61" s="781"/>
      <c r="U61" s="784"/>
      <c r="V61" s="781"/>
      <c r="W61" s="781"/>
      <c r="X61" s="781"/>
      <c r="Y61" s="781"/>
      <c r="Z61" s="785"/>
      <c r="AA61" s="400"/>
      <c r="AB61" s="400"/>
      <c r="AC61" s="400"/>
      <c r="AD61" s="400"/>
      <c r="AE61" s="406"/>
    </row>
    <row r="62" spans="1:31" x14ac:dyDescent="0.25">
      <c r="A62" s="399">
        <v>51</v>
      </c>
      <c r="B62" s="781"/>
      <c r="C62" s="781"/>
      <c r="D62" s="781"/>
      <c r="E62" s="781"/>
      <c r="F62" s="407"/>
      <c r="G62" s="781"/>
      <c r="H62" s="781"/>
      <c r="I62" s="781"/>
      <c r="J62" s="781"/>
      <c r="K62" s="782"/>
      <c r="L62" s="781"/>
      <c r="M62" s="781"/>
      <c r="N62" s="781"/>
      <c r="O62" s="781"/>
      <c r="P62" s="783"/>
      <c r="Q62" s="781"/>
      <c r="R62" s="781"/>
      <c r="S62" s="781"/>
      <c r="T62" s="781"/>
      <c r="U62" s="784"/>
      <c r="V62" s="781"/>
      <c r="W62" s="781"/>
      <c r="X62" s="781"/>
      <c r="Y62" s="781"/>
      <c r="Z62" s="785"/>
      <c r="AA62" s="400"/>
      <c r="AB62" s="400"/>
      <c r="AC62" s="400"/>
      <c r="AD62" s="400"/>
      <c r="AE62" s="406"/>
    </row>
    <row r="63" spans="1:31" x14ac:dyDescent="0.25">
      <c r="A63" s="399">
        <v>52</v>
      </c>
      <c r="B63" s="781"/>
      <c r="C63" s="781"/>
      <c r="D63" s="781"/>
      <c r="E63" s="781"/>
      <c r="F63" s="407"/>
      <c r="G63" s="781"/>
      <c r="H63" s="781"/>
      <c r="I63" s="781"/>
      <c r="J63" s="781"/>
      <c r="K63" s="782"/>
      <c r="L63" s="781"/>
      <c r="M63" s="781"/>
      <c r="N63" s="781"/>
      <c r="O63" s="781"/>
      <c r="P63" s="783"/>
      <c r="Q63" s="781"/>
      <c r="R63" s="781"/>
      <c r="S63" s="781"/>
      <c r="T63" s="781"/>
      <c r="U63" s="784"/>
      <c r="V63" s="781"/>
      <c r="W63" s="781"/>
      <c r="X63" s="781"/>
      <c r="Y63" s="781"/>
      <c r="Z63" s="785"/>
      <c r="AA63" s="400"/>
      <c r="AB63" s="400"/>
      <c r="AC63" s="400"/>
      <c r="AD63" s="400"/>
      <c r="AE63" s="406"/>
    </row>
    <row r="64" spans="1:31" x14ac:dyDescent="0.25">
      <c r="A64" s="399">
        <v>53</v>
      </c>
      <c r="B64" s="781"/>
      <c r="C64" s="781"/>
      <c r="D64" s="781"/>
      <c r="E64" s="781"/>
      <c r="F64" s="407"/>
      <c r="G64" s="781"/>
      <c r="H64" s="781"/>
      <c r="I64" s="781"/>
      <c r="J64" s="781"/>
      <c r="K64" s="782"/>
      <c r="L64" s="781"/>
      <c r="M64" s="781"/>
      <c r="N64" s="781"/>
      <c r="O64" s="781"/>
      <c r="P64" s="783"/>
      <c r="Q64" s="781"/>
      <c r="R64" s="781"/>
      <c r="S64" s="781"/>
      <c r="T64" s="781"/>
      <c r="U64" s="784"/>
      <c r="V64" s="781"/>
      <c r="W64" s="781"/>
      <c r="X64" s="781"/>
      <c r="Y64" s="781"/>
      <c r="Z64" s="785"/>
      <c r="AA64" s="400"/>
      <c r="AB64" s="400"/>
      <c r="AC64" s="400"/>
      <c r="AD64" s="400"/>
      <c r="AE64" s="406"/>
    </row>
    <row r="65" spans="1:31" x14ac:dyDescent="0.25">
      <c r="A65" s="399">
        <v>54</v>
      </c>
      <c r="B65" s="781"/>
      <c r="C65" s="781"/>
      <c r="D65" s="781"/>
      <c r="E65" s="781"/>
      <c r="F65" s="407"/>
      <c r="G65" s="781"/>
      <c r="H65" s="781"/>
      <c r="I65" s="781"/>
      <c r="J65" s="781"/>
      <c r="K65" s="782"/>
      <c r="L65" s="781"/>
      <c r="M65" s="781"/>
      <c r="N65" s="781"/>
      <c r="O65" s="781"/>
      <c r="P65" s="783"/>
      <c r="Q65" s="781"/>
      <c r="R65" s="781"/>
      <c r="S65" s="781"/>
      <c r="T65" s="781"/>
      <c r="U65" s="784"/>
      <c r="V65" s="781"/>
      <c r="W65" s="781"/>
      <c r="X65" s="781"/>
      <c r="Y65" s="781"/>
      <c r="Z65" s="785"/>
      <c r="AA65" s="400"/>
      <c r="AB65" s="400"/>
      <c r="AC65" s="400"/>
      <c r="AD65" s="400"/>
      <c r="AE65" s="406"/>
    </row>
    <row r="66" spans="1:31" x14ac:dyDescent="0.25">
      <c r="A66" s="399">
        <v>55</v>
      </c>
      <c r="B66" s="781"/>
      <c r="C66" s="781"/>
      <c r="D66" s="781"/>
      <c r="E66" s="781"/>
      <c r="F66" s="407"/>
      <c r="G66" s="781"/>
      <c r="H66" s="781"/>
      <c r="I66" s="781"/>
      <c r="J66" s="781"/>
      <c r="K66" s="782"/>
      <c r="L66" s="781"/>
      <c r="M66" s="781"/>
      <c r="N66" s="781"/>
      <c r="O66" s="781"/>
      <c r="P66" s="783"/>
      <c r="Q66" s="781"/>
      <c r="R66" s="781"/>
      <c r="S66" s="781"/>
      <c r="T66" s="781"/>
      <c r="U66" s="784"/>
      <c r="V66" s="781"/>
      <c r="W66" s="781"/>
      <c r="X66" s="781"/>
      <c r="Y66" s="781"/>
      <c r="Z66" s="785"/>
      <c r="AA66" s="400"/>
      <c r="AB66" s="400"/>
      <c r="AC66" s="400"/>
      <c r="AD66" s="400"/>
      <c r="AE66" s="406"/>
    </row>
    <row r="67" spans="1:31" x14ac:dyDescent="0.25">
      <c r="A67" s="399">
        <v>56</v>
      </c>
      <c r="B67" s="781"/>
      <c r="C67" s="781"/>
      <c r="D67" s="781"/>
      <c r="E67" s="781"/>
      <c r="F67" s="407"/>
      <c r="G67" s="781"/>
      <c r="H67" s="781"/>
      <c r="I67" s="781"/>
      <c r="J67" s="781"/>
      <c r="K67" s="782"/>
      <c r="L67" s="781"/>
      <c r="M67" s="781"/>
      <c r="N67" s="781"/>
      <c r="O67" s="781"/>
      <c r="P67" s="783"/>
      <c r="Q67" s="781"/>
      <c r="R67" s="781"/>
      <c r="S67" s="781"/>
      <c r="T67" s="781"/>
      <c r="U67" s="784"/>
      <c r="V67" s="781"/>
      <c r="W67" s="781"/>
      <c r="X67" s="781"/>
      <c r="Y67" s="781"/>
      <c r="Z67" s="785"/>
      <c r="AA67" s="400"/>
      <c r="AB67" s="400"/>
      <c r="AC67" s="400"/>
      <c r="AD67" s="400"/>
      <c r="AE67" s="406"/>
    </row>
    <row r="68" spans="1:31" x14ac:dyDescent="0.25">
      <c r="A68" s="399">
        <v>57</v>
      </c>
      <c r="B68" s="781"/>
      <c r="C68" s="781"/>
      <c r="D68" s="781"/>
      <c r="E68" s="781"/>
      <c r="F68" s="407"/>
      <c r="G68" s="781"/>
      <c r="H68" s="781"/>
      <c r="I68" s="781"/>
      <c r="J68" s="781"/>
      <c r="K68" s="782"/>
      <c r="L68" s="781"/>
      <c r="M68" s="781"/>
      <c r="N68" s="781"/>
      <c r="O68" s="781"/>
      <c r="P68" s="783"/>
      <c r="Q68" s="781"/>
      <c r="R68" s="781"/>
      <c r="S68" s="781"/>
      <c r="T68" s="781"/>
      <c r="U68" s="784"/>
      <c r="V68" s="781"/>
      <c r="W68" s="781"/>
      <c r="X68" s="781"/>
      <c r="Y68" s="781"/>
      <c r="Z68" s="785"/>
      <c r="AA68" s="400"/>
      <c r="AB68" s="400"/>
      <c r="AC68" s="400"/>
      <c r="AD68" s="400"/>
      <c r="AE68" s="406"/>
    </row>
    <row r="69" spans="1:31" x14ac:dyDescent="0.25">
      <c r="A69" s="399">
        <v>58</v>
      </c>
      <c r="B69" s="781"/>
      <c r="C69" s="781"/>
      <c r="D69" s="781"/>
      <c r="E69" s="781"/>
      <c r="F69" s="407"/>
      <c r="G69" s="781"/>
      <c r="H69" s="781"/>
      <c r="I69" s="781"/>
      <c r="J69" s="781"/>
      <c r="K69" s="782"/>
      <c r="L69" s="781"/>
      <c r="M69" s="781"/>
      <c r="N69" s="781"/>
      <c r="O69" s="781"/>
      <c r="P69" s="783"/>
      <c r="Q69" s="781"/>
      <c r="R69" s="781"/>
      <c r="S69" s="781"/>
      <c r="T69" s="781"/>
      <c r="U69" s="784"/>
      <c r="V69" s="781"/>
      <c r="W69" s="781"/>
      <c r="X69" s="781"/>
      <c r="Y69" s="781"/>
      <c r="Z69" s="785"/>
      <c r="AA69" s="400"/>
      <c r="AB69" s="400"/>
      <c r="AC69" s="400"/>
      <c r="AD69" s="400"/>
      <c r="AE69" s="406"/>
    </row>
    <row r="70" spans="1:31" x14ac:dyDescent="0.25">
      <c r="A70" s="399">
        <v>59</v>
      </c>
      <c r="B70" s="781"/>
      <c r="C70" s="781"/>
      <c r="D70" s="781"/>
      <c r="E70" s="781"/>
      <c r="F70" s="407"/>
      <c r="G70" s="781"/>
      <c r="H70" s="781"/>
      <c r="I70" s="781"/>
      <c r="J70" s="781"/>
      <c r="K70" s="782"/>
      <c r="L70" s="781"/>
      <c r="M70" s="781"/>
      <c r="N70" s="781"/>
      <c r="O70" s="781"/>
      <c r="P70" s="783"/>
      <c r="Q70" s="781"/>
      <c r="R70" s="781"/>
      <c r="S70" s="781"/>
      <c r="T70" s="781"/>
      <c r="U70" s="784"/>
      <c r="V70" s="781"/>
      <c r="W70" s="781"/>
      <c r="X70" s="781"/>
      <c r="Y70" s="781"/>
      <c r="Z70" s="785"/>
      <c r="AA70" s="400"/>
      <c r="AB70" s="400"/>
      <c r="AC70" s="400"/>
      <c r="AD70" s="400"/>
      <c r="AE70" s="406"/>
    </row>
    <row r="71" spans="1:31" x14ac:dyDescent="0.25">
      <c r="A71" s="399">
        <v>60</v>
      </c>
      <c r="B71" s="781"/>
      <c r="C71" s="781"/>
      <c r="D71" s="781"/>
      <c r="E71" s="781"/>
      <c r="F71" s="407"/>
      <c r="G71" s="781"/>
      <c r="H71" s="781"/>
      <c r="I71" s="781"/>
      <c r="J71" s="781"/>
      <c r="K71" s="782"/>
      <c r="L71" s="781"/>
      <c r="M71" s="781"/>
      <c r="N71" s="781"/>
      <c r="O71" s="781"/>
      <c r="P71" s="783"/>
      <c r="Q71" s="781"/>
      <c r="R71" s="781"/>
      <c r="S71" s="781"/>
      <c r="T71" s="781"/>
      <c r="U71" s="784"/>
      <c r="V71" s="781"/>
      <c r="W71" s="781"/>
      <c r="X71" s="781"/>
      <c r="Y71" s="781"/>
      <c r="Z71" s="785"/>
      <c r="AA71" s="400"/>
      <c r="AB71" s="400"/>
      <c r="AC71" s="400"/>
      <c r="AD71" s="400"/>
      <c r="AE71" s="406"/>
    </row>
    <row r="72" spans="1:31" x14ac:dyDescent="0.25">
      <c r="A72" s="399">
        <v>61</v>
      </c>
      <c r="B72" s="781"/>
      <c r="C72" s="781"/>
      <c r="D72" s="781"/>
      <c r="E72" s="781"/>
      <c r="F72" s="407"/>
      <c r="G72" s="781"/>
      <c r="H72" s="781"/>
      <c r="I72" s="781"/>
      <c r="J72" s="781"/>
      <c r="K72" s="782"/>
      <c r="L72" s="781"/>
      <c r="M72" s="781"/>
      <c r="N72" s="781"/>
      <c r="O72" s="781"/>
      <c r="P72" s="783"/>
      <c r="Q72" s="781"/>
      <c r="R72" s="781"/>
      <c r="S72" s="781"/>
      <c r="T72" s="781"/>
      <c r="U72" s="784"/>
      <c r="V72" s="781"/>
      <c r="W72" s="781"/>
      <c r="X72" s="781"/>
      <c r="Y72" s="781"/>
      <c r="Z72" s="785"/>
      <c r="AA72" s="400"/>
      <c r="AB72" s="400"/>
      <c r="AC72" s="400"/>
      <c r="AD72" s="400"/>
      <c r="AE72" s="406"/>
    </row>
    <row r="73" spans="1:31" x14ac:dyDescent="0.25">
      <c r="A73" s="399">
        <v>62</v>
      </c>
      <c r="B73" s="781"/>
      <c r="C73" s="781"/>
      <c r="D73" s="781"/>
      <c r="E73" s="781"/>
      <c r="F73" s="407"/>
      <c r="G73" s="781"/>
      <c r="H73" s="781"/>
      <c r="I73" s="781"/>
      <c r="J73" s="781"/>
      <c r="K73" s="782"/>
      <c r="L73" s="781"/>
      <c r="M73" s="781"/>
      <c r="N73" s="781"/>
      <c r="O73" s="781"/>
      <c r="P73" s="783"/>
      <c r="Q73" s="781"/>
      <c r="R73" s="781"/>
      <c r="S73" s="781"/>
      <c r="T73" s="781"/>
      <c r="U73" s="784"/>
      <c r="V73" s="781"/>
      <c r="W73" s="781"/>
      <c r="X73" s="781"/>
      <c r="Y73" s="781"/>
      <c r="Z73" s="785"/>
      <c r="AA73" s="400"/>
      <c r="AB73" s="400"/>
      <c r="AC73" s="400"/>
      <c r="AD73" s="400"/>
      <c r="AE73" s="406"/>
    </row>
    <row r="74" spans="1:31" x14ac:dyDescent="0.25">
      <c r="A74" s="399">
        <v>63</v>
      </c>
      <c r="B74" s="781"/>
      <c r="C74" s="781"/>
      <c r="D74" s="781"/>
      <c r="E74" s="781"/>
      <c r="F74" s="407"/>
      <c r="G74" s="781"/>
      <c r="H74" s="781"/>
      <c r="I74" s="781"/>
      <c r="J74" s="781"/>
      <c r="K74" s="782"/>
      <c r="L74" s="781"/>
      <c r="M74" s="781"/>
      <c r="N74" s="781"/>
      <c r="O74" s="781"/>
      <c r="P74" s="783"/>
      <c r="Q74" s="781"/>
      <c r="R74" s="781"/>
      <c r="S74" s="781"/>
      <c r="T74" s="781"/>
      <c r="U74" s="784"/>
      <c r="V74" s="781"/>
      <c r="W74" s="781"/>
      <c r="X74" s="781"/>
      <c r="Y74" s="781"/>
      <c r="Z74" s="785"/>
      <c r="AA74" s="400"/>
      <c r="AB74" s="400"/>
      <c r="AC74" s="400"/>
      <c r="AD74" s="400"/>
      <c r="AE74" s="406"/>
    </row>
    <row r="75" spans="1:31" x14ac:dyDescent="0.25">
      <c r="A75" s="399">
        <v>64</v>
      </c>
      <c r="B75" s="781"/>
      <c r="C75" s="781"/>
      <c r="D75" s="781"/>
      <c r="E75" s="781"/>
      <c r="F75" s="407"/>
      <c r="G75" s="781"/>
      <c r="H75" s="781"/>
      <c r="I75" s="781"/>
      <c r="J75" s="781"/>
      <c r="K75" s="782"/>
      <c r="L75" s="781"/>
      <c r="M75" s="781"/>
      <c r="N75" s="781"/>
      <c r="O75" s="781"/>
      <c r="P75" s="783"/>
      <c r="Q75" s="781"/>
      <c r="R75" s="781"/>
      <c r="S75" s="781"/>
      <c r="T75" s="781"/>
      <c r="U75" s="784"/>
      <c r="V75" s="781"/>
      <c r="W75" s="781"/>
      <c r="X75" s="781"/>
      <c r="Y75" s="781"/>
      <c r="Z75" s="785"/>
      <c r="AA75" s="400"/>
      <c r="AB75" s="400"/>
      <c r="AC75" s="400"/>
      <c r="AD75" s="400"/>
      <c r="AE75" s="406"/>
    </row>
    <row r="76" spans="1:31" x14ac:dyDescent="0.25">
      <c r="A76" s="399">
        <v>65</v>
      </c>
      <c r="B76" s="781"/>
      <c r="C76" s="781"/>
      <c r="D76" s="781"/>
      <c r="E76" s="781"/>
      <c r="F76" s="407"/>
      <c r="G76" s="781"/>
      <c r="H76" s="781"/>
      <c r="I76" s="781"/>
      <c r="J76" s="781"/>
      <c r="K76" s="782"/>
      <c r="L76" s="781"/>
      <c r="M76" s="781"/>
      <c r="N76" s="781"/>
      <c r="O76" s="781"/>
      <c r="P76" s="783"/>
      <c r="Q76" s="781"/>
      <c r="R76" s="781"/>
      <c r="S76" s="781"/>
      <c r="T76" s="781"/>
      <c r="U76" s="784"/>
      <c r="V76" s="781"/>
      <c r="W76" s="781"/>
      <c r="X76" s="781"/>
      <c r="Y76" s="781"/>
      <c r="Z76" s="785"/>
      <c r="AA76" s="400"/>
      <c r="AB76" s="400"/>
      <c r="AC76" s="400"/>
      <c r="AD76" s="400"/>
      <c r="AE76" s="406"/>
    </row>
    <row r="77" spans="1:31" x14ac:dyDescent="0.25">
      <c r="A77" s="399">
        <v>66</v>
      </c>
      <c r="B77" s="781"/>
      <c r="C77" s="781"/>
      <c r="D77" s="781"/>
      <c r="E77" s="781"/>
      <c r="F77" s="407"/>
      <c r="G77" s="781"/>
      <c r="H77" s="781"/>
      <c r="I77" s="781"/>
      <c r="J77" s="781"/>
      <c r="K77" s="782"/>
      <c r="L77" s="781"/>
      <c r="M77" s="781"/>
      <c r="N77" s="781"/>
      <c r="O77" s="781"/>
      <c r="P77" s="783"/>
      <c r="Q77" s="781"/>
      <c r="R77" s="781"/>
      <c r="S77" s="781"/>
      <c r="T77" s="781"/>
      <c r="U77" s="784"/>
      <c r="V77" s="781"/>
      <c r="W77" s="781"/>
      <c r="X77" s="781"/>
      <c r="Y77" s="781"/>
      <c r="Z77" s="785"/>
      <c r="AA77" s="400"/>
      <c r="AB77" s="400"/>
      <c r="AC77" s="400"/>
      <c r="AD77" s="400"/>
      <c r="AE77" s="406"/>
    </row>
    <row r="78" spans="1:31" x14ac:dyDescent="0.25">
      <c r="A78" s="399">
        <v>67</v>
      </c>
      <c r="B78" s="781"/>
      <c r="C78" s="781"/>
      <c r="D78" s="781"/>
      <c r="E78" s="781"/>
      <c r="F78" s="407"/>
      <c r="G78" s="781"/>
      <c r="H78" s="781"/>
      <c r="I78" s="781"/>
      <c r="J78" s="781"/>
      <c r="K78" s="782"/>
      <c r="L78" s="781"/>
      <c r="M78" s="781"/>
      <c r="N78" s="781"/>
      <c r="O78" s="781"/>
      <c r="P78" s="783"/>
      <c r="Q78" s="781"/>
      <c r="R78" s="781"/>
      <c r="S78" s="781"/>
      <c r="T78" s="781"/>
      <c r="U78" s="784"/>
      <c r="V78" s="781"/>
      <c r="W78" s="781"/>
      <c r="X78" s="781"/>
      <c r="Y78" s="781"/>
      <c r="Z78" s="785"/>
      <c r="AA78" s="400"/>
      <c r="AB78" s="400"/>
      <c r="AC78" s="400"/>
      <c r="AD78" s="400"/>
      <c r="AE78" s="406"/>
    </row>
    <row r="79" spans="1:31" x14ac:dyDescent="0.25">
      <c r="A79" s="399">
        <v>68</v>
      </c>
      <c r="B79" s="781"/>
      <c r="C79" s="781"/>
      <c r="D79" s="781"/>
      <c r="E79" s="781"/>
      <c r="F79" s="407"/>
      <c r="G79" s="781"/>
      <c r="H79" s="781"/>
      <c r="I79" s="781"/>
      <c r="J79" s="781"/>
      <c r="K79" s="782"/>
      <c r="L79" s="781"/>
      <c r="M79" s="781"/>
      <c r="N79" s="781"/>
      <c r="O79" s="781"/>
      <c r="P79" s="783"/>
      <c r="Q79" s="781"/>
      <c r="R79" s="781"/>
      <c r="S79" s="781"/>
      <c r="T79" s="781"/>
      <c r="U79" s="784"/>
      <c r="V79" s="781"/>
      <c r="W79" s="781"/>
      <c r="X79" s="781"/>
      <c r="Y79" s="781"/>
      <c r="Z79" s="785"/>
      <c r="AA79" s="400"/>
      <c r="AB79" s="400"/>
      <c r="AC79" s="400"/>
      <c r="AD79" s="400"/>
      <c r="AE79" s="406"/>
    </row>
    <row r="80" spans="1:31" x14ac:dyDescent="0.25">
      <c r="A80" s="399">
        <v>69</v>
      </c>
      <c r="B80" s="781"/>
      <c r="C80" s="781"/>
      <c r="D80" s="781"/>
      <c r="E80" s="781"/>
      <c r="F80" s="407"/>
      <c r="G80" s="781"/>
      <c r="H80" s="781"/>
      <c r="I80" s="781"/>
      <c r="J80" s="781"/>
      <c r="K80" s="782"/>
      <c r="L80" s="781"/>
      <c r="M80" s="781"/>
      <c r="N80" s="781"/>
      <c r="O80" s="781"/>
      <c r="P80" s="783"/>
      <c r="Q80" s="781"/>
      <c r="R80" s="781"/>
      <c r="S80" s="781"/>
      <c r="T80" s="781"/>
      <c r="U80" s="784"/>
      <c r="V80" s="781"/>
      <c r="W80" s="781"/>
      <c r="X80" s="781"/>
      <c r="Y80" s="781"/>
      <c r="Z80" s="785"/>
      <c r="AA80" s="400"/>
      <c r="AB80" s="400"/>
      <c r="AC80" s="400"/>
      <c r="AD80" s="400"/>
      <c r="AE80" s="406"/>
    </row>
    <row r="81" spans="1:31" x14ac:dyDescent="0.25">
      <c r="A81" s="399">
        <v>70</v>
      </c>
      <c r="B81" s="781"/>
      <c r="C81" s="781"/>
      <c r="D81" s="781"/>
      <c r="E81" s="781"/>
      <c r="F81" s="407"/>
      <c r="G81" s="781"/>
      <c r="H81" s="781"/>
      <c r="I81" s="781"/>
      <c r="J81" s="781"/>
      <c r="K81" s="782"/>
      <c r="L81" s="781"/>
      <c r="M81" s="781"/>
      <c r="N81" s="781"/>
      <c r="O81" s="781"/>
      <c r="P81" s="783"/>
      <c r="Q81" s="781"/>
      <c r="R81" s="781"/>
      <c r="S81" s="781"/>
      <c r="T81" s="781"/>
      <c r="U81" s="784"/>
      <c r="V81" s="781"/>
      <c r="W81" s="781"/>
      <c r="X81" s="781"/>
      <c r="Y81" s="781"/>
      <c r="Z81" s="785"/>
      <c r="AA81" s="400"/>
      <c r="AB81" s="400"/>
      <c r="AC81" s="400"/>
      <c r="AD81" s="400"/>
      <c r="AE81" s="406"/>
    </row>
    <row r="82" spans="1:31" x14ac:dyDescent="0.25">
      <c r="A82" s="399">
        <v>71</v>
      </c>
      <c r="B82" s="781"/>
      <c r="C82" s="781"/>
      <c r="D82" s="781"/>
      <c r="E82" s="781"/>
      <c r="F82" s="407"/>
      <c r="G82" s="781"/>
      <c r="H82" s="781"/>
      <c r="I82" s="781"/>
      <c r="J82" s="781"/>
      <c r="K82" s="782"/>
      <c r="L82" s="781"/>
      <c r="M82" s="781"/>
      <c r="N82" s="781"/>
      <c r="O82" s="781"/>
      <c r="P82" s="783"/>
      <c r="Q82" s="781"/>
      <c r="R82" s="781"/>
      <c r="S82" s="781"/>
      <c r="T82" s="781"/>
      <c r="U82" s="784"/>
      <c r="V82" s="781"/>
      <c r="W82" s="781"/>
      <c r="X82" s="781"/>
      <c r="Y82" s="781"/>
      <c r="Z82" s="785"/>
      <c r="AA82" s="400"/>
      <c r="AB82" s="400"/>
      <c r="AC82" s="400"/>
      <c r="AD82" s="400"/>
      <c r="AE82" s="406"/>
    </row>
    <row r="83" spans="1:31" x14ac:dyDescent="0.25">
      <c r="A83" s="399">
        <v>72</v>
      </c>
      <c r="B83" s="781"/>
      <c r="C83" s="781"/>
      <c r="D83" s="781"/>
      <c r="E83" s="781"/>
      <c r="F83" s="407"/>
      <c r="G83" s="781"/>
      <c r="H83" s="781"/>
      <c r="I83" s="781"/>
      <c r="J83" s="781"/>
      <c r="K83" s="782"/>
      <c r="L83" s="781"/>
      <c r="M83" s="781"/>
      <c r="N83" s="781"/>
      <c r="O83" s="781"/>
      <c r="P83" s="783"/>
      <c r="Q83" s="781"/>
      <c r="R83" s="781"/>
      <c r="S83" s="781"/>
      <c r="T83" s="781"/>
      <c r="U83" s="784"/>
      <c r="V83" s="781"/>
      <c r="W83" s="781"/>
      <c r="X83" s="781"/>
      <c r="Y83" s="781"/>
      <c r="Z83" s="785"/>
      <c r="AA83" s="400"/>
      <c r="AB83" s="400"/>
      <c r="AC83" s="400"/>
      <c r="AD83" s="400"/>
      <c r="AE83" s="406"/>
    </row>
    <row r="84" spans="1:31" x14ac:dyDescent="0.25">
      <c r="A84" s="399">
        <v>73</v>
      </c>
      <c r="B84" s="781"/>
      <c r="C84" s="781"/>
      <c r="D84" s="781"/>
      <c r="E84" s="781"/>
      <c r="F84" s="407"/>
      <c r="G84" s="781"/>
      <c r="H84" s="781"/>
      <c r="I84" s="781"/>
      <c r="J84" s="781"/>
      <c r="K84" s="782"/>
      <c r="L84" s="781"/>
      <c r="M84" s="781"/>
      <c r="N84" s="781"/>
      <c r="O84" s="781"/>
      <c r="P84" s="783"/>
      <c r="Q84" s="781"/>
      <c r="R84" s="781"/>
      <c r="S84" s="781"/>
      <c r="T84" s="781"/>
      <c r="U84" s="784"/>
      <c r="V84" s="781"/>
      <c r="W84" s="781"/>
      <c r="X84" s="781"/>
      <c r="Y84" s="781"/>
      <c r="Z84" s="785"/>
      <c r="AA84" s="400"/>
      <c r="AB84" s="400"/>
      <c r="AC84" s="400"/>
      <c r="AD84" s="400"/>
      <c r="AE84" s="406"/>
    </row>
    <row r="85" spans="1:31" x14ac:dyDescent="0.25">
      <c r="A85" s="399">
        <v>74</v>
      </c>
      <c r="B85" s="781"/>
      <c r="C85" s="781"/>
      <c r="D85" s="781"/>
      <c r="E85" s="781"/>
      <c r="F85" s="407"/>
      <c r="G85" s="781"/>
      <c r="H85" s="781"/>
      <c r="I85" s="781"/>
      <c r="J85" s="781"/>
      <c r="K85" s="782"/>
      <c r="L85" s="781"/>
      <c r="M85" s="781"/>
      <c r="N85" s="781"/>
      <c r="O85" s="781"/>
      <c r="P85" s="783"/>
      <c r="Q85" s="781"/>
      <c r="R85" s="781"/>
      <c r="S85" s="781"/>
      <c r="T85" s="781"/>
      <c r="U85" s="784"/>
      <c r="V85" s="781"/>
      <c r="W85" s="781"/>
      <c r="X85" s="781"/>
      <c r="Y85" s="781"/>
      <c r="Z85" s="785"/>
      <c r="AA85" s="400"/>
      <c r="AB85" s="400"/>
      <c r="AC85" s="400"/>
      <c r="AD85" s="400"/>
      <c r="AE85" s="406"/>
    </row>
    <row r="86" spans="1:31" x14ac:dyDescent="0.25">
      <c r="A86" s="399">
        <v>75</v>
      </c>
      <c r="B86" s="781"/>
      <c r="C86" s="781"/>
      <c r="D86" s="781"/>
      <c r="E86" s="781"/>
      <c r="F86" s="407"/>
      <c r="G86" s="781"/>
      <c r="H86" s="781"/>
      <c r="I86" s="781"/>
      <c r="J86" s="781"/>
      <c r="K86" s="782"/>
      <c r="L86" s="781"/>
      <c r="M86" s="781"/>
      <c r="N86" s="781"/>
      <c r="O86" s="781"/>
      <c r="P86" s="783"/>
      <c r="Q86" s="781"/>
      <c r="R86" s="781"/>
      <c r="S86" s="781"/>
      <c r="T86" s="781"/>
      <c r="U86" s="784"/>
      <c r="V86" s="781"/>
      <c r="W86" s="781"/>
      <c r="X86" s="781"/>
      <c r="Y86" s="781"/>
      <c r="Z86" s="785"/>
      <c r="AA86" s="400"/>
      <c r="AB86" s="400"/>
      <c r="AC86" s="400"/>
      <c r="AD86" s="400"/>
      <c r="AE86" s="406"/>
    </row>
    <row r="87" spans="1:31" x14ac:dyDescent="0.25">
      <c r="A87" s="399">
        <v>76</v>
      </c>
      <c r="B87" s="781"/>
      <c r="C87" s="781"/>
      <c r="D87" s="781"/>
      <c r="E87" s="781"/>
      <c r="F87" s="407"/>
      <c r="G87" s="781"/>
      <c r="H87" s="781"/>
      <c r="I87" s="781"/>
      <c r="J87" s="781"/>
      <c r="K87" s="782"/>
      <c r="L87" s="781"/>
      <c r="M87" s="781"/>
      <c r="N87" s="781"/>
      <c r="O87" s="781"/>
      <c r="P87" s="783"/>
      <c r="Q87" s="781"/>
      <c r="R87" s="781"/>
      <c r="S87" s="781"/>
      <c r="T87" s="781"/>
      <c r="U87" s="784"/>
      <c r="V87" s="781"/>
      <c r="W87" s="781"/>
      <c r="X87" s="781"/>
      <c r="Y87" s="781"/>
      <c r="Z87" s="785"/>
      <c r="AA87" s="400"/>
      <c r="AB87" s="400"/>
      <c r="AC87" s="400"/>
      <c r="AD87" s="400"/>
      <c r="AE87" s="406"/>
    </row>
    <row r="88" spans="1:31" x14ac:dyDescent="0.25">
      <c r="A88" s="399">
        <v>77</v>
      </c>
      <c r="B88" s="781"/>
      <c r="C88" s="781"/>
      <c r="D88" s="781"/>
      <c r="E88" s="781"/>
      <c r="F88" s="407"/>
      <c r="G88" s="781"/>
      <c r="H88" s="781"/>
      <c r="I88" s="781"/>
      <c r="J88" s="781"/>
      <c r="K88" s="782"/>
      <c r="L88" s="781"/>
      <c r="M88" s="781"/>
      <c r="N88" s="781"/>
      <c r="O88" s="781"/>
      <c r="P88" s="783"/>
      <c r="Q88" s="781"/>
      <c r="R88" s="781"/>
      <c r="S88" s="781"/>
      <c r="T88" s="781"/>
      <c r="U88" s="784"/>
      <c r="V88" s="781"/>
      <c r="W88" s="781"/>
      <c r="X88" s="781"/>
      <c r="Y88" s="781"/>
      <c r="Z88" s="785"/>
      <c r="AA88" s="400"/>
      <c r="AB88" s="400"/>
      <c r="AC88" s="400"/>
      <c r="AD88" s="400"/>
      <c r="AE88" s="406"/>
    </row>
    <row r="89" spans="1:31" x14ac:dyDescent="0.25">
      <c r="A89" s="399">
        <v>78</v>
      </c>
      <c r="B89" s="781"/>
      <c r="C89" s="781"/>
      <c r="D89" s="781"/>
      <c r="E89" s="781"/>
      <c r="F89" s="407"/>
      <c r="G89" s="781"/>
      <c r="H89" s="781"/>
      <c r="I89" s="781"/>
      <c r="J89" s="781"/>
      <c r="K89" s="782"/>
      <c r="L89" s="781"/>
      <c r="M89" s="781"/>
      <c r="N89" s="781"/>
      <c r="O89" s="781"/>
      <c r="P89" s="783"/>
      <c r="Q89" s="781"/>
      <c r="R89" s="781"/>
      <c r="S89" s="781"/>
      <c r="T89" s="781"/>
      <c r="U89" s="784"/>
      <c r="V89" s="781"/>
      <c r="W89" s="781"/>
      <c r="X89" s="781"/>
      <c r="Y89" s="781"/>
      <c r="Z89" s="785"/>
      <c r="AA89" s="400"/>
      <c r="AB89" s="400"/>
      <c r="AC89" s="400"/>
      <c r="AD89" s="400"/>
      <c r="AE89" s="406"/>
    </row>
    <row r="90" spans="1:31" x14ac:dyDescent="0.25">
      <c r="A90" s="399">
        <v>79</v>
      </c>
      <c r="B90" s="781"/>
      <c r="C90" s="781"/>
      <c r="D90" s="781"/>
      <c r="E90" s="781"/>
      <c r="F90" s="407"/>
      <c r="G90" s="781"/>
      <c r="H90" s="781"/>
      <c r="I90" s="781"/>
      <c r="J90" s="781"/>
      <c r="K90" s="782"/>
      <c r="L90" s="781"/>
      <c r="M90" s="781"/>
      <c r="N90" s="781"/>
      <c r="O90" s="781"/>
      <c r="P90" s="783"/>
      <c r="Q90" s="781"/>
      <c r="R90" s="781"/>
      <c r="S90" s="781"/>
      <c r="T90" s="781"/>
      <c r="U90" s="784"/>
      <c r="V90" s="781"/>
      <c r="W90" s="781"/>
      <c r="X90" s="781"/>
      <c r="Y90" s="781"/>
      <c r="Z90" s="785"/>
      <c r="AA90" s="400"/>
      <c r="AB90" s="400"/>
      <c r="AC90" s="400"/>
      <c r="AD90" s="400"/>
      <c r="AE90" s="406"/>
    </row>
    <row r="91" spans="1:31" x14ac:dyDescent="0.25">
      <c r="A91" s="399">
        <v>80</v>
      </c>
      <c r="B91" s="781"/>
      <c r="C91" s="781"/>
      <c r="D91" s="781"/>
      <c r="E91" s="781"/>
      <c r="F91" s="407"/>
      <c r="G91" s="781"/>
      <c r="H91" s="781"/>
      <c r="I91" s="781"/>
      <c r="J91" s="781"/>
      <c r="K91" s="782"/>
      <c r="L91" s="781"/>
      <c r="M91" s="781"/>
      <c r="N91" s="781"/>
      <c r="O91" s="781"/>
      <c r="P91" s="783"/>
      <c r="Q91" s="781"/>
      <c r="R91" s="781"/>
      <c r="S91" s="781"/>
      <c r="T91" s="781"/>
      <c r="U91" s="784"/>
      <c r="V91" s="781"/>
      <c r="W91" s="781"/>
      <c r="X91" s="781"/>
      <c r="Y91" s="781"/>
      <c r="Z91" s="785"/>
      <c r="AA91" s="400"/>
      <c r="AB91" s="400"/>
      <c r="AC91" s="400"/>
      <c r="AD91" s="400"/>
      <c r="AE91" s="406"/>
    </row>
    <row r="92" spans="1:31" x14ac:dyDescent="0.25">
      <c r="A92" s="399">
        <v>81</v>
      </c>
      <c r="B92" s="781"/>
      <c r="C92" s="781"/>
      <c r="D92" s="781"/>
      <c r="E92" s="781"/>
      <c r="F92" s="407"/>
      <c r="G92" s="781"/>
      <c r="H92" s="781"/>
      <c r="I92" s="781"/>
      <c r="J92" s="781"/>
      <c r="K92" s="782"/>
      <c r="L92" s="781"/>
      <c r="M92" s="781"/>
      <c r="N92" s="781"/>
      <c r="O92" s="781"/>
      <c r="P92" s="783"/>
      <c r="Q92" s="781"/>
      <c r="R92" s="781"/>
      <c r="S92" s="781"/>
      <c r="T92" s="781"/>
      <c r="U92" s="784"/>
      <c r="V92" s="781"/>
      <c r="W92" s="781"/>
      <c r="X92" s="781"/>
      <c r="Y92" s="781"/>
      <c r="Z92" s="785"/>
      <c r="AA92" s="400"/>
      <c r="AB92" s="400"/>
      <c r="AC92" s="400"/>
      <c r="AD92" s="400"/>
      <c r="AE92" s="406"/>
    </row>
    <row r="93" spans="1:31" x14ac:dyDescent="0.25">
      <c r="A93" s="399">
        <v>82</v>
      </c>
      <c r="B93" s="781"/>
      <c r="C93" s="781"/>
      <c r="D93" s="781"/>
      <c r="E93" s="781"/>
      <c r="F93" s="407"/>
      <c r="G93" s="781"/>
      <c r="H93" s="781"/>
      <c r="I93" s="781"/>
      <c r="J93" s="781"/>
      <c r="K93" s="782"/>
      <c r="L93" s="781"/>
      <c r="M93" s="781"/>
      <c r="N93" s="781"/>
      <c r="O93" s="781"/>
      <c r="P93" s="783"/>
      <c r="Q93" s="781"/>
      <c r="R93" s="781"/>
      <c r="S93" s="781"/>
      <c r="T93" s="781"/>
      <c r="U93" s="784"/>
      <c r="V93" s="781"/>
      <c r="W93" s="781"/>
      <c r="X93" s="781"/>
      <c r="Y93" s="781"/>
      <c r="Z93" s="785"/>
      <c r="AA93" s="400"/>
      <c r="AB93" s="400"/>
      <c r="AC93" s="400"/>
      <c r="AD93" s="400"/>
      <c r="AE93" s="406"/>
    </row>
    <row r="94" spans="1:31" x14ac:dyDescent="0.25">
      <c r="A94" s="399">
        <v>83</v>
      </c>
      <c r="B94" s="781"/>
      <c r="C94" s="781"/>
      <c r="D94" s="781"/>
      <c r="E94" s="781"/>
      <c r="F94" s="407"/>
      <c r="G94" s="781"/>
      <c r="H94" s="781"/>
      <c r="I94" s="781"/>
      <c r="J94" s="781"/>
      <c r="K94" s="782"/>
      <c r="L94" s="781"/>
      <c r="M94" s="781"/>
      <c r="N94" s="781"/>
      <c r="O94" s="781"/>
      <c r="P94" s="783"/>
      <c r="Q94" s="781"/>
      <c r="R94" s="781"/>
      <c r="S94" s="781"/>
      <c r="T94" s="781"/>
      <c r="U94" s="784"/>
      <c r="V94" s="781"/>
      <c r="W94" s="781"/>
      <c r="X94" s="781"/>
      <c r="Y94" s="781"/>
      <c r="Z94" s="785"/>
      <c r="AA94" s="400"/>
      <c r="AB94" s="400"/>
      <c r="AC94" s="400"/>
      <c r="AD94" s="400"/>
      <c r="AE94" s="406"/>
    </row>
    <row r="95" spans="1:31" x14ac:dyDescent="0.25">
      <c r="A95" s="399">
        <v>84</v>
      </c>
      <c r="B95" s="781"/>
      <c r="C95" s="781"/>
      <c r="D95" s="781"/>
      <c r="E95" s="781"/>
      <c r="F95" s="407"/>
      <c r="G95" s="781"/>
      <c r="H95" s="781"/>
      <c r="I95" s="781"/>
      <c r="J95" s="781"/>
      <c r="K95" s="782"/>
      <c r="L95" s="781"/>
      <c r="M95" s="781"/>
      <c r="N95" s="781"/>
      <c r="O95" s="781"/>
      <c r="P95" s="783"/>
      <c r="Q95" s="781"/>
      <c r="R95" s="781"/>
      <c r="S95" s="781"/>
      <c r="T95" s="781"/>
      <c r="U95" s="784"/>
      <c r="V95" s="781"/>
      <c r="W95" s="781"/>
      <c r="X95" s="781"/>
      <c r="Y95" s="781"/>
      <c r="Z95" s="785"/>
      <c r="AA95" s="400"/>
      <c r="AB95" s="400"/>
      <c r="AC95" s="400"/>
      <c r="AD95" s="400"/>
      <c r="AE95" s="406"/>
    </row>
    <row r="96" spans="1:31" x14ac:dyDescent="0.25">
      <c r="A96" s="399">
        <v>85</v>
      </c>
      <c r="B96" s="781"/>
      <c r="C96" s="781"/>
      <c r="D96" s="781"/>
      <c r="E96" s="781"/>
      <c r="F96" s="407"/>
      <c r="G96" s="781"/>
      <c r="H96" s="781"/>
      <c r="I96" s="781"/>
      <c r="J96" s="781"/>
      <c r="K96" s="782"/>
      <c r="L96" s="781"/>
      <c r="M96" s="781"/>
      <c r="N96" s="781"/>
      <c r="O96" s="781"/>
      <c r="P96" s="783"/>
      <c r="Q96" s="781"/>
      <c r="R96" s="781"/>
      <c r="S96" s="781"/>
      <c r="T96" s="781"/>
      <c r="U96" s="784"/>
      <c r="V96" s="781"/>
      <c r="W96" s="781"/>
      <c r="X96" s="781"/>
      <c r="Y96" s="781"/>
      <c r="Z96" s="785"/>
      <c r="AA96" s="400"/>
      <c r="AB96" s="400"/>
      <c r="AC96" s="400"/>
      <c r="AD96" s="400"/>
      <c r="AE96" s="406"/>
    </row>
    <row r="97" spans="1:31" x14ac:dyDescent="0.25">
      <c r="A97" s="399">
        <v>86</v>
      </c>
      <c r="B97" s="781"/>
      <c r="C97" s="781"/>
      <c r="D97" s="781"/>
      <c r="E97" s="781"/>
      <c r="F97" s="407"/>
      <c r="G97" s="781"/>
      <c r="H97" s="781"/>
      <c r="I97" s="781"/>
      <c r="J97" s="781"/>
      <c r="K97" s="782"/>
      <c r="L97" s="781"/>
      <c r="M97" s="781"/>
      <c r="N97" s="781"/>
      <c r="O97" s="781"/>
      <c r="P97" s="783"/>
      <c r="Q97" s="781"/>
      <c r="R97" s="781"/>
      <c r="S97" s="781"/>
      <c r="T97" s="781"/>
      <c r="U97" s="784"/>
      <c r="V97" s="781"/>
      <c r="W97" s="781"/>
      <c r="X97" s="781"/>
      <c r="Y97" s="781"/>
      <c r="Z97" s="785"/>
      <c r="AA97" s="400"/>
      <c r="AB97" s="400"/>
      <c r="AC97" s="400"/>
      <c r="AD97" s="400"/>
      <c r="AE97" s="406"/>
    </row>
    <row r="98" spans="1:31" x14ac:dyDescent="0.25">
      <c r="A98" s="399">
        <v>87</v>
      </c>
      <c r="B98" s="781"/>
      <c r="C98" s="781"/>
      <c r="D98" s="781"/>
      <c r="E98" s="781"/>
      <c r="F98" s="407"/>
      <c r="G98" s="781"/>
      <c r="H98" s="781"/>
      <c r="I98" s="781"/>
      <c r="J98" s="781"/>
      <c r="K98" s="782"/>
      <c r="L98" s="781"/>
      <c r="M98" s="781"/>
      <c r="N98" s="781"/>
      <c r="O98" s="781"/>
      <c r="P98" s="783"/>
      <c r="Q98" s="781"/>
      <c r="R98" s="781"/>
      <c r="S98" s="781"/>
      <c r="T98" s="781"/>
      <c r="U98" s="784"/>
      <c r="V98" s="781"/>
      <c r="W98" s="781"/>
      <c r="X98" s="781"/>
      <c r="Y98" s="781"/>
      <c r="Z98" s="785"/>
      <c r="AA98" s="400"/>
      <c r="AB98" s="400"/>
      <c r="AC98" s="400"/>
      <c r="AD98" s="400"/>
      <c r="AE98" s="406"/>
    </row>
    <row r="99" spans="1:31" x14ac:dyDescent="0.25">
      <c r="A99" s="399">
        <v>88</v>
      </c>
      <c r="B99" s="781"/>
      <c r="C99" s="781"/>
      <c r="D99" s="781"/>
      <c r="E99" s="781"/>
      <c r="F99" s="407"/>
      <c r="G99" s="781"/>
      <c r="H99" s="781"/>
      <c r="I99" s="781"/>
      <c r="J99" s="781"/>
      <c r="K99" s="782"/>
      <c r="L99" s="781"/>
      <c r="M99" s="781"/>
      <c r="N99" s="781"/>
      <c r="O99" s="781"/>
      <c r="P99" s="783"/>
      <c r="Q99" s="781"/>
      <c r="R99" s="781"/>
      <c r="S99" s="781"/>
      <c r="T99" s="781"/>
      <c r="U99" s="784"/>
      <c r="V99" s="781"/>
      <c r="W99" s="781"/>
      <c r="X99" s="781"/>
      <c r="Y99" s="781"/>
      <c r="Z99" s="785"/>
      <c r="AA99" s="400"/>
      <c r="AB99" s="400"/>
      <c r="AC99" s="400"/>
      <c r="AD99" s="400"/>
      <c r="AE99" s="406"/>
    </row>
    <row r="100" spans="1:31" x14ac:dyDescent="0.25">
      <c r="A100" s="399">
        <v>89</v>
      </c>
      <c r="B100" s="781"/>
      <c r="C100" s="781"/>
      <c r="D100" s="781"/>
      <c r="E100" s="781"/>
      <c r="F100" s="407"/>
      <c r="G100" s="781"/>
      <c r="H100" s="781"/>
      <c r="I100" s="781"/>
      <c r="J100" s="781"/>
      <c r="K100" s="782"/>
      <c r="L100" s="781"/>
      <c r="M100" s="781"/>
      <c r="N100" s="781"/>
      <c r="O100" s="781"/>
      <c r="P100" s="783"/>
      <c r="Q100" s="781"/>
      <c r="R100" s="781"/>
      <c r="S100" s="781"/>
      <c r="T100" s="781"/>
      <c r="U100" s="784"/>
      <c r="V100" s="781"/>
      <c r="W100" s="781"/>
      <c r="X100" s="781"/>
      <c r="Y100" s="781"/>
      <c r="Z100" s="785"/>
      <c r="AA100" s="400"/>
      <c r="AB100" s="400"/>
      <c r="AC100" s="400"/>
      <c r="AD100" s="400"/>
      <c r="AE100" s="406"/>
    </row>
    <row r="101" spans="1:31" x14ac:dyDescent="0.25">
      <c r="A101" s="399">
        <v>90</v>
      </c>
      <c r="B101" s="781"/>
      <c r="C101" s="781"/>
      <c r="D101" s="781"/>
      <c r="E101" s="781"/>
      <c r="F101" s="407"/>
      <c r="G101" s="781"/>
      <c r="H101" s="781"/>
      <c r="I101" s="781"/>
      <c r="J101" s="781"/>
      <c r="K101" s="782"/>
      <c r="L101" s="781"/>
      <c r="M101" s="781"/>
      <c r="N101" s="781"/>
      <c r="O101" s="781"/>
      <c r="P101" s="783"/>
      <c r="Q101" s="781"/>
      <c r="R101" s="781"/>
      <c r="S101" s="781"/>
      <c r="T101" s="781"/>
      <c r="U101" s="784"/>
      <c r="V101" s="781"/>
      <c r="W101" s="781"/>
      <c r="X101" s="781"/>
      <c r="Y101" s="781"/>
      <c r="Z101" s="785"/>
      <c r="AA101" s="400"/>
      <c r="AB101" s="400"/>
      <c r="AC101" s="400"/>
      <c r="AD101" s="400"/>
      <c r="AE101" s="406"/>
    </row>
    <row r="102" spans="1:31" x14ac:dyDescent="0.25">
      <c r="A102" s="399">
        <v>91</v>
      </c>
      <c r="B102" s="781"/>
      <c r="C102" s="781"/>
      <c r="D102" s="781"/>
      <c r="E102" s="781"/>
      <c r="F102" s="407"/>
      <c r="G102" s="781"/>
      <c r="H102" s="781"/>
      <c r="I102" s="781"/>
      <c r="J102" s="781"/>
      <c r="K102" s="782"/>
      <c r="L102" s="781"/>
      <c r="M102" s="781"/>
      <c r="N102" s="781"/>
      <c r="O102" s="781"/>
      <c r="P102" s="783"/>
      <c r="Q102" s="781"/>
      <c r="R102" s="781"/>
      <c r="S102" s="781"/>
      <c r="T102" s="781"/>
      <c r="U102" s="784"/>
      <c r="V102" s="781"/>
      <c r="W102" s="781"/>
      <c r="X102" s="781"/>
      <c r="Y102" s="781"/>
      <c r="Z102" s="785"/>
      <c r="AA102" s="400"/>
      <c r="AB102" s="400"/>
      <c r="AC102" s="400"/>
      <c r="AD102" s="400"/>
      <c r="AE102" s="406"/>
    </row>
    <row r="103" spans="1:31" x14ac:dyDescent="0.25">
      <c r="A103" s="399">
        <v>92</v>
      </c>
      <c r="B103" s="781"/>
      <c r="C103" s="781"/>
      <c r="D103" s="781"/>
      <c r="E103" s="781"/>
      <c r="F103" s="407"/>
      <c r="G103" s="781"/>
      <c r="H103" s="781"/>
      <c r="I103" s="781"/>
      <c r="J103" s="781"/>
      <c r="K103" s="782"/>
      <c r="L103" s="781"/>
      <c r="M103" s="781"/>
      <c r="N103" s="781"/>
      <c r="O103" s="781"/>
      <c r="P103" s="783"/>
      <c r="Q103" s="781"/>
      <c r="R103" s="781"/>
      <c r="S103" s="781"/>
      <c r="T103" s="781"/>
      <c r="U103" s="784"/>
      <c r="V103" s="781"/>
      <c r="W103" s="781"/>
      <c r="X103" s="781"/>
      <c r="Y103" s="781"/>
      <c r="Z103" s="785"/>
      <c r="AA103" s="400"/>
      <c r="AB103" s="400"/>
      <c r="AC103" s="400"/>
      <c r="AD103" s="400"/>
      <c r="AE103" s="406"/>
    </row>
    <row r="104" spans="1:31" x14ac:dyDescent="0.25">
      <c r="A104" s="399">
        <v>93</v>
      </c>
      <c r="B104" s="781"/>
      <c r="C104" s="781"/>
      <c r="D104" s="781"/>
      <c r="E104" s="781"/>
      <c r="F104" s="407"/>
      <c r="G104" s="781"/>
      <c r="H104" s="781"/>
      <c r="I104" s="781"/>
      <c r="J104" s="781"/>
      <c r="K104" s="782"/>
      <c r="L104" s="781"/>
      <c r="M104" s="781"/>
      <c r="N104" s="781"/>
      <c r="O104" s="781"/>
      <c r="P104" s="783"/>
      <c r="Q104" s="781"/>
      <c r="R104" s="781"/>
      <c r="S104" s="781"/>
      <c r="T104" s="781"/>
      <c r="U104" s="784"/>
      <c r="V104" s="781"/>
      <c r="W104" s="781"/>
      <c r="X104" s="781"/>
      <c r="Y104" s="781"/>
      <c r="Z104" s="785"/>
      <c r="AA104" s="400"/>
      <c r="AB104" s="400"/>
      <c r="AC104" s="400"/>
      <c r="AD104" s="400"/>
      <c r="AE104" s="406"/>
    </row>
    <row r="105" spans="1:31" x14ac:dyDescent="0.25">
      <c r="A105" s="399">
        <v>94</v>
      </c>
      <c r="B105" s="781"/>
      <c r="C105" s="781"/>
      <c r="D105" s="781"/>
      <c r="E105" s="781"/>
      <c r="F105" s="407"/>
      <c r="G105" s="781"/>
      <c r="H105" s="781"/>
      <c r="I105" s="781"/>
      <c r="J105" s="781"/>
      <c r="K105" s="782"/>
      <c r="L105" s="781"/>
      <c r="M105" s="781"/>
      <c r="N105" s="781"/>
      <c r="O105" s="781"/>
      <c r="P105" s="783"/>
      <c r="Q105" s="781"/>
      <c r="R105" s="781"/>
      <c r="S105" s="781"/>
      <c r="T105" s="781"/>
      <c r="U105" s="784"/>
      <c r="V105" s="781"/>
      <c r="W105" s="781"/>
      <c r="X105" s="781"/>
      <c r="Y105" s="781"/>
      <c r="Z105" s="785"/>
      <c r="AA105" s="400"/>
      <c r="AB105" s="400"/>
      <c r="AC105" s="400"/>
      <c r="AD105" s="400"/>
      <c r="AE105" s="406"/>
    </row>
    <row r="106" spans="1:31" x14ac:dyDescent="0.25">
      <c r="A106" s="399">
        <v>95</v>
      </c>
      <c r="B106" s="781"/>
      <c r="C106" s="781"/>
      <c r="D106" s="781"/>
      <c r="E106" s="781"/>
      <c r="F106" s="407"/>
      <c r="G106" s="781"/>
      <c r="H106" s="781"/>
      <c r="I106" s="781"/>
      <c r="J106" s="781"/>
      <c r="K106" s="782"/>
      <c r="L106" s="781"/>
      <c r="M106" s="781"/>
      <c r="N106" s="781"/>
      <c r="O106" s="781"/>
      <c r="P106" s="783"/>
      <c r="Q106" s="781"/>
      <c r="R106" s="781"/>
      <c r="S106" s="781"/>
      <c r="T106" s="781"/>
      <c r="U106" s="784"/>
      <c r="V106" s="781"/>
      <c r="W106" s="781"/>
      <c r="X106" s="781"/>
      <c r="Y106" s="781"/>
      <c r="Z106" s="785"/>
      <c r="AA106" s="400"/>
      <c r="AB106" s="400"/>
      <c r="AC106" s="400"/>
      <c r="AD106" s="400"/>
      <c r="AE106" s="406"/>
    </row>
    <row r="107" spans="1:31" x14ac:dyDescent="0.25">
      <c r="A107" s="399">
        <v>96</v>
      </c>
      <c r="B107" s="781"/>
      <c r="C107" s="781"/>
      <c r="D107" s="781"/>
      <c r="E107" s="781"/>
      <c r="F107" s="407"/>
      <c r="G107" s="781"/>
      <c r="H107" s="781"/>
      <c r="I107" s="781"/>
      <c r="J107" s="781"/>
      <c r="K107" s="782"/>
      <c r="L107" s="781"/>
      <c r="M107" s="781"/>
      <c r="N107" s="781"/>
      <c r="O107" s="781"/>
      <c r="P107" s="783"/>
      <c r="Q107" s="781"/>
      <c r="R107" s="781"/>
      <c r="S107" s="781"/>
      <c r="T107" s="781"/>
      <c r="U107" s="784"/>
      <c r="V107" s="781"/>
      <c r="W107" s="781"/>
      <c r="X107" s="781"/>
      <c r="Y107" s="781"/>
      <c r="Z107" s="785"/>
      <c r="AA107" s="400"/>
      <c r="AB107" s="400"/>
      <c r="AC107" s="400"/>
      <c r="AD107" s="400"/>
      <c r="AE107" s="406"/>
    </row>
    <row r="108" spans="1:31" x14ac:dyDescent="0.25">
      <c r="A108" s="399">
        <v>97</v>
      </c>
      <c r="B108" s="781"/>
      <c r="C108" s="781"/>
      <c r="D108" s="781"/>
      <c r="E108" s="781"/>
      <c r="F108" s="407"/>
      <c r="G108" s="781"/>
      <c r="H108" s="781"/>
      <c r="I108" s="781"/>
      <c r="J108" s="781"/>
      <c r="K108" s="782"/>
      <c r="L108" s="781"/>
      <c r="M108" s="781"/>
      <c r="N108" s="781"/>
      <c r="O108" s="781"/>
      <c r="P108" s="783"/>
      <c r="Q108" s="781"/>
      <c r="R108" s="781"/>
      <c r="S108" s="781"/>
      <c r="T108" s="781"/>
      <c r="U108" s="784"/>
      <c r="V108" s="781"/>
      <c r="W108" s="781"/>
      <c r="X108" s="781"/>
      <c r="Y108" s="781"/>
      <c r="Z108" s="785"/>
      <c r="AA108" s="400"/>
      <c r="AB108" s="400"/>
      <c r="AC108" s="400"/>
      <c r="AD108" s="400"/>
      <c r="AE108" s="406"/>
    </row>
    <row r="109" spans="1:31" x14ac:dyDescent="0.25">
      <c r="A109" s="399">
        <v>98</v>
      </c>
      <c r="B109" s="781"/>
      <c r="C109" s="781"/>
      <c r="D109" s="781"/>
      <c r="E109" s="781"/>
      <c r="F109" s="407"/>
      <c r="G109" s="781"/>
      <c r="H109" s="781"/>
      <c r="I109" s="781"/>
      <c r="J109" s="781"/>
      <c r="K109" s="782"/>
      <c r="L109" s="781"/>
      <c r="M109" s="781"/>
      <c r="N109" s="781"/>
      <c r="O109" s="781"/>
      <c r="P109" s="783"/>
      <c r="Q109" s="781"/>
      <c r="R109" s="781"/>
      <c r="S109" s="781"/>
      <c r="T109" s="781"/>
      <c r="U109" s="784"/>
      <c r="V109" s="781"/>
      <c r="W109" s="781"/>
      <c r="X109" s="781"/>
      <c r="Y109" s="781"/>
      <c r="Z109" s="785"/>
      <c r="AA109" s="400"/>
      <c r="AB109" s="400"/>
      <c r="AC109" s="400"/>
      <c r="AD109" s="400"/>
      <c r="AE109" s="406"/>
    </row>
    <row r="110" spans="1:31" x14ac:dyDescent="0.25">
      <c r="A110" s="399">
        <v>99</v>
      </c>
      <c r="B110" s="781"/>
      <c r="C110" s="781"/>
      <c r="D110" s="781"/>
      <c r="E110" s="781"/>
      <c r="F110" s="407"/>
      <c r="G110" s="781"/>
      <c r="H110" s="781"/>
      <c r="I110" s="781"/>
      <c r="J110" s="781"/>
      <c r="K110" s="782"/>
      <c r="L110" s="781"/>
      <c r="M110" s="781"/>
      <c r="N110" s="781"/>
      <c r="O110" s="781"/>
      <c r="P110" s="783"/>
      <c r="Q110" s="781"/>
      <c r="R110" s="781"/>
      <c r="S110" s="781"/>
      <c r="T110" s="781"/>
      <c r="U110" s="784"/>
      <c r="V110" s="781"/>
      <c r="W110" s="781"/>
      <c r="X110" s="781"/>
      <c r="Y110" s="781"/>
      <c r="Z110" s="785"/>
      <c r="AA110" s="400"/>
      <c r="AB110" s="400"/>
      <c r="AC110" s="400"/>
      <c r="AD110" s="400"/>
      <c r="AE110" s="406"/>
    </row>
    <row r="111" spans="1:31" x14ac:dyDescent="0.25">
      <c r="A111" s="399">
        <v>100</v>
      </c>
      <c r="B111" s="781"/>
      <c r="C111" s="781"/>
      <c r="D111" s="781"/>
      <c r="E111" s="781"/>
      <c r="F111" s="407"/>
      <c r="G111" s="781"/>
      <c r="H111" s="781"/>
      <c r="I111" s="781"/>
      <c r="J111" s="781"/>
      <c r="K111" s="782"/>
      <c r="L111" s="781"/>
      <c r="M111" s="781"/>
      <c r="N111" s="781"/>
      <c r="O111" s="781"/>
      <c r="P111" s="783"/>
      <c r="Q111" s="781"/>
      <c r="R111" s="781"/>
      <c r="S111" s="781"/>
      <c r="T111" s="781"/>
      <c r="U111" s="784"/>
      <c r="V111" s="781"/>
      <c r="W111" s="781"/>
      <c r="X111" s="781"/>
      <c r="Y111" s="781"/>
      <c r="Z111" s="785"/>
      <c r="AA111" s="400"/>
      <c r="AB111" s="400"/>
      <c r="AC111" s="400"/>
      <c r="AD111" s="400"/>
      <c r="AE111" s="406"/>
    </row>
    <row r="112" spans="1:31" x14ac:dyDescent="0.25">
      <c r="A112" s="399">
        <v>101</v>
      </c>
      <c r="B112" s="781"/>
      <c r="C112" s="781"/>
      <c r="D112" s="781"/>
      <c r="E112" s="781"/>
      <c r="F112" s="786"/>
      <c r="G112" s="781"/>
      <c r="H112" s="781"/>
      <c r="I112" s="781"/>
      <c r="J112" s="781"/>
      <c r="K112" s="782"/>
      <c r="L112" s="781"/>
      <c r="M112" s="781"/>
      <c r="N112" s="781"/>
      <c r="O112" s="781"/>
      <c r="P112" s="783"/>
      <c r="Q112" s="781"/>
      <c r="R112" s="781"/>
      <c r="S112" s="781"/>
      <c r="T112" s="781"/>
      <c r="U112" s="784"/>
      <c r="V112" s="781"/>
      <c r="W112" s="781"/>
      <c r="X112" s="781"/>
      <c r="Y112" s="781"/>
      <c r="Z112" s="785"/>
      <c r="AA112" s="400"/>
      <c r="AB112" s="400"/>
      <c r="AC112" s="400"/>
      <c r="AD112" s="400"/>
      <c r="AE112" s="406"/>
    </row>
    <row r="113" spans="1:31" x14ac:dyDescent="0.25">
      <c r="A113" s="399">
        <v>102</v>
      </c>
      <c r="B113" s="781"/>
      <c r="C113" s="781"/>
      <c r="D113" s="781"/>
      <c r="E113" s="781"/>
      <c r="F113" s="786"/>
      <c r="G113" s="781"/>
      <c r="H113" s="781"/>
      <c r="I113" s="781"/>
      <c r="J113" s="781"/>
      <c r="K113" s="782"/>
      <c r="L113" s="781"/>
      <c r="M113" s="781"/>
      <c r="N113" s="781"/>
      <c r="O113" s="781"/>
      <c r="P113" s="783"/>
      <c r="Q113" s="781"/>
      <c r="R113" s="781"/>
      <c r="S113" s="781"/>
      <c r="T113" s="781"/>
      <c r="U113" s="784"/>
      <c r="V113" s="781"/>
      <c r="W113" s="781"/>
      <c r="X113" s="781"/>
      <c r="Y113" s="781"/>
      <c r="Z113" s="785"/>
      <c r="AA113" s="400"/>
      <c r="AB113" s="400"/>
      <c r="AC113" s="400"/>
      <c r="AD113" s="400"/>
      <c r="AE113" s="406"/>
    </row>
    <row r="114" spans="1:31" x14ac:dyDescent="0.25">
      <c r="A114" s="399">
        <v>103</v>
      </c>
      <c r="B114" s="781"/>
      <c r="C114" s="781"/>
      <c r="D114" s="781"/>
      <c r="E114" s="781"/>
      <c r="F114" s="786"/>
      <c r="G114" s="781"/>
      <c r="H114" s="781"/>
      <c r="I114" s="781"/>
      <c r="J114" s="781"/>
      <c r="K114" s="782"/>
      <c r="L114" s="781"/>
      <c r="M114" s="781"/>
      <c r="N114" s="781"/>
      <c r="O114" s="781"/>
      <c r="P114" s="783"/>
      <c r="Q114" s="781"/>
      <c r="R114" s="781"/>
      <c r="S114" s="781"/>
      <c r="T114" s="781"/>
      <c r="U114" s="784"/>
      <c r="V114" s="781"/>
      <c r="W114" s="781"/>
      <c r="X114" s="781"/>
      <c r="Y114" s="781"/>
      <c r="Z114" s="785"/>
      <c r="AA114" s="400"/>
      <c r="AB114" s="400"/>
      <c r="AC114" s="400"/>
      <c r="AD114" s="400"/>
      <c r="AE114" s="406"/>
    </row>
    <row r="115" spans="1:31" x14ac:dyDescent="0.25">
      <c r="A115" s="399">
        <v>104</v>
      </c>
      <c r="B115" s="781"/>
      <c r="C115" s="781"/>
      <c r="D115" s="781"/>
      <c r="E115" s="781"/>
      <c r="F115" s="786"/>
      <c r="G115" s="781"/>
      <c r="H115" s="781"/>
      <c r="I115" s="781"/>
      <c r="J115" s="781"/>
      <c r="K115" s="782"/>
      <c r="L115" s="781"/>
      <c r="M115" s="781"/>
      <c r="N115" s="781"/>
      <c r="O115" s="781"/>
      <c r="P115" s="783"/>
      <c r="Q115" s="781"/>
      <c r="R115" s="781"/>
      <c r="S115" s="781"/>
      <c r="T115" s="781"/>
      <c r="U115" s="784"/>
      <c r="V115" s="781"/>
      <c r="W115" s="781"/>
      <c r="X115" s="781"/>
      <c r="Y115" s="781"/>
      <c r="Z115" s="785"/>
      <c r="AA115" s="400"/>
      <c r="AB115" s="400"/>
      <c r="AC115" s="400"/>
      <c r="AD115" s="400"/>
      <c r="AE115" s="406"/>
    </row>
    <row r="116" spans="1:31" x14ac:dyDescent="0.25">
      <c r="A116" s="399">
        <v>105</v>
      </c>
      <c r="B116" s="781"/>
      <c r="C116" s="781"/>
      <c r="D116" s="781"/>
      <c r="E116" s="781"/>
      <c r="F116" s="786"/>
      <c r="G116" s="781"/>
      <c r="H116" s="781"/>
      <c r="I116" s="781"/>
      <c r="J116" s="781"/>
      <c r="K116" s="782"/>
      <c r="L116" s="781"/>
      <c r="M116" s="781"/>
      <c r="N116" s="781"/>
      <c r="O116" s="781"/>
      <c r="P116" s="783"/>
      <c r="Q116" s="781"/>
      <c r="R116" s="781"/>
      <c r="S116" s="781"/>
      <c r="T116" s="781"/>
      <c r="U116" s="784"/>
      <c r="V116" s="781"/>
      <c r="W116" s="781"/>
      <c r="X116" s="781"/>
      <c r="Y116" s="781"/>
      <c r="Z116" s="785"/>
      <c r="AA116" s="400"/>
      <c r="AB116" s="400"/>
      <c r="AC116" s="400"/>
      <c r="AD116" s="400"/>
      <c r="AE116" s="406"/>
    </row>
    <row r="117" spans="1:31" x14ac:dyDescent="0.25">
      <c r="A117" s="399">
        <v>106</v>
      </c>
      <c r="B117" s="781"/>
      <c r="C117" s="781"/>
      <c r="D117" s="781"/>
      <c r="E117" s="781"/>
      <c r="F117" s="786"/>
      <c r="G117" s="781"/>
      <c r="H117" s="781"/>
      <c r="I117" s="781"/>
      <c r="J117" s="781"/>
      <c r="K117" s="782"/>
      <c r="L117" s="781"/>
      <c r="M117" s="781"/>
      <c r="N117" s="781"/>
      <c r="O117" s="781"/>
      <c r="P117" s="783"/>
      <c r="Q117" s="781"/>
      <c r="R117" s="781"/>
      <c r="S117" s="781"/>
      <c r="T117" s="781"/>
      <c r="U117" s="784"/>
      <c r="V117" s="781"/>
      <c r="W117" s="781"/>
      <c r="X117" s="781"/>
      <c r="Y117" s="781"/>
      <c r="Z117" s="785"/>
      <c r="AA117" s="400"/>
      <c r="AB117" s="400"/>
      <c r="AC117" s="400"/>
      <c r="AD117" s="400"/>
      <c r="AE117" s="406"/>
    </row>
    <row r="118" spans="1:31" x14ac:dyDescent="0.25">
      <c r="A118" s="399">
        <v>107</v>
      </c>
      <c r="B118" s="781"/>
      <c r="C118" s="781"/>
      <c r="D118" s="781"/>
      <c r="E118" s="781"/>
      <c r="F118" s="786"/>
      <c r="G118" s="781"/>
      <c r="H118" s="781"/>
      <c r="I118" s="781"/>
      <c r="J118" s="781"/>
      <c r="K118" s="782"/>
      <c r="L118" s="781"/>
      <c r="M118" s="781"/>
      <c r="N118" s="781"/>
      <c r="O118" s="781"/>
      <c r="P118" s="783"/>
      <c r="Q118" s="781"/>
      <c r="R118" s="781"/>
      <c r="S118" s="781"/>
      <c r="T118" s="781"/>
      <c r="U118" s="784"/>
      <c r="V118" s="781"/>
      <c r="W118" s="781"/>
      <c r="X118" s="781"/>
      <c r="Y118" s="781"/>
      <c r="Z118" s="785"/>
      <c r="AA118" s="400"/>
      <c r="AB118" s="400"/>
      <c r="AC118" s="400"/>
      <c r="AD118" s="400"/>
      <c r="AE118" s="406"/>
    </row>
    <row r="119" spans="1:31" x14ac:dyDescent="0.25">
      <c r="A119" s="399">
        <v>108</v>
      </c>
      <c r="B119" s="781"/>
      <c r="C119" s="781"/>
      <c r="D119" s="781"/>
      <c r="E119" s="781"/>
      <c r="F119" s="786"/>
      <c r="G119" s="781"/>
      <c r="H119" s="781"/>
      <c r="I119" s="781"/>
      <c r="J119" s="781"/>
      <c r="K119" s="782"/>
      <c r="L119" s="781"/>
      <c r="M119" s="781"/>
      <c r="N119" s="781"/>
      <c r="O119" s="781"/>
      <c r="P119" s="783"/>
      <c r="Q119" s="781"/>
      <c r="R119" s="781"/>
      <c r="S119" s="781"/>
      <c r="T119" s="781"/>
      <c r="U119" s="784"/>
      <c r="V119" s="781"/>
      <c r="W119" s="781"/>
      <c r="X119" s="781"/>
      <c r="Y119" s="781"/>
      <c r="Z119" s="785"/>
      <c r="AA119" s="400"/>
      <c r="AB119" s="400"/>
      <c r="AC119" s="400"/>
      <c r="AD119" s="400"/>
      <c r="AE119" s="406"/>
    </row>
    <row r="120" spans="1:31" x14ac:dyDescent="0.25">
      <c r="A120" s="399">
        <v>109</v>
      </c>
      <c r="B120" s="781"/>
      <c r="C120" s="781"/>
      <c r="D120" s="781"/>
      <c r="E120" s="781"/>
      <c r="F120" s="786"/>
      <c r="G120" s="781"/>
      <c r="H120" s="781"/>
      <c r="I120" s="781"/>
      <c r="J120" s="781"/>
      <c r="K120" s="782"/>
      <c r="L120" s="781"/>
      <c r="M120" s="781"/>
      <c r="N120" s="781"/>
      <c r="O120" s="781"/>
      <c r="P120" s="783"/>
      <c r="Q120" s="781"/>
      <c r="R120" s="781"/>
      <c r="S120" s="781"/>
      <c r="T120" s="781"/>
      <c r="U120" s="784"/>
      <c r="V120" s="781"/>
      <c r="W120" s="781"/>
      <c r="X120" s="781"/>
      <c r="Y120" s="781"/>
      <c r="Z120" s="785"/>
      <c r="AA120" s="400"/>
      <c r="AB120" s="400"/>
      <c r="AC120" s="400"/>
      <c r="AD120" s="400"/>
      <c r="AE120" s="406"/>
    </row>
    <row r="121" spans="1:31" x14ac:dyDescent="0.25">
      <c r="A121" s="399">
        <v>110</v>
      </c>
      <c r="B121" s="781"/>
      <c r="C121" s="781"/>
      <c r="D121" s="781"/>
      <c r="E121" s="781"/>
      <c r="F121" s="786"/>
      <c r="G121" s="781"/>
      <c r="H121" s="781"/>
      <c r="I121" s="781"/>
      <c r="J121" s="781"/>
      <c r="K121" s="782"/>
      <c r="L121" s="781"/>
      <c r="M121" s="781"/>
      <c r="N121" s="781"/>
      <c r="O121" s="781"/>
      <c r="P121" s="783"/>
      <c r="Q121" s="781"/>
      <c r="R121" s="781"/>
      <c r="S121" s="781"/>
      <c r="T121" s="781"/>
      <c r="U121" s="784"/>
      <c r="V121" s="781"/>
      <c r="W121" s="781"/>
      <c r="X121" s="781"/>
      <c r="Y121" s="781"/>
      <c r="Z121" s="785"/>
      <c r="AA121" s="400"/>
      <c r="AB121" s="400"/>
      <c r="AC121" s="400"/>
      <c r="AD121" s="400"/>
      <c r="AE121" s="406"/>
    </row>
    <row r="122" spans="1:31" x14ac:dyDescent="0.25">
      <c r="A122" s="399">
        <v>111</v>
      </c>
      <c r="B122" s="781"/>
      <c r="C122" s="781"/>
      <c r="D122" s="781"/>
      <c r="E122" s="781"/>
      <c r="F122" s="786"/>
      <c r="G122" s="781"/>
      <c r="H122" s="781"/>
      <c r="I122" s="781"/>
      <c r="J122" s="781"/>
      <c r="K122" s="782"/>
      <c r="L122" s="781"/>
      <c r="M122" s="781"/>
      <c r="N122" s="781"/>
      <c r="O122" s="781"/>
      <c r="P122" s="783"/>
      <c r="Q122" s="781"/>
      <c r="R122" s="781"/>
      <c r="S122" s="781"/>
      <c r="T122" s="781"/>
      <c r="U122" s="784"/>
      <c r="V122" s="781"/>
      <c r="W122" s="781"/>
      <c r="X122" s="781"/>
      <c r="Y122" s="781"/>
      <c r="Z122" s="785"/>
      <c r="AA122" s="400"/>
      <c r="AB122" s="400"/>
      <c r="AC122" s="400"/>
      <c r="AD122" s="400"/>
      <c r="AE122" s="406"/>
    </row>
    <row r="123" spans="1:31" x14ac:dyDescent="0.25">
      <c r="A123" s="399">
        <v>112</v>
      </c>
      <c r="B123" s="781"/>
      <c r="C123" s="781"/>
      <c r="D123" s="781"/>
      <c r="E123" s="781"/>
      <c r="F123" s="786"/>
      <c r="G123" s="781"/>
      <c r="H123" s="781"/>
      <c r="I123" s="781"/>
      <c r="J123" s="781"/>
      <c r="K123" s="782"/>
      <c r="L123" s="781"/>
      <c r="M123" s="781"/>
      <c r="N123" s="781"/>
      <c r="O123" s="781"/>
      <c r="P123" s="783"/>
      <c r="Q123" s="781"/>
      <c r="R123" s="781"/>
      <c r="S123" s="781"/>
      <c r="T123" s="781"/>
      <c r="U123" s="784"/>
      <c r="V123" s="781"/>
      <c r="W123" s="781"/>
      <c r="X123" s="781"/>
      <c r="Y123" s="781"/>
      <c r="Z123" s="785"/>
      <c r="AA123" s="400"/>
      <c r="AB123" s="400"/>
      <c r="AC123" s="400"/>
      <c r="AD123" s="400"/>
      <c r="AE123" s="406"/>
    </row>
    <row r="124" spans="1:31" x14ac:dyDescent="0.25">
      <c r="A124" s="399">
        <v>113</v>
      </c>
      <c r="B124" s="781"/>
      <c r="C124" s="781"/>
      <c r="D124" s="781"/>
      <c r="E124" s="781"/>
      <c r="F124" s="786"/>
      <c r="G124" s="781"/>
      <c r="H124" s="781"/>
      <c r="I124" s="781"/>
      <c r="J124" s="781"/>
      <c r="K124" s="782"/>
      <c r="L124" s="781"/>
      <c r="M124" s="781"/>
      <c r="N124" s="781"/>
      <c r="O124" s="781"/>
      <c r="P124" s="783"/>
      <c r="Q124" s="781"/>
      <c r="R124" s="781"/>
      <c r="S124" s="781"/>
      <c r="T124" s="781"/>
      <c r="U124" s="784"/>
      <c r="V124" s="781"/>
      <c r="W124" s="781"/>
      <c r="X124" s="781"/>
      <c r="Y124" s="781"/>
      <c r="Z124" s="785"/>
      <c r="AA124" s="400"/>
      <c r="AB124" s="400"/>
      <c r="AC124" s="400"/>
      <c r="AD124" s="400"/>
      <c r="AE124" s="406"/>
    </row>
    <row r="125" spans="1:31" x14ac:dyDescent="0.25">
      <c r="A125" s="399">
        <v>114</v>
      </c>
      <c r="B125" s="781"/>
      <c r="C125" s="781"/>
      <c r="D125" s="781"/>
      <c r="E125" s="781"/>
      <c r="F125" s="786"/>
      <c r="G125" s="781"/>
      <c r="H125" s="781"/>
      <c r="I125" s="781"/>
      <c r="J125" s="781"/>
      <c r="K125" s="782"/>
      <c r="L125" s="781"/>
      <c r="M125" s="781"/>
      <c r="N125" s="781"/>
      <c r="O125" s="781"/>
      <c r="P125" s="783"/>
      <c r="Q125" s="781"/>
      <c r="R125" s="781"/>
      <c r="S125" s="781"/>
      <c r="T125" s="781"/>
      <c r="U125" s="784"/>
      <c r="V125" s="781"/>
      <c r="W125" s="781"/>
      <c r="X125" s="781"/>
      <c r="Y125" s="781"/>
      <c r="Z125" s="785"/>
      <c r="AA125" s="400"/>
      <c r="AB125" s="400"/>
      <c r="AC125" s="400"/>
      <c r="AD125" s="400"/>
      <c r="AE125" s="406"/>
    </row>
    <row r="126" spans="1:31" x14ac:dyDescent="0.25">
      <c r="A126" s="399">
        <v>115</v>
      </c>
      <c r="B126" s="781"/>
      <c r="C126" s="781"/>
      <c r="D126" s="781"/>
      <c r="E126" s="781"/>
      <c r="F126" s="786"/>
      <c r="G126" s="781"/>
      <c r="H126" s="781"/>
      <c r="I126" s="781"/>
      <c r="J126" s="781"/>
      <c r="K126" s="782"/>
      <c r="L126" s="781"/>
      <c r="M126" s="781"/>
      <c r="N126" s="781"/>
      <c r="O126" s="781"/>
      <c r="P126" s="783"/>
      <c r="Q126" s="781"/>
      <c r="R126" s="781"/>
      <c r="S126" s="781"/>
      <c r="T126" s="781"/>
      <c r="U126" s="784"/>
      <c r="V126" s="781"/>
      <c r="W126" s="781"/>
      <c r="X126" s="781"/>
      <c r="Y126" s="781"/>
      <c r="Z126" s="785"/>
      <c r="AA126" s="400"/>
      <c r="AB126" s="400"/>
      <c r="AC126" s="400"/>
      <c r="AD126" s="400"/>
      <c r="AE126" s="406"/>
    </row>
    <row r="127" spans="1:31" x14ac:dyDescent="0.25">
      <c r="A127" s="399">
        <v>116</v>
      </c>
      <c r="B127" s="781"/>
      <c r="C127" s="781"/>
      <c r="D127" s="781"/>
      <c r="E127" s="781"/>
      <c r="F127" s="786"/>
      <c r="G127" s="781"/>
      <c r="H127" s="781"/>
      <c r="I127" s="781"/>
      <c r="J127" s="781"/>
      <c r="K127" s="782"/>
      <c r="L127" s="781"/>
      <c r="M127" s="781"/>
      <c r="N127" s="781"/>
      <c r="O127" s="781"/>
      <c r="P127" s="783"/>
      <c r="Q127" s="781"/>
      <c r="R127" s="781"/>
      <c r="S127" s="781"/>
      <c r="T127" s="781"/>
      <c r="U127" s="784"/>
      <c r="V127" s="781"/>
      <c r="W127" s="781"/>
      <c r="X127" s="781"/>
      <c r="Y127" s="781"/>
      <c r="Z127" s="785"/>
      <c r="AA127" s="400"/>
      <c r="AB127" s="400"/>
      <c r="AC127" s="400"/>
      <c r="AD127" s="400"/>
      <c r="AE127" s="406"/>
    </row>
    <row r="128" spans="1:31" x14ac:dyDescent="0.25">
      <c r="A128" s="399">
        <v>117</v>
      </c>
      <c r="B128" s="781"/>
      <c r="C128" s="781"/>
      <c r="D128" s="781"/>
      <c r="E128" s="781"/>
      <c r="F128" s="786"/>
      <c r="G128" s="781"/>
      <c r="H128" s="781"/>
      <c r="I128" s="781"/>
      <c r="J128" s="781"/>
      <c r="K128" s="782"/>
      <c r="L128" s="781"/>
      <c r="M128" s="781"/>
      <c r="N128" s="781"/>
      <c r="O128" s="781"/>
      <c r="P128" s="783"/>
      <c r="Q128" s="781"/>
      <c r="R128" s="781"/>
      <c r="S128" s="781"/>
      <c r="T128" s="781"/>
      <c r="U128" s="784"/>
      <c r="V128" s="781"/>
      <c r="W128" s="781"/>
      <c r="X128" s="781"/>
      <c r="Y128" s="781"/>
      <c r="Z128" s="785"/>
      <c r="AA128" s="400"/>
      <c r="AB128" s="400"/>
      <c r="AC128" s="400"/>
      <c r="AD128" s="400"/>
      <c r="AE128" s="406"/>
    </row>
    <row r="129" spans="1:31" x14ac:dyDescent="0.25">
      <c r="A129" s="399">
        <v>118</v>
      </c>
      <c r="B129" s="781"/>
      <c r="C129" s="781"/>
      <c r="D129" s="781"/>
      <c r="E129" s="781"/>
      <c r="F129" s="786"/>
      <c r="G129" s="781"/>
      <c r="H129" s="781"/>
      <c r="I129" s="781"/>
      <c r="J129" s="781"/>
      <c r="K129" s="782"/>
      <c r="L129" s="781"/>
      <c r="M129" s="781"/>
      <c r="N129" s="781"/>
      <c r="O129" s="781"/>
      <c r="P129" s="783"/>
      <c r="Q129" s="781"/>
      <c r="R129" s="781"/>
      <c r="S129" s="781"/>
      <c r="T129" s="781"/>
      <c r="U129" s="784"/>
      <c r="V129" s="781"/>
      <c r="W129" s="781"/>
      <c r="X129" s="781"/>
      <c r="Y129" s="781"/>
      <c r="Z129" s="785"/>
      <c r="AA129" s="400"/>
      <c r="AB129" s="400"/>
      <c r="AC129" s="400"/>
      <c r="AD129" s="400"/>
      <c r="AE129" s="406"/>
    </row>
    <row r="130" spans="1:31" x14ac:dyDescent="0.25">
      <c r="A130" s="399">
        <v>119</v>
      </c>
      <c r="B130" s="781"/>
      <c r="C130" s="781"/>
      <c r="D130" s="781"/>
      <c r="E130" s="781"/>
      <c r="F130" s="786"/>
      <c r="G130" s="781"/>
      <c r="H130" s="781"/>
      <c r="I130" s="781"/>
      <c r="J130" s="781"/>
      <c r="K130" s="782"/>
      <c r="L130" s="781"/>
      <c r="M130" s="781"/>
      <c r="N130" s="781"/>
      <c r="O130" s="781"/>
      <c r="P130" s="783"/>
      <c r="Q130" s="781"/>
      <c r="R130" s="781"/>
      <c r="S130" s="781"/>
      <c r="T130" s="781"/>
      <c r="U130" s="784"/>
      <c r="V130" s="781"/>
      <c r="W130" s="781"/>
      <c r="X130" s="781"/>
      <c r="Y130" s="781"/>
      <c r="Z130" s="785"/>
      <c r="AA130" s="400"/>
      <c r="AB130" s="400"/>
      <c r="AC130" s="400"/>
      <c r="AD130" s="400"/>
      <c r="AE130" s="406"/>
    </row>
    <row r="131" spans="1:31" x14ac:dyDescent="0.25">
      <c r="A131" s="399">
        <v>120</v>
      </c>
      <c r="B131" s="781"/>
      <c r="C131" s="781"/>
      <c r="D131" s="781"/>
      <c r="E131" s="781"/>
      <c r="F131" s="786"/>
      <c r="G131" s="781"/>
      <c r="H131" s="781"/>
      <c r="I131" s="781"/>
      <c r="J131" s="781"/>
      <c r="K131" s="782"/>
      <c r="L131" s="781"/>
      <c r="M131" s="781"/>
      <c r="N131" s="781"/>
      <c r="O131" s="781"/>
      <c r="P131" s="783"/>
      <c r="Q131" s="781"/>
      <c r="R131" s="781"/>
      <c r="S131" s="781"/>
      <c r="T131" s="781"/>
      <c r="U131" s="784"/>
      <c r="V131" s="781"/>
      <c r="W131" s="781"/>
      <c r="X131" s="781"/>
      <c r="Y131" s="781"/>
      <c r="Z131" s="785"/>
      <c r="AA131" s="400"/>
      <c r="AB131" s="400"/>
      <c r="AC131" s="400"/>
      <c r="AD131" s="400"/>
      <c r="AE131" s="406"/>
    </row>
    <row r="132" spans="1:31" x14ac:dyDescent="0.25">
      <c r="A132" s="399">
        <v>121</v>
      </c>
      <c r="B132" s="781"/>
      <c r="C132" s="781"/>
      <c r="D132" s="781"/>
      <c r="E132" s="781"/>
      <c r="F132" s="786"/>
      <c r="G132" s="781"/>
      <c r="H132" s="781"/>
      <c r="I132" s="781"/>
      <c r="J132" s="781"/>
      <c r="K132" s="782"/>
      <c r="L132" s="781"/>
      <c r="M132" s="781"/>
      <c r="N132" s="781"/>
      <c r="O132" s="781"/>
      <c r="P132" s="783"/>
      <c r="Q132" s="781"/>
      <c r="R132" s="781"/>
      <c r="S132" s="781"/>
      <c r="T132" s="781"/>
      <c r="U132" s="784"/>
      <c r="V132" s="781"/>
      <c r="W132" s="781"/>
      <c r="X132" s="781"/>
      <c r="Y132" s="781"/>
      <c r="Z132" s="785"/>
      <c r="AA132" s="400"/>
      <c r="AB132" s="400"/>
      <c r="AC132" s="400"/>
      <c r="AD132" s="400"/>
      <c r="AE132" s="406"/>
    </row>
    <row r="133" spans="1:31" x14ac:dyDescent="0.25">
      <c r="A133" s="399">
        <v>122</v>
      </c>
      <c r="B133" s="781"/>
      <c r="C133" s="781"/>
      <c r="D133" s="781"/>
      <c r="E133" s="781"/>
      <c r="F133" s="786"/>
      <c r="G133" s="781"/>
      <c r="H133" s="781"/>
      <c r="I133" s="781"/>
      <c r="J133" s="781"/>
      <c r="K133" s="782"/>
      <c r="L133" s="781"/>
      <c r="M133" s="781"/>
      <c r="N133" s="781"/>
      <c r="O133" s="781"/>
      <c r="P133" s="783"/>
      <c r="Q133" s="781"/>
      <c r="R133" s="781"/>
      <c r="S133" s="781"/>
      <c r="T133" s="781"/>
      <c r="U133" s="784"/>
      <c r="V133" s="781"/>
      <c r="W133" s="781"/>
      <c r="X133" s="781"/>
      <c r="Y133" s="781"/>
      <c r="Z133" s="785"/>
      <c r="AA133" s="400"/>
      <c r="AB133" s="400"/>
      <c r="AC133" s="400"/>
      <c r="AD133" s="400"/>
      <c r="AE133" s="406"/>
    </row>
    <row r="134" spans="1:31" x14ac:dyDescent="0.25">
      <c r="A134" s="399">
        <v>123</v>
      </c>
      <c r="B134" s="781"/>
      <c r="C134" s="781"/>
      <c r="D134" s="781"/>
      <c r="E134" s="781"/>
      <c r="F134" s="786"/>
      <c r="G134" s="781"/>
      <c r="H134" s="781"/>
      <c r="I134" s="781"/>
      <c r="J134" s="781"/>
      <c r="K134" s="782"/>
      <c r="L134" s="781"/>
      <c r="M134" s="781"/>
      <c r="N134" s="781"/>
      <c r="O134" s="781"/>
      <c r="P134" s="783"/>
      <c r="Q134" s="781"/>
      <c r="R134" s="781"/>
      <c r="S134" s="781"/>
      <c r="T134" s="781"/>
      <c r="U134" s="784"/>
      <c r="V134" s="781"/>
      <c r="W134" s="781"/>
      <c r="X134" s="781"/>
      <c r="Y134" s="781"/>
      <c r="Z134" s="785"/>
      <c r="AA134" s="400"/>
      <c r="AB134" s="400"/>
      <c r="AC134" s="400"/>
      <c r="AD134" s="400"/>
      <c r="AE134" s="406"/>
    </row>
    <row r="135" spans="1:31" x14ac:dyDescent="0.25">
      <c r="A135" s="399">
        <v>124</v>
      </c>
      <c r="B135" s="781"/>
      <c r="C135" s="781"/>
      <c r="D135" s="781"/>
      <c r="E135" s="781"/>
      <c r="F135" s="786"/>
      <c r="G135" s="781"/>
      <c r="H135" s="781"/>
      <c r="I135" s="781"/>
      <c r="J135" s="781"/>
      <c r="K135" s="782"/>
      <c r="L135" s="781"/>
      <c r="M135" s="781"/>
      <c r="N135" s="781"/>
      <c r="O135" s="781"/>
      <c r="P135" s="783"/>
      <c r="Q135" s="781"/>
      <c r="R135" s="781"/>
      <c r="S135" s="781"/>
      <c r="T135" s="781"/>
      <c r="U135" s="784"/>
      <c r="V135" s="781"/>
      <c r="W135" s="781"/>
      <c r="X135" s="781"/>
      <c r="Y135" s="781"/>
      <c r="Z135" s="785"/>
      <c r="AA135" s="400"/>
      <c r="AB135" s="400"/>
      <c r="AC135" s="400"/>
      <c r="AD135" s="400"/>
      <c r="AE135" s="406"/>
    </row>
    <row r="136" spans="1:31" x14ac:dyDescent="0.25">
      <c r="A136" s="399">
        <v>125</v>
      </c>
      <c r="B136" s="781"/>
      <c r="C136" s="781"/>
      <c r="D136" s="781"/>
      <c r="E136" s="781"/>
      <c r="F136" s="786"/>
      <c r="G136" s="781"/>
      <c r="H136" s="781"/>
      <c r="I136" s="781"/>
      <c r="J136" s="781"/>
      <c r="K136" s="782"/>
      <c r="L136" s="781"/>
      <c r="M136" s="781"/>
      <c r="N136" s="781"/>
      <c r="O136" s="781"/>
      <c r="P136" s="783"/>
      <c r="Q136" s="781"/>
      <c r="R136" s="781"/>
      <c r="S136" s="781"/>
      <c r="T136" s="781"/>
      <c r="U136" s="784"/>
      <c r="V136" s="781"/>
      <c r="W136" s="781"/>
      <c r="X136" s="781"/>
      <c r="Y136" s="781"/>
      <c r="Z136" s="785"/>
      <c r="AA136" s="400"/>
      <c r="AB136" s="400"/>
      <c r="AC136" s="400"/>
      <c r="AD136" s="400"/>
      <c r="AE136" s="406"/>
    </row>
    <row r="137" spans="1:31" x14ac:dyDescent="0.25">
      <c r="A137" s="399">
        <v>126</v>
      </c>
      <c r="B137" s="781"/>
      <c r="C137" s="781"/>
      <c r="D137" s="781"/>
      <c r="E137" s="781"/>
      <c r="F137" s="786"/>
      <c r="G137" s="781"/>
      <c r="H137" s="781"/>
      <c r="I137" s="781"/>
      <c r="J137" s="781"/>
      <c r="K137" s="782"/>
      <c r="L137" s="781"/>
      <c r="M137" s="781"/>
      <c r="N137" s="781"/>
      <c r="O137" s="781"/>
      <c r="P137" s="783"/>
      <c r="Q137" s="781"/>
      <c r="R137" s="781"/>
      <c r="S137" s="781"/>
      <c r="T137" s="781"/>
      <c r="U137" s="784"/>
      <c r="V137" s="781"/>
      <c r="W137" s="781"/>
      <c r="X137" s="781"/>
      <c r="Y137" s="781"/>
      <c r="Z137" s="785"/>
      <c r="AA137" s="400"/>
      <c r="AB137" s="400"/>
      <c r="AC137" s="400"/>
      <c r="AD137" s="400"/>
      <c r="AE137" s="406"/>
    </row>
    <row r="138" spans="1:31" x14ac:dyDescent="0.25">
      <c r="A138" s="399">
        <v>127</v>
      </c>
      <c r="B138" s="781"/>
      <c r="C138" s="781"/>
      <c r="D138" s="781"/>
      <c r="E138" s="781"/>
      <c r="F138" s="786"/>
      <c r="G138" s="781"/>
      <c r="H138" s="781"/>
      <c r="I138" s="781"/>
      <c r="J138" s="781"/>
      <c r="K138" s="782"/>
      <c r="L138" s="781"/>
      <c r="M138" s="781"/>
      <c r="N138" s="781"/>
      <c r="O138" s="781"/>
      <c r="P138" s="783"/>
      <c r="Q138" s="781"/>
      <c r="R138" s="781"/>
      <c r="S138" s="781"/>
      <c r="T138" s="781"/>
      <c r="U138" s="784"/>
      <c r="V138" s="781"/>
      <c r="W138" s="781"/>
      <c r="X138" s="781"/>
      <c r="Y138" s="781"/>
      <c r="Z138" s="785"/>
      <c r="AA138" s="400"/>
      <c r="AB138" s="400"/>
      <c r="AC138" s="400"/>
      <c r="AD138" s="400"/>
      <c r="AE138" s="406"/>
    </row>
    <row r="139" spans="1:31" x14ac:dyDescent="0.25">
      <c r="A139" s="399">
        <v>128</v>
      </c>
      <c r="B139" s="781"/>
      <c r="C139" s="781"/>
      <c r="D139" s="781"/>
      <c r="E139" s="781"/>
      <c r="F139" s="786"/>
      <c r="G139" s="781"/>
      <c r="H139" s="781"/>
      <c r="I139" s="781"/>
      <c r="J139" s="781"/>
      <c r="K139" s="782"/>
      <c r="L139" s="781"/>
      <c r="M139" s="781"/>
      <c r="N139" s="781"/>
      <c r="O139" s="781"/>
      <c r="P139" s="783"/>
      <c r="Q139" s="781"/>
      <c r="R139" s="781"/>
      <c r="S139" s="781"/>
      <c r="T139" s="781"/>
      <c r="U139" s="784"/>
      <c r="V139" s="781"/>
      <c r="W139" s="781"/>
      <c r="X139" s="781"/>
      <c r="Y139" s="781"/>
      <c r="Z139" s="785"/>
      <c r="AA139" s="400"/>
      <c r="AB139" s="400"/>
      <c r="AC139" s="400"/>
      <c r="AD139" s="400"/>
      <c r="AE139" s="406"/>
    </row>
    <row r="140" spans="1:31" x14ac:dyDescent="0.25">
      <c r="A140" s="399">
        <v>129</v>
      </c>
      <c r="B140" s="781"/>
      <c r="C140" s="781"/>
      <c r="D140" s="781"/>
      <c r="E140" s="781"/>
      <c r="F140" s="786"/>
      <c r="G140" s="781"/>
      <c r="H140" s="781"/>
      <c r="I140" s="781"/>
      <c r="J140" s="781"/>
      <c r="K140" s="782"/>
      <c r="L140" s="781"/>
      <c r="M140" s="781"/>
      <c r="N140" s="781"/>
      <c r="O140" s="781"/>
      <c r="P140" s="783"/>
      <c r="Q140" s="781"/>
      <c r="R140" s="781"/>
      <c r="S140" s="781"/>
      <c r="T140" s="781"/>
      <c r="U140" s="784"/>
      <c r="V140" s="781"/>
      <c r="W140" s="781"/>
      <c r="X140" s="781"/>
      <c r="Y140" s="781"/>
      <c r="Z140" s="785"/>
      <c r="AA140" s="400"/>
      <c r="AB140" s="400"/>
      <c r="AC140" s="400"/>
      <c r="AD140" s="400"/>
      <c r="AE140" s="406"/>
    </row>
    <row r="141" spans="1:31" x14ac:dyDescent="0.25">
      <c r="A141" s="399">
        <v>130</v>
      </c>
      <c r="B141" s="781"/>
      <c r="C141" s="781"/>
      <c r="D141" s="781"/>
      <c r="E141" s="781"/>
      <c r="F141" s="786"/>
      <c r="G141" s="781"/>
      <c r="H141" s="781"/>
      <c r="I141" s="781"/>
      <c r="J141" s="781"/>
      <c r="K141" s="782"/>
      <c r="L141" s="781"/>
      <c r="M141" s="781"/>
      <c r="N141" s="781"/>
      <c r="O141" s="781"/>
      <c r="P141" s="783"/>
      <c r="Q141" s="781"/>
      <c r="R141" s="781"/>
      <c r="S141" s="781"/>
      <c r="T141" s="781"/>
      <c r="U141" s="784"/>
      <c r="V141" s="781"/>
      <c r="W141" s="781"/>
      <c r="X141" s="781"/>
      <c r="Y141" s="781"/>
      <c r="Z141" s="785"/>
      <c r="AA141" s="400"/>
      <c r="AB141" s="400"/>
      <c r="AC141" s="400"/>
      <c r="AD141" s="400"/>
      <c r="AE141" s="406"/>
    </row>
    <row r="142" spans="1:31" x14ac:dyDescent="0.25">
      <c r="A142" s="399">
        <v>131</v>
      </c>
      <c r="B142" s="781"/>
      <c r="C142" s="781"/>
      <c r="D142" s="781"/>
      <c r="E142" s="781"/>
      <c r="F142" s="786"/>
      <c r="G142" s="781"/>
      <c r="H142" s="781"/>
      <c r="I142" s="781"/>
      <c r="J142" s="781"/>
      <c r="K142" s="782"/>
      <c r="L142" s="781"/>
      <c r="M142" s="781"/>
      <c r="N142" s="781"/>
      <c r="O142" s="781"/>
      <c r="P142" s="783"/>
      <c r="Q142" s="781"/>
      <c r="R142" s="781"/>
      <c r="S142" s="781"/>
      <c r="T142" s="781"/>
      <c r="U142" s="784"/>
      <c r="V142" s="781"/>
      <c r="W142" s="781"/>
      <c r="X142" s="781"/>
      <c r="Y142" s="781"/>
      <c r="Z142" s="785"/>
      <c r="AA142" s="400"/>
      <c r="AB142" s="400"/>
      <c r="AC142" s="400"/>
      <c r="AD142" s="400"/>
      <c r="AE142" s="406"/>
    </row>
    <row r="143" spans="1:31" x14ac:dyDescent="0.25">
      <c r="A143" s="399">
        <v>132</v>
      </c>
      <c r="B143" s="781"/>
      <c r="C143" s="781"/>
      <c r="D143" s="781"/>
      <c r="E143" s="781"/>
      <c r="F143" s="786"/>
      <c r="G143" s="781"/>
      <c r="H143" s="781"/>
      <c r="I143" s="781"/>
      <c r="J143" s="781"/>
      <c r="K143" s="782"/>
      <c r="L143" s="781"/>
      <c r="M143" s="781"/>
      <c r="N143" s="781"/>
      <c r="O143" s="781"/>
      <c r="P143" s="783"/>
      <c r="Q143" s="781"/>
      <c r="R143" s="781"/>
      <c r="S143" s="781"/>
      <c r="T143" s="781"/>
      <c r="U143" s="784"/>
      <c r="V143" s="781"/>
      <c r="W143" s="781"/>
      <c r="X143" s="781"/>
      <c r="Y143" s="781"/>
      <c r="Z143" s="785"/>
      <c r="AA143" s="400"/>
      <c r="AB143" s="400"/>
      <c r="AC143" s="400"/>
      <c r="AD143" s="400"/>
      <c r="AE143" s="406"/>
    </row>
    <row r="144" spans="1:31" x14ac:dyDescent="0.25">
      <c r="A144" s="399">
        <v>133</v>
      </c>
      <c r="B144" s="781"/>
      <c r="C144" s="781"/>
      <c r="D144" s="781"/>
      <c r="E144" s="781"/>
      <c r="F144" s="786"/>
      <c r="G144" s="781"/>
      <c r="H144" s="781"/>
      <c r="I144" s="781"/>
      <c r="J144" s="781"/>
      <c r="K144" s="782"/>
      <c r="L144" s="781"/>
      <c r="M144" s="781"/>
      <c r="N144" s="781"/>
      <c r="O144" s="781"/>
      <c r="P144" s="783"/>
      <c r="Q144" s="781"/>
      <c r="R144" s="781"/>
      <c r="S144" s="781"/>
      <c r="T144" s="781"/>
      <c r="U144" s="784"/>
      <c r="V144" s="781"/>
      <c r="W144" s="781"/>
      <c r="X144" s="781"/>
      <c r="Y144" s="781"/>
      <c r="Z144" s="785"/>
      <c r="AA144" s="400"/>
      <c r="AB144" s="400"/>
      <c r="AC144" s="400"/>
      <c r="AD144" s="400"/>
      <c r="AE144" s="406"/>
    </row>
    <row r="145" spans="1:31" x14ac:dyDescent="0.25">
      <c r="A145" s="399">
        <v>134</v>
      </c>
      <c r="B145" s="781"/>
      <c r="C145" s="781"/>
      <c r="D145" s="781"/>
      <c r="E145" s="781"/>
      <c r="F145" s="786"/>
      <c r="G145" s="781"/>
      <c r="H145" s="781"/>
      <c r="I145" s="781"/>
      <c r="J145" s="781"/>
      <c r="K145" s="782"/>
      <c r="L145" s="781"/>
      <c r="M145" s="781"/>
      <c r="N145" s="781"/>
      <c r="O145" s="781"/>
      <c r="P145" s="783"/>
      <c r="Q145" s="781"/>
      <c r="R145" s="781"/>
      <c r="S145" s="781"/>
      <c r="T145" s="781"/>
      <c r="U145" s="784"/>
      <c r="V145" s="781"/>
      <c r="W145" s="781"/>
      <c r="X145" s="781"/>
      <c r="Y145" s="781"/>
      <c r="Z145" s="785"/>
      <c r="AA145" s="400"/>
      <c r="AB145" s="400"/>
      <c r="AC145" s="400"/>
      <c r="AD145" s="400"/>
      <c r="AE145" s="406"/>
    </row>
    <row r="146" spans="1:31" x14ac:dyDescent="0.25">
      <c r="A146" s="399">
        <v>135</v>
      </c>
      <c r="B146" s="781"/>
      <c r="C146" s="781"/>
      <c r="D146" s="781"/>
      <c r="E146" s="781"/>
      <c r="F146" s="786"/>
      <c r="G146" s="781"/>
      <c r="H146" s="781"/>
      <c r="I146" s="781"/>
      <c r="J146" s="781"/>
      <c r="K146" s="782"/>
      <c r="L146" s="781"/>
      <c r="M146" s="781"/>
      <c r="N146" s="781"/>
      <c r="O146" s="781"/>
      <c r="P146" s="783"/>
      <c r="Q146" s="781"/>
      <c r="R146" s="781"/>
      <c r="S146" s="781"/>
      <c r="T146" s="781"/>
      <c r="U146" s="784"/>
      <c r="V146" s="781"/>
      <c r="W146" s="781"/>
      <c r="X146" s="781"/>
      <c r="Y146" s="781"/>
      <c r="Z146" s="785"/>
      <c r="AA146" s="400"/>
      <c r="AB146" s="400"/>
      <c r="AC146" s="400"/>
      <c r="AD146" s="400"/>
      <c r="AE146" s="406"/>
    </row>
    <row r="147" spans="1:31" x14ac:dyDescent="0.25">
      <c r="A147" s="399">
        <v>136</v>
      </c>
      <c r="B147" s="781"/>
      <c r="C147" s="781"/>
      <c r="D147" s="781"/>
      <c r="E147" s="781"/>
      <c r="F147" s="786"/>
      <c r="G147" s="781"/>
      <c r="H147" s="781"/>
      <c r="I147" s="781"/>
      <c r="J147" s="781"/>
      <c r="K147" s="782"/>
      <c r="L147" s="781"/>
      <c r="M147" s="781"/>
      <c r="N147" s="781"/>
      <c r="O147" s="781"/>
      <c r="P147" s="783"/>
      <c r="Q147" s="781"/>
      <c r="R147" s="781"/>
      <c r="S147" s="781"/>
      <c r="T147" s="781"/>
      <c r="U147" s="784"/>
      <c r="V147" s="781"/>
      <c r="W147" s="781"/>
      <c r="X147" s="781"/>
      <c r="Y147" s="781"/>
      <c r="Z147" s="785"/>
      <c r="AA147" s="400"/>
      <c r="AB147" s="400"/>
      <c r="AC147" s="400"/>
      <c r="AD147" s="400"/>
      <c r="AE147" s="406"/>
    </row>
    <row r="148" spans="1:31" x14ac:dyDescent="0.25">
      <c r="A148" s="399">
        <v>137</v>
      </c>
      <c r="B148" s="781"/>
      <c r="C148" s="781"/>
      <c r="D148" s="781"/>
      <c r="E148" s="781"/>
      <c r="F148" s="786"/>
      <c r="G148" s="781"/>
      <c r="H148" s="781"/>
      <c r="I148" s="781"/>
      <c r="J148" s="781"/>
      <c r="K148" s="782"/>
      <c r="L148" s="781"/>
      <c r="M148" s="781"/>
      <c r="N148" s="781"/>
      <c r="O148" s="781"/>
      <c r="P148" s="783"/>
      <c r="Q148" s="781"/>
      <c r="R148" s="781"/>
      <c r="S148" s="781"/>
      <c r="T148" s="781"/>
      <c r="U148" s="784"/>
      <c r="V148" s="781"/>
      <c r="W148" s="781"/>
      <c r="X148" s="781"/>
      <c r="Y148" s="781"/>
      <c r="Z148" s="785"/>
      <c r="AA148" s="400"/>
      <c r="AB148" s="400"/>
      <c r="AC148" s="400"/>
      <c r="AD148" s="400"/>
      <c r="AE148" s="406"/>
    </row>
    <row r="149" spans="1:31" x14ac:dyDescent="0.25">
      <c r="A149" s="399">
        <v>138</v>
      </c>
      <c r="B149" s="781"/>
      <c r="C149" s="781"/>
      <c r="D149" s="781"/>
      <c r="E149" s="781"/>
      <c r="F149" s="786"/>
      <c r="G149" s="781"/>
      <c r="H149" s="781"/>
      <c r="I149" s="781"/>
      <c r="J149" s="781"/>
      <c r="K149" s="782"/>
      <c r="L149" s="781"/>
      <c r="M149" s="781"/>
      <c r="N149" s="781"/>
      <c r="O149" s="781"/>
      <c r="P149" s="783"/>
      <c r="Q149" s="781"/>
      <c r="R149" s="781"/>
      <c r="S149" s="781"/>
      <c r="T149" s="781"/>
      <c r="U149" s="784"/>
      <c r="V149" s="781"/>
      <c r="W149" s="781"/>
      <c r="X149" s="781"/>
      <c r="Y149" s="781"/>
      <c r="Z149" s="785"/>
      <c r="AA149" s="400"/>
      <c r="AB149" s="400"/>
      <c r="AC149" s="400"/>
      <c r="AD149" s="400"/>
      <c r="AE149" s="406"/>
    </row>
    <row r="150" spans="1:31" x14ac:dyDescent="0.25">
      <c r="A150" s="399">
        <v>139</v>
      </c>
      <c r="B150" s="781"/>
      <c r="C150" s="781"/>
      <c r="D150" s="781"/>
      <c r="E150" s="781"/>
      <c r="F150" s="786"/>
      <c r="G150" s="781"/>
      <c r="H150" s="781"/>
      <c r="I150" s="781"/>
      <c r="J150" s="781"/>
      <c r="K150" s="782"/>
      <c r="L150" s="781"/>
      <c r="M150" s="781"/>
      <c r="N150" s="781"/>
      <c r="O150" s="781"/>
      <c r="P150" s="783"/>
      <c r="Q150" s="781"/>
      <c r="R150" s="781"/>
      <c r="S150" s="781"/>
      <c r="T150" s="781"/>
      <c r="U150" s="784"/>
      <c r="V150" s="781"/>
      <c r="W150" s="781"/>
      <c r="X150" s="781"/>
      <c r="Y150" s="781"/>
      <c r="Z150" s="785"/>
      <c r="AA150" s="400"/>
      <c r="AB150" s="400"/>
      <c r="AC150" s="400"/>
      <c r="AD150" s="400"/>
      <c r="AE150" s="406"/>
    </row>
    <row r="151" spans="1:31" x14ac:dyDescent="0.25">
      <c r="A151" s="399">
        <v>140</v>
      </c>
      <c r="B151" s="781"/>
      <c r="C151" s="781"/>
      <c r="D151" s="781"/>
      <c r="E151" s="781"/>
      <c r="F151" s="786"/>
      <c r="G151" s="781"/>
      <c r="H151" s="781"/>
      <c r="I151" s="781"/>
      <c r="J151" s="781"/>
      <c r="K151" s="782"/>
      <c r="L151" s="781"/>
      <c r="M151" s="781"/>
      <c r="N151" s="781"/>
      <c r="O151" s="781"/>
      <c r="P151" s="783"/>
      <c r="Q151" s="781"/>
      <c r="R151" s="781"/>
      <c r="S151" s="781"/>
      <c r="T151" s="781"/>
      <c r="U151" s="784"/>
      <c r="V151" s="781"/>
      <c r="W151" s="781"/>
      <c r="X151" s="781"/>
      <c r="Y151" s="781"/>
      <c r="Z151" s="785"/>
      <c r="AA151" s="400"/>
      <c r="AB151" s="400"/>
      <c r="AC151" s="400"/>
      <c r="AD151" s="400"/>
      <c r="AE151" s="406"/>
    </row>
    <row r="152" spans="1:31" x14ac:dyDescent="0.25">
      <c r="A152" s="399">
        <v>141</v>
      </c>
      <c r="B152" s="781"/>
      <c r="C152" s="781"/>
      <c r="D152" s="781"/>
      <c r="E152" s="781"/>
      <c r="F152" s="786"/>
      <c r="G152" s="781"/>
      <c r="H152" s="781"/>
      <c r="I152" s="781"/>
      <c r="J152" s="781"/>
      <c r="K152" s="782"/>
      <c r="L152" s="781"/>
      <c r="M152" s="781"/>
      <c r="N152" s="781"/>
      <c r="O152" s="781"/>
      <c r="P152" s="783"/>
      <c r="Q152" s="781"/>
      <c r="R152" s="781"/>
      <c r="S152" s="781"/>
      <c r="T152" s="781"/>
      <c r="U152" s="784"/>
      <c r="V152" s="781"/>
      <c r="W152" s="781"/>
      <c r="X152" s="781"/>
      <c r="Y152" s="781"/>
      <c r="Z152" s="785"/>
      <c r="AA152" s="400"/>
      <c r="AB152" s="400"/>
      <c r="AC152" s="400"/>
      <c r="AD152" s="400"/>
      <c r="AE152" s="406"/>
    </row>
    <row r="153" spans="1:31" x14ac:dyDescent="0.25">
      <c r="A153" s="399">
        <v>142</v>
      </c>
      <c r="B153" s="781"/>
      <c r="C153" s="781"/>
      <c r="D153" s="781"/>
      <c r="E153" s="781"/>
      <c r="F153" s="786"/>
      <c r="G153" s="781"/>
      <c r="H153" s="781"/>
      <c r="I153" s="781"/>
      <c r="J153" s="781"/>
      <c r="K153" s="782"/>
      <c r="L153" s="781"/>
      <c r="M153" s="781"/>
      <c r="N153" s="781"/>
      <c r="O153" s="781"/>
      <c r="P153" s="783"/>
      <c r="Q153" s="781"/>
      <c r="R153" s="781"/>
      <c r="S153" s="781"/>
      <c r="T153" s="781"/>
      <c r="U153" s="784"/>
      <c r="V153" s="781"/>
      <c r="W153" s="781"/>
      <c r="X153" s="781"/>
      <c r="Y153" s="781"/>
      <c r="Z153" s="785"/>
      <c r="AA153" s="400"/>
      <c r="AB153" s="400"/>
      <c r="AC153" s="400"/>
      <c r="AD153" s="400"/>
      <c r="AE153" s="406"/>
    </row>
    <row r="154" spans="1:31" x14ac:dyDescent="0.25">
      <c r="A154" s="399">
        <v>143</v>
      </c>
      <c r="B154" s="781"/>
      <c r="C154" s="781"/>
      <c r="D154" s="781"/>
      <c r="E154" s="781"/>
      <c r="F154" s="786"/>
      <c r="G154" s="781"/>
      <c r="H154" s="781"/>
      <c r="I154" s="781"/>
      <c r="J154" s="781"/>
      <c r="K154" s="782"/>
      <c r="L154" s="781"/>
      <c r="M154" s="781"/>
      <c r="N154" s="781"/>
      <c r="O154" s="781"/>
      <c r="P154" s="783"/>
      <c r="Q154" s="781"/>
      <c r="R154" s="781"/>
      <c r="S154" s="781"/>
      <c r="T154" s="781"/>
      <c r="U154" s="784"/>
      <c r="V154" s="781"/>
      <c r="W154" s="781"/>
      <c r="X154" s="781"/>
      <c r="Y154" s="781"/>
      <c r="Z154" s="785"/>
      <c r="AA154" s="400"/>
      <c r="AB154" s="400"/>
      <c r="AC154" s="400"/>
      <c r="AD154" s="400"/>
      <c r="AE154" s="406"/>
    </row>
    <row r="155" spans="1:31" x14ac:dyDescent="0.25">
      <c r="A155" s="399">
        <v>144</v>
      </c>
      <c r="B155" s="781"/>
      <c r="C155" s="781"/>
      <c r="D155" s="781"/>
      <c r="E155" s="781"/>
      <c r="F155" s="786"/>
      <c r="G155" s="781"/>
      <c r="H155" s="781"/>
      <c r="I155" s="781"/>
      <c r="J155" s="781"/>
      <c r="K155" s="782"/>
      <c r="L155" s="781"/>
      <c r="M155" s="781"/>
      <c r="N155" s="781"/>
      <c r="O155" s="781"/>
      <c r="P155" s="783"/>
      <c r="Q155" s="781"/>
      <c r="R155" s="781"/>
      <c r="S155" s="781"/>
      <c r="T155" s="781"/>
      <c r="U155" s="784"/>
      <c r="V155" s="781"/>
      <c r="W155" s="781"/>
      <c r="X155" s="781"/>
      <c r="Y155" s="781"/>
      <c r="Z155" s="785"/>
      <c r="AA155" s="400"/>
      <c r="AB155" s="400"/>
      <c r="AC155" s="400"/>
      <c r="AD155" s="400"/>
      <c r="AE155" s="406"/>
    </row>
    <row r="156" spans="1:31" x14ac:dyDescent="0.25">
      <c r="A156" s="399">
        <v>145</v>
      </c>
      <c r="B156" s="781"/>
      <c r="C156" s="781"/>
      <c r="D156" s="781"/>
      <c r="E156" s="781"/>
      <c r="F156" s="786"/>
      <c r="G156" s="781"/>
      <c r="H156" s="781"/>
      <c r="I156" s="781"/>
      <c r="J156" s="781"/>
      <c r="K156" s="782"/>
      <c r="L156" s="781"/>
      <c r="M156" s="781"/>
      <c r="N156" s="781"/>
      <c r="O156" s="781"/>
      <c r="P156" s="783"/>
      <c r="Q156" s="781"/>
      <c r="R156" s="781"/>
      <c r="S156" s="781"/>
      <c r="T156" s="781"/>
      <c r="U156" s="784"/>
      <c r="V156" s="781"/>
      <c r="W156" s="781"/>
      <c r="X156" s="781"/>
      <c r="Y156" s="781"/>
      <c r="Z156" s="785"/>
      <c r="AA156" s="400"/>
      <c r="AB156" s="400"/>
      <c r="AC156" s="400"/>
      <c r="AD156" s="400"/>
      <c r="AE156" s="406"/>
    </row>
    <row r="157" spans="1:31" x14ac:dyDescent="0.25">
      <c r="A157" s="399">
        <v>146</v>
      </c>
      <c r="B157" s="781"/>
      <c r="C157" s="781"/>
      <c r="D157" s="781"/>
      <c r="E157" s="781"/>
      <c r="F157" s="786"/>
      <c r="G157" s="781"/>
      <c r="H157" s="781"/>
      <c r="I157" s="781"/>
      <c r="J157" s="781"/>
      <c r="K157" s="782"/>
      <c r="L157" s="781"/>
      <c r="M157" s="781"/>
      <c r="N157" s="781"/>
      <c r="O157" s="781"/>
      <c r="P157" s="783"/>
      <c r="Q157" s="781"/>
      <c r="R157" s="781"/>
      <c r="S157" s="781"/>
      <c r="T157" s="781"/>
      <c r="U157" s="784"/>
      <c r="V157" s="781"/>
      <c r="W157" s="781"/>
      <c r="X157" s="781"/>
      <c r="Y157" s="781"/>
      <c r="Z157" s="785"/>
      <c r="AA157" s="400"/>
      <c r="AB157" s="400"/>
      <c r="AC157" s="400"/>
      <c r="AD157" s="400"/>
      <c r="AE157" s="406"/>
    </row>
    <row r="158" spans="1:31" x14ac:dyDescent="0.25">
      <c r="A158" s="399">
        <v>147</v>
      </c>
      <c r="B158" s="781"/>
      <c r="C158" s="781"/>
      <c r="D158" s="781"/>
      <c r="E158" s="781"/>
      <c r="F158" s="786"/>
      <c r="G158" s="781"/>
      <c r="H158" s="781"/>
      <c r="I158" s="781"/>
      <c r="J158" s="781"/>
      <c r="K158" s="782"/>
      <c r="L158" s="781"/>
      <c r="M158" s="781"/>
      <c r="N158" s="781"/>
      <c r="O158" s="781"/>
      <c r="P158" s="783"/>
      <c r="Q158" s="781"/>
      <c r="R158" s="781"/>
      <c r="S158" s="781"/>
      <c r="T158" s="781"/>
      <c r="U158" s="784"/>
      <c r="V158" s="781"/>
      <c r="W158" s="781"/>
      <c r="X158" s="781"/>
      <c r="Y158" s="781"/>
      <c r="Z158" s="785"/>
      <c r="AA158" s="400"/>
      <c r="AB158" s="400"/>
      <c r="AC158" s="400"/>
      <c r="AD158" s="400"/>
      <c r="AE158" s="406"/>
    </row>
    <row r="159" spans="1:31" x14ac:dyDescent="0.25">
      <c r="A159" s="399">
        <v>148</v>
      </c>
      <c r="B159" s="781"/>
      <c r="C159" s="781"/>
      <c r="D159" s="781"/>
      <c r="E159" s="781"/>
      <c r="F159" s="786"/>
      <c r="G159" s="781"/>
      <c r="H159" s="781"/>
      <c r="I159" s="781"/>
      <c r="J159" s="781"/>
      <c r="K159" s="782"/>
      <c r="L159" s="781"/>
      <c r="M159" s="781"/>
      <c r="N159" s="781"/>
      <c r="O159" s="781"/>
      <c r="P159" s="783"/>
      <c r="Q159" s="781"/>
      <c r="R159" s="781"/>
      <c r="S159" s="781"/>
      <c r="T159" s="781"/>
      <c r="U159" s="784"/>
      <c r="V159" s="781"/>
      <c r="W159" s="781"/>
      <c r="X159" s="781"/>
      <c r="Y159" s="781"/>
      <c r="Z159" s="785"/>
      <c r="AA159" s="400"/>
      <c r="AB159" s="400"/>
      <c r="AC159" s="400"/>
      <c r="AD159" s="400"/>
      <c r="AE159" s="406"/>
    </row>
    <row r="160" spans="1:31" x14ac:dyDescent="0.25">
      <c r="A160" s="399">
        <v>149</v>
      </c>
      <c r="B160" s="781"/>
      <c r="C160" s="781"/>
      <c r="D160" s="781"/>
      <c r="E160" s="781"/>
      <c r="F160" s="786"/>
      <c r="G160" s="781"/>
      <c r="H160" s="781"/>
      <c r="I160" s="781"/>
      <c r="J160" s="781"/>
      <c r="K160" s="782"/>
      <c r="L160" s="781"/>
      <c r="M160" s="781"/>
      <c r="N160" s="781"/>
      <c r="O160" s="781"/>
      <c r="P160" s="783"/>
      <c r="Q160" s="781"/>
      <c r="R160" s="781"/>
      <c r="S160" s="781"/>
      <c r="T160" s="781"/>
      <c r="U160" s="784"/>
      <c r="V160" s="781"/>
      <c r="W160" s="781"/>
      <c r="X160" s="781"/>
      <c r="Y160" s="781"/>
      <c r="Z160" s="785"/>
      <c r="AA160" s="400"/>
      <c r="AB160" s="400"/>
      <c r="AC160" s="400"/>
      <c r="AD160" s="400"/>
      <c r="AE160" s="406"/>
    </row>
    <row r="161" spans="1:31" x14ac:dyDescent="0.25">
      <c r="A161" s="399">
        <v>150</v>
      </c>
      <c r="B161" s="781"/>
      <c r="C161" s="781"/>
      <c r="D161" s="781"/>
      <c r="E161" s="781"/>
      <c r="F161" s="786"/>
      <c r="G161" s="781"/>
      <c r="H161" s="781"/>
      <c r="I161" s="781"/>
      <c r="J161" s="781"/>
      <c r="K161" s="782"/>
      <c r="L161" s="781"/>
      <c r="M161" s="781"/>
      <c r="N161" s="781"/>
      <c r="O161" s="781"/>
      <c r="P161" s="783"/>
      <c r="Q161" s="781"/>
      <c r="R161" s="781"/>
      <c r="S161" s="781"/>
      <c r="T161" s="781"/>
      <c r="U161" s="784"/>
      <c r="V161" s="781"/>
      <c r="W161" s="781"/>
      <c r="X161" s="781"/>
      <c r="Y161" s="781"/>
      <c r="Z161" s="785"/>
      <c r="AA161" s="400"/>
      <c r="AB161" s="400"/>
      <c r="AC161" s="400"/>
      <c r="AD161" s="400"/>
      <c r="AE161" s="406"/>
    </row>
    <row r="162" spans="1:31" x14ac:dyDescent="0.25">
      <c r="A162" s="399">
        <v>151</v>
      </c>
      <c r="B162" s="781"/>
      <c r="C162" s="781"/>
      <c r="D162" s="781"/>
      <c r="E162" s="781"/>
      <c r="F162" s="786"/>
      <c r="G162" s="781"/>
      <c r="H162" s="781"/>
      <c r="I162" s="781"/>
      <c r="J162" s="781"/>
      <c r="K162" s="782"/>
      <c r="L162" s="781"/>
      <c r="M162" s="781"/>
      <c r="N162" s="781"/>
      <c r="O162" s="781"/>
      <c r="P162" s="783"/>
      <c r="Q162" s="781"/>
      <c r="R162" s="781"/>
      <c r="S162" s="781"/>
      <c r="T162" s="781"/>
      <c r="U162" s="784"/>
      <c r="V162" s="781"/>
      <c r="W162" s="781"/>
      <c r="X162" s="781"/>
      <c r="Y162" s="781"/>
      <c r="Z162" s="785"/>
      <c r="AA162" s="400"/>
      <c r="AB162" s="400"/>
      <c r="AC162" s="400"/>
      <c r="AD162" s="400"/>
      <c r="AE162" s="406"/>
    </row>
    <row r="163" spans="1:31" x14ac:dyDescent="0.25">
      <c r="A163" s="399">
        <v>152</v>
      </c>
      <c r="B163" s="781"/>
      <c r="C163" s="781"/>
      <c r="D163" s="781"/>
      <c r="E163" s="781"/>
      <c r="F163" s="786"/>
      <c r="G163" s="781"/>
      <c r="H163" s="781"/>
      <c r="I163" s="781"/>
      <c r="J163" s="781"/>
      <c r="K163" s="782"/>
      <c r="L163" s="781"/>
      <c r="M163" s="781"/>
      <c r="N163" s="781"/>
      <c r="O163" s="781"/>
      <c r="P163" s="783"/>
      <c r="Q163" s="781"/>
      <c r="R163" s="781"/>
      <c r="S163" s="781"/>
      <c r="T163" s="781"/>
      <c r="U163" s="784"/>
      <c r="V163" s="781"/>
      <c r="W163" s="781"/>
      <c r="X163" s="781"/>
      <c r="Y163" s="781"/>
      <c r="Z163" s="785"/>
      <c r="AA163" s="400"/>
      <c r="AB163" s="400"/>
      <c r="AC163" s="400"/>
      <c r="AD163" s="400"/>
      <c r="AE163" s="406"/>
    </row>
    <row r="164" spans="1:31" x14ac:dyDescent="0.25">
      <c r="A164" s="399">
        <v>153</v>
      </c>
      <c r="B164" s="781"/>
      <c r="C164" s="781"/>
      <c r="D164" s="781"/>
      <c r="E164" s="781"/>
      <c r="F164" s="786"/>
      <c r="G164" s="781"/>
      <c r="H164" s="781"/>
      <c r="I164" s="781"/>
      <c r="J164" s="781"/>
      <c r="K164" s="782"/>
      <c r="L164" s="781"/>
      <c r="M164" s="781"/>
      <c r="N164" s="781"/>
      <c r="O164" s="781"/>
      <c r="P164" s="783"/>
      <c r="Q164" s="781"/>
      <c r="R164" s="781"/>
      <c r="S164" s="781"/>
      <c r="T164" s="781"/>
      <c r="U164" s="784"/>
      <c r="V164" s="781"/>
      <c r="W164" s="781"/>
      <c r="X164" s="781"/>
      <c r="Y164" s="781"/>
      <c r="Z164" s="785"/>
      <c r="AA164" s="400"/>
      <c r="AB164" s="400"/>
      <c r="AC164" s="400"/>
      <c r="AD164" s="400"/>
      <c r="AE164" s="406"/>
    </row>
    <row r="165" spans="1:31" x14ac:dyDescent="0.25">
      <c r="A165" s="399">
        <v>154</v>
      </c>
      <c r="B165" s="781"/>
      <c r="C165" s="781"/>
      <c r="D165" s="781"/>
      <c r="E165" s="781"/>
      <c r="F165" s="786"/>
      <c r="G165" s="781"/>
      <c r="H165" s="781"/>
      <c r="I165" s="781"/>
      <c r="J165" s="781"/>
      <c r="K165" s="782"/>
      <c r="L165" s="781"/>
      <c r="M165" s="781"/>
      <c r="N165" s="781"/>
      <c r="O165" s="781"/>
      <c r="P165" s="783"/>
      <c r="Q165" s="781"/>
      <c r="R165" s="781"/>
      <c r="S165" s="781"/>
      <c r="T165" s="781"/>
      <c r="U165" s="784"/>
      <c r="V165" s="781"/>
      <c r="W165" s="781"/>
      <c r="X165" s="781"/>
      <c r="Y165" s="781"/>
      <c r="Z165" s="785"/>
      <c r="AA165" s="400"/>
      <c r="AB165" s="400"/>
      <c r="AC165" s="400"/>
      <c r="AD165" s="400"/>
      <c r="AE165" s="406"/>
    </row>
    <row r="166" spans="1:31" x14ac:dyDescent="0.25">
      <c r="A166" s="399">
        <v>155</v>
      </c>
      <c r="B166" s="781"/>
      <c r="C166" s="781"/>
      <c r="D166" s="781"/>
      <c r="E166" s="781"/>
      <c r="F166" s="786"/>
      <c r="G166" s="781"/>
      <c r="H166" s="781"/>
      <c r="I166" s="781"/>
      <c r="J166" s="781"/>
      <c r="K166" s="782"/>
      <c r="L166" s="781"/>
      <c r="M166" s="781"/>
      <c r="N166" s="781"/>
      <c r="O166" s="781"/>
      <c r="P166" s="783"/>
      <c r="Q166" s="781"/>
      <c r="R166" s="781"/>
      <c r="S166" s="781"/>
      <c r="T166" s="781"/>
      <c r="U166" s="784"/>
      <c r="V166" s="781"/>
      <c r="W166" s="781"/>
      <c r="X166" s="781"/>
      <c r="Y166" s="781"/>
      <c r="Z166" s="785"/>
      <c r="AA166" s="400"/>
      <c r="AB166" s="400"/>
      <c r="AC166" s="400"/>
      <c r="AD166" s="400"/>
      <c r="AE166" s="406"/>
    </row>
    <row r="167" spans="1:31" x14ac:dyDescent="0.25">
      <c r="A167" s="399">
        <v>156</v>
      </c>
      <c r="B167" s="781"/>
      <c r="C167" s="781"/>
      <c r="D167" s="781"/>
      <c r="E167" s="781"/>
      <c r="F167" s="786"/>
      <c r="G167" s="781"/>
      <c r="H167" s="781"/>
      <c r="I167" s="781"/>
      <c r="J167" s="781"/>
      <c r="K167" s="782"/>
      <c r="L167" s="781"/>
      <c r="M167" s="781"/>
      <c r="N167" s="781"/>
      <c r="O167" s="781"/>
      <c r="P167" s="783"/>
      <c r="Q167" s="781"/>
      <c r="R167" s="781"/>
      <c r="S167" s="781"/>
      <c r="T167" s="781"/>
      <c r="U167" s="784"/>
      <c r="V167" s="781"/>
      <c r="W167" s="781"/>
      <c r="X167" s="781"/>
      <c r="Y167" s="781"/>
      <c r="Z167" s="785"/>
      <c r="AA167" s="400"/>
      <c r="AB167" s="400"/>
      <c r="AC167" s="400"/>
      <c r="AD167" s="400"/>
      <c r="AE167" s="406"/>
    </row>
    <row r="168" spans="1:31" x14ac:dyDescent="0.25">
      <c r="A168" s="399">
        <v>157</v>
      </c>
      <c r="B168" s="781"/>
      <c r="C168" s="781"/>
      <c r="D168" s="781"/>
      <c r="E168" s="781"/>
      <c r="F168" s="786"/>
      <c r="G168" s="781"/>
      <c r="H168" s="781"/>
      <c r="I168" s="781"/>
      <c r="J168" s="781"/>
      <c r="K168" s="782"/>
      <c r="L168" s="781"/>
      <c r="M168" s="781"/>
      <c r="N168" s="781"/>
      <c r="O168" s="781"/>
      <c r="P168" s="783"/>
      <c r="Q168" s="781"/>
      <c r="R168" s="781"/>
      <c r="S168" s="781"/>
      <c r="T168" s="781"/>
      <c r="U168" s="784"/>
      <c r="V168" s="781"/>
      <c r="W168" s="781"/>
      <c r="X168" s="781"/>
      <c r="Y168" s="781"/>
      <c r="Z168" s="785"/>
      <c r="AA168" s="400"/>
      <c r="AB168" s="400"/>
      <c r="AC168" s="400"/>
      <c r="AD168" s="400"/>
      <c r="AE168" s="406"/>
    </row>
    <row r="169" spans="1:31" x14ac:dyDescent="0.25">
      <c r="A169" s="399">
        <v>158</v>
      </c>
      <c r="B169" s="781"/>
      <c r="C169" s="781"/>
      <c r="D169" s="781"/>
      <c r="E169" s="781"/>
      <c r="F169" s="786"/>
      <c r="G169" s="781"/>
      <c r="H169" s="781"/>
      <c r="I169" s="781"/>
      <c r="J169" s="781"/>
      <c r="K169" s="782"/>
      <c r="L169" s="781"/>
      <c r="M169" s="781"/>
      <c r="N169" s="781"/>
      <c r="O169" s="781"/>
      <c r="P169" s="783"/>
      <c r="Q169" s="781"/>
      <c r="R169" s="781"/>
      <c r="S169" s="781"/>
      <c r="T169" s="781"/>
      <c r="U169" s="784"/>
      <c r="V169" s="781"/>
      <c r="W169" s="781"/>
      <c r="X169" s="781"/>
      <c r="Y169" s="781"/>
      <c r="Z169" s="785"/>
      <c r="AA169" s="400"/>
      <c r="AB169" s="400"/>
      <c r="AC169" s="400"/>
      <c r="AD169" s="400"/>
      <c r="AE169" s="406"/>
    </row>
    <row r="170" spans="1:31" x14ac:dyDescent="0.25">
      <c r="A170" s="399">
        <v>159</v>
      </c>
      <c r="B170" s="781"/>
      <c r="C170" s="781"/>
      <c r="D170" s="781"/>
      <c r="E170" s="781"/>
      <c r="F170" s="786"/>
      <c r="G170" s="781"/>
      <c r="H170" s="781"/>
      <c r="I170" s="781"/>
      <c r="J170" s="781"/>
      <c r="K170" s="782"/>
      <c r="L170" s="781"/>
      <c r="M170" s="781"/>
      <c r="N170" s="781"/>
      <c r="O170" s="781"/>
      <c r="P170" s="783"/>
      <c r="Q170" s="781"/>
      <c r="R170" s="781"/>
      <c r="S170" s="781"/>
      <c r="T170" s="781"/>
      <c r="U170" s="784"/>
      <c r="V170" s="781"/>
      <c r="W170" s="781"/>
      <c r="X170" s="781"/>
      <c r="Y170" s="781"/>
      <c r="Z170" s="785"/>
      <c r="AA170" s="400"/>
      <c r="AB170" s="400"/>
      <c r="AC170" s="400"/>
      <c r="AD170" s="400"/>
      <c r="AE170" s="406"/>
    </row>
    <row r="171" spans="1:31" x14ac:dyDescent="0.25">
      <c r="A171" s="399">
        <v>160</v>
      </c>
      <c r="B171" s="781"/>
      <c r="C171" s="781"/>
      <c r="D171" s="781"/>
      <c r="E171" s="781"/>
      <c r="F171" s="786"/>
      <c r="G171" s="781"/>
      <c r="H171" s="781"/>
      <c r="I171" s="781"/>
      <c r="J171" s="781"/>
      <c r="K171" s="782"/>
      <c r="L171" s="781"/>
      <c r="M171" s="781"/>
      <c r="N171" s="781"/>
      <c r="O171" s="781"/>
      <c r="P171" s="783"/>
      <c r="Q171" s="781"/>
      <c r="R171" s="781"/>
      <c r="S171" s="781"/>
      <c r="T171" s="781"/>
      <c r="U171" s="784"/>
      <c r="V171" s="781"/>
      <c r="W171" s="781"/>
      <c r="X171" s="781"/>
      <c r="Y171" s="781"/>
      <c r="Z171" s="785"/>
      <c r="AA171" s="400"/>
      <c r="AB171" s="400"/>
      <c r="AC171" s="400"/>
      <c r="AD171" s="400"/>
      <c r="AE171" s="406"/>
    </row>
    <row r="172" spans="1:31" x14ac:dyDescent="0.25">
      <c r="A172" s="399">
        <v>161</v>
      </c>
      <c r="B172" s="781"/>
      <c r="C172" s="781"/>
      <c r="D172" s="781"/>
      <c r="E172" s="781"/>
      <c r="F172" s="786"/>
      <c r="G172" s="781"/>
      <c r="H172" s="781"/>
      <c r="I172" s="781"/>
      <c r="J172" s="781"/>
      <c r="K172" s="782"/>
      <c r="L172" s="781"/>
      <c r="M172" s="781"/>
      <c r="N172" s="781"/>
      <c r="O172" s="781"/>
      <c r="P172" s="783"/>
      <c r="Q172" s="781"/>
      <c r="R172" s="781"/>
      <c r="S172" s="781"/>
      <c r="T172" s="781"/>
      <c r="U172" s="784"/>
      <c r="V172" s="781"/>
      <c r="W172" s="781"/>
      <c r="X172" s="781"/>
      <c r="Y172" s="781"/>
      <c r="Z172" s="785"/>
      <c r="AA172" s="400"/>
      <c r="AB172" s="400"/>
      <c r="AC172" s="400"/>
      <c r="AD172" s="400"/>
      <c r="AE172" s="406"/>
    </row>
    <row r="173" spans="1:31" x14ac:dyDescent="0.25">
      <c r="A173" s="399">
        <v>162</v>
      </c>
      <c r="B173" s="781"/>
      <c r="C173" s="781"/>
      <c r="D173" s="781"/>
      <c r="E173" s="781"/>
      <c r="F173" s="786"/>
      <c r="G173" s="781"/>
      <c r="H173" s="781"/>
      <c r="I173" s="781"/>
      <c r="J173" s="781"/>
      <c r="K173" s="782"/>
      <c r="L173" s="781"/>
      <c r="M173" s="781"/>
      <c r="N173" s="781"/>
      <c r="O173" s="781"/>
      <c r="P173" s="783"/>
      <c r="Q173" s="781"/>
      <c r="R173" s="781"/>
      <c r="S173" s="781"/>
      <c r="T173" s="781"/>
      <c r="U173" s="784"/>
      <c r="V173" s="781"/>
      <c r="W173" s="781"/>
      <c r="X173" s="781"/>
      <c r="Y173" s="781"/>
      <c r="Z173" s="785"/>
      <c r="AA173" s="400"/>
      <c r="AB173" s="400"/>
      <c r="AC173" s="400"/>
      <c r="AD173" s="400"/>
      <c r="AE173" s="406"/>
    </row>
    <row r="174" spans="1:31" x14ac:dyDescent="0.25">
      <c r="A174" s="399">
        <v>163</v>
      </c>
      <c r="B174" s="781"/>
      <c r="C174" s="781"/>
      <c r="D174" s="781"/>
      <c r="E174" s="781"/>
      <c r="F174" s="786"/>
      <c r="G174" s="781"/>
      <c r="H174" s="781"/>
      <c r="I174" s="781"/>
      <c r="J174" s="781"/>
      <c r="K174" s="782"/>
      <c r="L174" s="781"/>
      <c r="M174" s="781"/>
      <c r="N174" s="781"/>
      <c r="O174" s="781"/>
      <c r="P174" s="783"/>
      <c r="Q174" s="781"/>
      <c r="R174" s="781"/>
      <c r="S174" s="781"/>
      <c r="T174" s="781"/>
      <c r="U174" s="784"/>
      <c r="V174" s="781"/>
      <c r="W174" s="781"/>
      <c r="X174" s="781"/>
      <c r="Y174" s="781"/>
      <c r="Z174" s="785"/>
      <c r="AA174" s="400"/>
      <c r="AB174" s="400"/>
      <c r="AC174" s="400"/>
      <c r="AD174" s="400"/>
      <c r="AE174" s="406"/>
    </row>
    <row r="175" spans="1:31" x14ac:dyDescent="0.25">
      <c r="A175" s="399">
        <v>164</v>
      </c>
      <c r="B175" s="781"/>
      <c r="C175" s="781"/>
      <c r="D175" s="781"/>
      <c r="E175" s="781"/>
      <c r="F175" s="786"/>
      <c r="G175" s="781"/>
      <c r="H175" s="781"/>
      <c r="I175" s="781"/>
      <c r="J175" s="781"/>
      <c r="K175" s="782"/>
      <c r="L175" s="781"/>
      <c r="M175" s="781"/>
      <c r="N175" s="781"/>
      <c r="O175" s="781"/>
      <c r="P175" s="783"/>
      <c r="Q175" s="781"/>
      <c r="R175" s="781"/>
      <c r="S175" s="781"/>
      <c r="T175" s="781"/>
      <c r="U175" s="784"/>
      <c r="V175" s="781"/>
      <c r="W175" s="781"/>
      <c r="X175" s="781"/>
      <c r="Y175" s="781"/>
      <c r="Z175" s="785"/>
      <c r="AA175" s="400"/>
      <c r="AB175" s="400"/>
      <c r="AC175" s="400"/>
      <c r="AD175" s="400"/>
      <c r="AE175" s="406"/>
    </row>
    <row r="176" spans="1:31" x14ac:dyDescent="0.25">
      <c r="A176" s="399">
        <v>165</v>
      </c>
      <c r="B176" s="781"/>
      <c r="C176" s="781"/>
      <c r="D176" s="781"/>
      <c r="E176" s="781"/>
      <c r="F176" s="786"/>
      <c r="G176" s="781"/>
      <c r="H176" s="781"/>
      <c r="I176" s="781"/>
      <c r="J176" s="781"/>
      <c r="K176" s="782"/>
      <c r="L176" s="781"/>
      <c r="M176" s="781"/>
      <c r="N176" s="781"/>
      <c r="O176" s="781"/>
      <c r="P176" s="783"/>
      <c r="Q176" s="781"/>
      <c r="R176" s="781"/>
      <c r="S176" s="781"/>
      <c r="T176" s="781"/>
      <c r="U176" s="784"/>
      <c r="V176" s="781"/>
      <c r="W176" s="781"/>
      <c r="X176" s="781"/>
      <c r="Y176" s="781"/>
      <c r="Z176" s="785"/>
      <c r="AA176" s="400"/>
      <c r="AB176" s="400"/>
      <c r="AC176" s="400"/>
      <c r="AD176" s="400"/>
      <c r="AE176" s="406"/>
    </row>
    <row r="177" spans="1:31" x14ac:dyDescent="0.25">
      <c r="A177" s="399">
        <v>166</v>
      </c>
      <c r="B177" s="781"/>
      <c r="C177" s="781"/>
      <c r="D177" s="781"/>
      <c r="E177" s="781"/>
      <c r="F177" s="786"/>
      <c r="G177" s="781"/>
      <c r="H177" s="781"/>
      <c r="I177" s="781"/>
      <c r="J177" s="781"/>
      <c r="K177" s="782"/>
      <c r="L177" s="781"/>
      <c r="M177" s="781"/>
      <c r="N177" s="781"/>
      <c r="O177" s="781"/>
      <c r="P177" s="783"/>
      <c r="Q177" s="781"/>
      <c r="R177" s="781"/>
      <c r="S177" s="781"/>
      <c r="T177" s="781"/>
      <c r="U177" s="784"/>
      <c r="V177" s="781"/>
      <c r="W177" s="781"/>
      <c r="X177" s="781"/>
      <c r="Y177" s="781"/>
      <c r="Z177" s="785"/>
      <c r="AA177" s="400"/>
      <c r="AB177" s="400"/>
      <c r="AC177" s="400"/>
      <c r="AD177" s="400"/>
      <c r="AE177" s="406"/>
    </row>
    <row r="178" spans="1:31" x14ac:dyDescent="0.25">
      <c r="A178" s="399">
        <v>167</v>
      </c>
      <c r="B178" s="781"/>
      <c r="C178" s="781"/>
      <c r="D178" s="781"/>
      <c r="E178" s="781"/>
      <c r="F178" s="786"/>
      <c r="G178" s="781"/>
      <c r="H178" s="781"/>
      <c r="I178" s="781"/>
      <c r="J178" s="781"/>
      <c r="K178" s="782"/>
      <c r="L178" s="781"/>
      <c r="M178" s="781"/>
      <c r="N178" s="781"/>
      <c r="O178" s="781"/>
      <c r="P178" s="783"/>
      <c r="Q178" s="781"/>
      <c r="R178" s="781"/>
      <c r="S178" s="781"/>
      <c r="T178" s="781"/>
      <c r="U178" s="784"/>
      <c r="V178" s="781"/>
      <c r="W178" s="781"/>
      <c r="X178" s="781"/>
      <c r="Y178" s="781"/>
      <c r="Z178" s="785"/>
      <c r="AA178" s="400"/>
      <c r="AB178" s="400"/>
      <c r="AC178" s="400"/>
      <c r="AD178" s="400"/>
      <c r="AE178" s="406"/>
    </row>
    <row r="179" spans="1:31" x14ac:dyDescent="0.25">
      <c r="A179" s="399">
        <v>168</v>
      </c>
      <c r="B179" s="781"/>
      <c r="C179" s="781"/>
      <c r="D179" s="781"/>
      <c r="E179" s="781"/>
      <c r="F179" s="786"/>
      <c r="G179" s="781"/>
      <c r="H179" s="781"/>
      <c r="I179" s="781"/>
      <c r="J179" s="781"/>
      <c r="K179" s="782"/>
      <c r="L179" s="781"/>
      <c r="M179" s="781"/>
      <c r="N179" s="781"/>
      <c r="O179" s="781"/>
      <c r="P179" s="783"/>
      <c r="Q179" s="781"/>
      <c r="R179" s="781"/>
      <c r="S179" s="781"/>
      <c r="T179" s="781"/>
      <c r="U179" s="784"/>
      <c r="V179" s="781"/>
      <c r="W179" s="781"/>
      <c r="X179" s="781"/>
      <c r="Y179" s="781"/>
      <c r="Z179" s="785"/>
      <c r="AA179" s="400"/>
      <c r="AB179" s="400"/>
      <c r="AC179" s="400"/>
      <c r="AD179" s="400"/>
      <c r="AE179" s="406"/>
    </row>
    <row r="180" spans="1:31" x14ac:dyDescent="0.25">
      <c r="A180" s="399">
        <v>169</v>
      </c>
      <c r="B180" s="781"/>
      <c r="C180" s="781"/>
      <c r="D180" s="781"/>
      <c r="E180" s="781"/>
      <c r="F180" s="786"/>
      <c r="G180" s="781"/>
      <c r="H180" s="781"/>
      <c r="I180" s="781"/>
      <c r="J180" s="781"/>
      <c r="K180" s="782"/>
      <c r="L180" s="781"/>
      <c r="M180" s="781"/>
      <c r="N180" s="781"/>
      <c r="O180" s="781"/>
      <c r="P180" s="783"/>
      <c r="Q180" s="781"/>
      <c r="R180" s="781"/>
      <c r="S180" s="781"/>
      <c r="T180" s="781"/>
      <c r="U180" s="784"/>
      <c r="V180" s="781"/>
      <c r="W180" s="781"/>
      <c r="X180" s="781"/>
      <c r="Y180" s="781"/>
      <c r="Z180" s="785"/>
      <c r="AA180" s="400"/>
      <c r="AB180" s="400"/>
      <c r="AC180" s="400"/>
      <c r="AD180" s="400"/>
      <c r="AE180" s="406"/>
    </row>
    <row r="181" spans="1:31" x14ac:dyDescent="0.25">
      <c r="A181" s="399">
        <v>170</v>
      </c>
      <c r="B181" s="781"/>
      <c r="C181" s="781"/>
      <c r="D181" s="781"/>
      <c r="E181" s="781"/>
      <c r="F181" s="786"/>
      <c r="G181" s="781"/>
      <c r="H181" s="781"/>
      <c r="I181" s="781"/>
      <c r="J181" s="781"/>
      <c r="K181" s="782"/>
      <c r="L181" s="781"/>
      <c r="M181" s="781"/>
      <c r="N181" s="781"/>
      <c r="O181" s="781"/>
      <c r="P181" s="783"/>
      <c r="Q181" s="781"/>
      <c r="R181" s="781"/>
      <c r="S181" s="781"/>
      <c r="T181" s="781"/>
      <c r="U181" s="784"/>
      <c r="V181" s="781"/>
      <c r="W181" s="781"/>
      <c r="X181" s="781"/>
      <c r="Y181" s="781"/>
      <c r="Z181" s="785"/>
      <c r="AA181" s="400"/>
      <c r="AB181" s="400"/>
      <c r="AC181" s="400"/>
      <c r="AD181" s="400"/>
      <c r="AE181" s="406"/>
    </row>
    <row r="182" spans="1:31" x14ac:dyDescent="0.25">
      <c r="A182" s="399">
        <v>171</v>
      </c>
      <c r="B182" s="781"/>
      <c r="C182" s="781"/>
      <c r="D182" s="781"/>
      <c r="E182" s="781"/>
      <c r="F182" s="786"/>
      <c r="G182" s="781"/>
      <c r="H182" s="781"/>
      <c r="I182" s="781"/>
      <c r="J182" s="781"/>
      <c r="K182" s="782"/>
      <c r="L182" s="781"/>
      <c r="M182" s="781"/>
      <c r="N182" s="781"/>
      <c r="O182" s="781"/>
      <c r="P182" s="783"/>
      <c r="Q182" s="781"/>
      <c r="R182" s="781"/>
      <c r="S182" s="781"/>
      <c r="T182" s="781"/>
      <c r="U182" s="784"/>
      <c r="V182" s="781"/>
      <c r="W182" s="781"/>
      <c r="X182" s="781"/>
      <c r="Y182" s="781"/>
      <c r="Z182" s="785"/>
      <c r="AA182" s="400"/>
      <c r="AB182" s="400"/>
      <c r="AC182" s="400"/>
      <c r="AD182" s="400"/>
      <c r="AE182" s="406"/>
    </row>
    <row r="183" spans="1:31" x14ac:dyDescent="0.25">
      <c r="A183" s="399">
        <v>172</v>
      </c>
      <c r="B183" s="781"/>
      <c r="C183" s="781"/>
      <c r="D183" s="781"/>
      <c r="E183" s="781"/>
      <c r="F183" s="786"/>
      <c r="G183" s="781"/>
      <c r="H183" s="781"/>
      <c r="I183" s="781"/>
      <c r="J183" s="781"/>
      <c r="K183" s="782"/>
      <c r="L183" s="781"/>
      <c r="M183" s="781"/>
      <c r="N183" s="781"/>
      <c r="O183" s="781"/>
      <c r="P183" s="783"/>
      <c r="Q183" s="781"/>
      <c r="R183" s="781"/>
      <c r="S183" s="781"/>
      <c r="T183" s="781"/>
      <c r="U183" s="784"/>
      <c r="V183" s="781"/>
      <c r="W183" s="781"/>
      <c r="X183" s="781"/>
      <c r="Y183" s="781"/>
      <c r="Z183" s="785"/>
      <c r="AA183" s="400"/>
      <c r="AB183" s="400"/>
      <c r="AC183" s="400"/>
      <c r="AD183" s="400"/>
      <c r="AE183" s="406"/>
    </row>
    <row r="184" spans="1:31" x14ac:dyDescent="0.25">
      <c r="A184" s="399">
        <v>173</v>
      </c>
      <c r="B184" s="781"/>
      <c r="C184" s="781"/>
      <c r="D184" s="781"/>
      <c r="E184" s="781"/>
      <c r="F184" s="786"/>
      <c r="G184" s="781"/>
      <c r="H184" s="781"/>
      <c r="I184" s="781"/>
      <c r="J184" s="781"/>
      <c r="K184" s="782"/>
      <c r="L184" s="781"/>
      <c r="M184" s="781"/>
      <c r="N184" s="781"/>
      <c r="O184" s="781"/>
      <c r="P184" s="783"/>
      <c r="Q184" s="781"/>
      <c r="R184" s="781"/>
      <c r="S184" s="781"/>
      <c r="T184" s="781"/>
      <c r="U184" s="784"/>
      <c r="V184" s="781"/>
      <c r="W184" s="781"/>
      <c r="X184" s="781"/>
      <c r="Y184" s="781"/>
      <c r="Z184" s="785"/>
      <c r="AA184" s="400"/>
      <c r="AB184" s="400"/>
      <c r="AC184" s="400"/>
      <c r="AD184" s="400"/>
      <c r="AE184" s="406"/>
    </row>
    <row r="185" spans="1:31" x14ac:dyDescent="0.25">
      <c r="A185" s="399">
        <v>174</v>
      </c>
      <c r="B185" s="781"/>
      <c r="C185" s="781"/>
      <c r="D185" s="781"/>
      <c r="E185" s="781"/>
      <c r="F185" s="786"/>
      <c r="G185" s="781"/>
      <c r="H185" s="781"/>
      <c r="I185" s="781"/>
      <c r="J185" s="781"/>
      <c r="K185" s="782"/>
      <c r="L185" s="781"/>
      <c r="M185" s="781"/>
      <c r="N185" s="781"/>
      <c r="O185" s="781"/>
      <c r="P185" s="783"/>
      <c r="Q185" s="781"/>
      <c r="R185" s="781"/>
      <c r="S185" s="781"/>
      <c r="T185" s="781"/>
      <c r="U185" s="784"/>
      <c r="V185" s="781"/>
      <c r="W185" s="781"/>
      <c r="X185" s="781"/>
      <c r="Y185" s="781"/>
      <c r="Z185" s="785"/>
      <c r="AA185" s="400"/>
      <c r="AB185" s="400"/>
      <c r="AC185" s="400"/>
      <c r="AD185" s="400"/>
      <c r="AE185" s="406"/>
    </row>
    <row r="186" spans="1:31" x14ac:dyDescent="0.25">
      <c r="A186" s="399">
        <v>175</v>
      </c>
      <c r="B186" s="781"/>
      <c r="C186" s="781"/>
      <c r="D186" s="781"/>
      <c r="E186" s="781"/>
      <c r="F186" s="786"/>
      <c r="G186" s="781"/>
      <c r="H186" s="781"/>
      <c r="I186" s="781"/>
      <c r="J186" s="781"/>
      <c r="K186" s="782"/>
      <c r="L186" s="781"/>
      <c r="M186" s="781"/>
      <c r="N186" s="781"/>
      <c r="O186" s="781"/>
      <c r="P186" s="783"/>
      <c r="Q186" s="781"/>
      <c r="R186" s="781"/>
      <c r="S186" s="781"/>
      <c r="T186" s="781"/>
      <c r="U186" s="784"/>
      <c r="V186" s="781"/>
      <c r="W186" s="781"/>
      <c r="X186" s="781"/>
      <c r="Y186" s="781"/>
      <c r="Z186" s="785"/>
      <c r="AA186" s="400"/>
      <c r="AB186" s="400"/>
      <c r="AC186" s="400"/>
      <c r="AD186" s="400"/>
      <c r="AE186" s="406"/>
    </row>
    <row r="187" spans="1:31" x14ac:dyDescent="0.25">
      <c r="A187" s="399">
        <v>176</v>
      </c>
      <c r="B187" s="781"/>
      <c r="C187" s="781"/>
      <c r="D187" s="781"/>
      <c r="E187" s="781"/>
      <c r="F187" s="786"/>
      <c r="G187" s="781"/>
      <c r="H187" s="781"/>
      <c r="I187" s="781"/>
      <c r="J187" s="781"/>
      <c r="K187" s="782"/>
      <c r="L187" s="781"/>
      <c r="M187" s="781"/>
      <c r="N187" s="781"/>
      <c r="O187" s="781"/>
      <c r="P187" s="783"/>
      <c r="Q187" s="781"/>
      <c r="R187" s="781"/>
      <c r="S187" s="781"/>
      <c r="T187" s="781"/>
      <c r="U187" s="784"/>
      <c r="V187" s="781"/>
      <c r="W187" s="781"/>
      <c r="X187" s="781"/>
      <c r="Y187" s="781"/>
      <c r="Z187" s="785"/>
      <c r="AA187" s="400"/>
      <c r="AB187" s="400"/>
      <c r="AC187" s="400"/>
      <c r="AD187" s="400"/>
      <c r="AE187" s="406"/>
    </row>
    <row r="188" spans="1:31" x14ac:dyDescent="0.25">
      <c r="A188" s="399">
        <v>177</v>
      </c>
      <c r="B188" s="781"/>
      <c r="C188" s="781"/>
      <c r="D188" s="781"/>
      <c r="E188" s="781"/>
      <c r="F188" s="786"/>
      <c r="G188" s="781"/>
      <c r="H188" s="781"/>
      <c r="I188" s="781"/>
      <c r="J188" s="781"/>
      <c r="K188" s="782"/>
      <c r="L188" s="781"/>
      <c r="M188" s="781"/>
      <c r="N188" s="781"/>
      <c r="O188" s="781"/>
      <c r="P188" s="783"/>
      <c r="Q188" s="781"/>
      <c r="R188" s="781"/>
      <c r="S188" s="781"/>
      <c r="T188" s="781"/>
      <c r="U188" s="784"/>
      <c r="V188" s="781"/>
      <c r="W188" s="781"/>
      <c r="X188" s="781"/>
      <c r="Y188" s="781"/>
      <c r="Z188" s="785"/>
      <c r="AA188" s="400"/>
      <c r="AB188" s="400"/>
      <c r="AC188" s="400"/>
      <c r="AD188" s="400"/>
      <c r="AE188" s="406"/>
    </row>
    <row r="189" spans="1:31" x14ac:dyDescent="0.25">
      <c r="A189" s="399">
        <v>178</v>
      </c>
      <c r="B189" s="781"/>
      <c r="C189" s="781"/>
      <c r="D189" s="781"/>
      <c r="E189" s="781"/>
      <c r="F189" s="786"/>
      <c r="G189" s="781"/>
      <c r="H189" s="781"/>
      <c r="I189" s="781"/>
      <c r="J189" s="781"/>
      <c r="K189" s="782"/>
      <c r="L189" s="781"/>
      <c r="M189" s="781"/>
      <c r="N189" s="781"/>
      <c r="O189" s="781"/>
      <c r="P189" s="783"/>
      <c r="Q189" s="781"/>
      <c r="R189" s="781"/>
      <c r="S189" s="781"/>
      <c r="T189" s="781"/>
      <c r="U189" s="784"/>
      <c r="V189" s="781"/>
      <c r="W189" s="781"/>
      <c r="X189" s="781"/>
      <c r="Y189" s="781"/>
      <c r="Z189" s="785"/>
      <c r="AA189" s="400"/>
      <c r="AB189" s="400"/>
      <c r="AC189" s="400"/>
      <c r="AD189" s="400"/>
      <c r="AE189" s="406"/>
    </row>
    <row r="190" spans="1:31" x14ac:dyDescent="0.25">
      <c r="A190" s="399">
        <v>179</v>
      </c>
      <c r="B190" s="781"/>
      <c r="C190" s="781"/>
      <c r="D190" s="781"/>
      <c r="E190" s="781"/>
      <c r="F190" s="786"/>
      <c r="G190" s="781"/>
      <c r="H190" s="781"/>
      <c r="I190" s="781"/>
      <c r="J190" s="781"/>
      <c r="K190" s="782"/>
      <c r="L190" s="781"/>
      <c r="M190" s="781"/>
      <c r="N190" s="781"/>
      <c r="O190" s="781"/>
      <c r="P190" s="783"/>
      <c r="Q190" s="781"/>
      <c r="R190" s="781"/>
      <c r="S190" s="781"/>
      <c r="T190" s="781"/>
      <c r="U190" s="784"/>
      <c r="V190" s="781"/>
      <c r="W190" s="781"/>
      <c r="X190" s="781"/>
      <c r="Y190" s="781"/>
      <c r="Z190" s="785"/>
      <c r="AA190" s="400"/>
      <c r="AB190" s="400"/>
      <c r="AC190" s="400"/>
      <c r="AD190" s="400"/>
      <c r="AE190" s="406"/>
    </row>
    <row r="191" spans="1:31" x14ac:dyDescent="0.25">
      <c r="A191" s="399">
        <v>180</v>
      </c>
      <c r="B191" s="781"/>
      <c r="C191" s="781"/>
      <c r="D191" s="781"/>
      <c r="E191" s="781"/>
      <c r="F191" s="786"/>
      <c r="G191" s="781"/>
      <c r="H191" s="781"/>
      <c r="I191" s="781"/>
      <c r="J191" s="781"/>
      <c r="K191" s="782"/>
      <c r="L191" s="781"/>
      <c r="M191" s="781"/>
      <c r="N191" s="781"/>
      <c r="O191" s="781"/>
      <c r="P191" s="783"/>
      <c r="Q191" s="781"/>
      <c r="R191" s="781"/>
      <c r="S191" s="781"/>
      <c r="T191" s="781"/>
      <c r="U191" s="784"/>
      <c r="V191" s="781"/>
      <c r="W191" s="781"/>
      <c r="X191" s="781"/>
      <c r="Y191" s="781"/>
      <c r="Z191" s="785"/>
      <c r="AA191" s="400"/>
      <c r="AB191" s="400"/>
      <c r="AC191" s="400"/>
      <c r="AD191" s="400"/>
      <c r="AE191" s="406"/>
    </row>
    <row r="192" spans="1:31" x14ac:dyDescent="0.25">
      <c r="A192" s="399">
        <v>181</v>
      </c>
      <c r="B192" s="781"/>
      <c r="C192" s="781"/>
      <c r="D192" s="781"/>
      <c r="E192" s="781"/>
      <c r="F192" s="786"/>
      <c r="G192" s="781"/>
      <c r="H192" s="781"/>
      <c r="I192" s="781"/>
      <c r="J192" s="781"/>
      <c r="K192" s="782"/>
      <c r="L192" s="781"/>
      <c r="M192" s="781"/>
      <c r="N192" s="781"/>
      <c r="O192" s="781"/>
      <c r="P192" s="783"/>
      <c r="Q192" s="781"/>
      <c r="R192" s="781"/>
      <c r="S192" s="781"/>
      <c r="T192" s="781"/>
      <c r="U192" s="784"/>
      <c r="V192" s="781"/>
      <c r="W192" s="781"/>
      <c r="X192" s="781"/>
      <c r="Y192" s="781"/>
      <c r="Z192" s="785"/>
      <c r="AA192" s="400"/>
      <c r="AB192" s="400"/>
      <c r="AC192" s="400"/>
      <c r="AD192" s="400"/>
      <c r="AE192" s="406"/>
    </row>
    <row r="193" spans="1:31" x14ac:dyDescent="0.25">
      <c r="A193" s="399">
        <v>182</v>
      </c>
      <c r="B193" s="781"/>
      <c r="C193" s="781"/>
      <c r="D193" s="781"/>
      <c r="E193" s="781"/>
      <c r="F193" s="786"/>
      <c r="G193" s="781"/>
      <c r="H193" s="781"/>
      <c r="I193" s="781"/>
      <c r="J193" s="781"/>
      <c r="K193" s="782"/>
      <c r="L193" s="781"/>
      <c r="M193" s="781"/>
      <c r="N193" s="781"/>
      <c r="O193" s="781"/>
      <c r="P193" s="783"/>
      <c r="Q193" s="781"/>
      <c r="R193" s="781"/>
      <c r="S193" s="781"/>
      <c r="T193" s="781"/>
      <c r="U193" s="784"/>
      <c r="V193" s="781"/>
      <c r="W193" s="781"/>
      <c r="X193" s="781"/>
      <c r="Y193" s="781"/>
      <c r="Z193" s="785"/>
      <c r="AA193" s="400"/>
      <c r="AB193" s="400"/>
      <c r="AC193" s="400"/>
      <c r="AD193" s="400"/>
      <c r="AE193" s="406"/>
    </row>
    <row r="194" spans="1:31" x14ac:dyDescent="0.25">
      <c r="A194" s="399">
        <v>183</v>
      </c>
      <c r="B194" s="781"/>
      <c r="C194" s="781"/>
      <c r="D194" s="781"/>
      <c r="E194" s="781"/>
      <c r="F194" s="786"/>
      <c r="G194" s="781"/>
      <c r="H194" s="781"/>
      <c r="I194" s="781"/>
      <c r="J194" s="781"/>
      <c r="K194" s="782"/>
      <c r="L194" s="781"/>
      <c r="M194" s="781"/>
      <c r="N194" s="781"/>
      <c r="O194" s="781"/>
      <c r="P194" s="783"/>
      <c r="Q194" s="781"/>
      <c r="R194" s="781"/>
      <c r="S194" s="781"/>
      <c r="T194" s="781"/>
      <c r="U194" s="784"/>
      <c r="V194" s="781"/>
      <c r="W194" s="781"/>
      <c r="X194" s="781"/>
      <c r="Y194" s="781"/>
      <c r="Z194" s="785"/>
      <c r="AA194" s="400"/>
      <c r="AB194" s="400"/>
      <c r="AC194" s="400"/>
      <c r="AD194" s="400"/>
      <c r="AE194" s="406"/>
    </row>
    <row r="195" spans="1:31" x14ac:dyDescent="0.25">
      <c r="A195" s="399">
        <v>184</v>
      </c>
      <c r="B195" s="781"/>
      <c r="C195" s="781"/>
      <c r="D195" s="781"/>
      <c r="E195" s="781"/>
      <c r="F195" s="786"/>
      <c r="G195" s="781"/>
      <c r="H195" s="781"/>
      <c r="I195" s="781"/>
      <c r="J195" s="781"/>
      <c r="K195" s="782"/>
      <c r="L195" s="781"/>
      <c r="M195" s="781"/>
      <c r="N195" s="781"/>
      <c r="O195" s="781"/>
      <c r="P195" s="783"/>
      <c r="Q195" s="781"/>
      <c r="R195" s="781"/>
      <c r="S195" s="781"/>
      <c r="T195" s="781"/>
      <c r="U195" s="784"/>
      <c r="V195" s="781"/>
      <c r="W195" s="781"/>
      <c r="X195" s="781"/>
      <c r="Y195" s="781"/>
      <c r="Z195" s="785"/>
      <c r="AA195" s="400"/>
      <c r="AB195" s="400"/>
      <c r="AC195" s="400"/>
      <c r="AD195" s="400"/>
      <c r="AE195" s="406"/>
    </row>
    <row r="196" spans="1:31" x14ac:dyDescent="0.25">
      <c r="A196" s="399">
        <v>185</v>
      </c>
      <c r="B196" s="781"/>
      <c r="C196" s="781"/>
      <c r="D196" s="781"/>
      <c r="E196" s="781"/>
      <c r="F196" s="786"/>
      <c r="G196" s="781"/>
      <c r="H196" s="781"/>
      <c r="I196" s="781"/>
      <c r="J196" s="781"/>
      <c r="K196" s="782"/>
      <c r="L196" s="781"/>
      <c r="M196" s="781"/>
      <c r="N196" s="781"/>
      <c r="O196" s="781"/>
      <c r="P196" s="783"/>
      <c r="Q196" s="781"/>
      <c r="R196" s="781"/>
      <c r="S196" s="781"/>
      <c r="T196" s="781"/>
      <c r="U196" s="784"/>
      <c r="V196" s="781"/>
      <c r="W196" s="781"/>
      <c r="X196" s="781"/>
      <c r="Y196" s="781"/>
      <c r="Z196" s="785"/>
      <c r="AA196" s="400"/>
      <c r="AB196" s="400"/>
      <c r="AC196" s="400"/>
      <c r="AD196" s="400"/>
      <c r="AE196" s="406"/>
    </row>
    <row r="197" spans="1:31" x14ac:dyDescent="0.25">
      <c r="A197" s="399">
        <v>186</v>
      </c>
      <c r="B197" s="781"/>
      <c r="C197" s="781"/>
      <c r="D197" s="781"/>
      <c r="E197" s="781"/>
      <c r="F197" s="786"/>
      <c r="G197" s="781"/>
      <c r="H197" s="781"/>
      <c r="I197" s="781"/>
      <c r="J197" s="781"/>
      <c r="K197" s="782"/>
      <c r="L197" s="781"/>
      <c r="M197" s="781"/>
      <c r="N197" s="781"/>
      <c r="O197" s="781"/>
      <c r="P197" s="783"/>
      <c r="Q197" s="781"/>
      <c r="R197" s="781"/>
      <c r="S197" s="781"/>
      <c r="T197" s="781"/>
      <c r="U197" s="784"/>
      <c r="V197" s="781"/>
      <c r="W197" s="781"/>
      <c r="X197" s="781"/>
      <c r="Y197" s="781"/>
      <c r="Z197" s="785"/>
      <c r="AA197" s="400"/>
      <c r="AB197" s="400"/>
      <c r="AC197" s="400"/>
      <c r="AD197" s="400"/>
      <c r="AE197" s="406"/>
    </row>
    <row r="198" spans="1:31" x14ac:dyDescent="0.25">
      <c r="A198" s="399">
        <v>187</v>
      </c>
      <c r="B198" s="781"/>
      <c r="C198" s="781"/>
      <c r="D198" s="781"/>
      <c r="E198" s="781"/>
      <c r="F198" s="786"/>
      <c r="G198" s="781"/>
      <c r="H198" s="781"/>
      <c r="I198" s="781"/>
      <c r="J198" s="781"/>
      <c r="K198" s="782"/>
      <c r="L198" s="781"/>
      <c r="M198" s="781"/>
      <c r="N198" s="781"/>
      <c r="O198" s="781"/>
      <c r="P198" s="783"/>
      <c r="Q198" s="781"/>
      <c r="R198" s="781"/>
      <c r="S198" s="781"/>
      <c r="T198" s="781"/>
      <c r="U198" s="784"/>
      <c r="V198" s="781"/>
      <c r="W198" s="781"/>
      <c r="X198" s="781"/>
      <c r="Y198" s="781"/>
      <c r="Z198" s="785"/>
      <c r="AA198" s="400"/>
      <c r="AB198" s="400"/>
      <c r="AC198" s="400"/>
      <c r="AD198" s="400"/>
      <c r="AE198" s="406"/>
    </row>
    <row r="199" spans="1:31" x14ac:dyDescent="0.25">
      <c r="A199" s="399">
        <v>188</v>
      </c>
      <c r="B199" s="781"/>
      <c r="C199" s="781"/>
      <c r="D199" s="781"/>
      <c r="E199" s="781"/>
      <c r="F199" s="786"/>
      <c r="G199" s="781"/>
      <c r="H199" s="781"/>
      <c r="I199" s="781"/>
      <c r="J199" s="781"/>
      <c r="K199" s="782"/>
      <c r="L199" s="781"/>
      <c r="M199" s="781"/>
      <c r="N199" s="781"/>
      <c r="O199" s="781"/>
      <c r="P199" s="783"/>
      <c r="Q199" s="781"/>
      <c r="R199" s="781"/>
      <c r="S199" s="781"/>
      <c r="T199" s="781"/>
      <c r="U199" s="784"/>
      <c r="V199" s="781"/>
      <c r="W199" s="781"/>
      <c r="X199" s="781"/>
      <c r="Y199" s="781"/>
      <c r="Z199" s="785"/>
      <c r="AA199" s="400"/>
      <c r="AB199" s="400"/>
      <c r="AC199" s="400"/>
      <c r="AD199" s="400"/>
      <c r="AE199" s="406"/>
    </row>
    <row r="200" spans="1:31" x14ac:dyDescent="0.25">
      <c r="A200" s="399">
        <v>189</v>
      </c>
      <c r="B200" s="781"/>
      <c r="C200" s="781"/>
      <c r="D200" s="781"/>
      <c r="E200" s="781"/>
      <c r="F200" s="786"/>
      <c r="G200" s="781"/>
      <c r="H200" s="781"/>
      <c r="I200" s="781"/>
      <c r="J200" s="781"/>
      <c r="K200" s="782"/>
      <c r="L200" s="781"/>
      <c r="M200" s="781"/>
      <c r="N200" s="781"/>
      <c r="O200" s="781"/>
      <c r="P200" s="783"/>
      <c r="Q200" s="781"/>
      <c r="R200" s="781"/>
      <c r="S200" s="781"/>
      <c r="T200" s="781"/>
      <c r="U200" s="784"/>
      <c r="V200" s="781"/>
      <c r="W200" s="781"/>
      <c r="X200" s="781"/>
      <c r="Y200" s="781"/>
      <c r="Z200" s="785"/>
      <c r="AA200" s="400"/>
      <c r="AB200" s="400"/>
      <c r="AC200" s="400"/>
      <c r="AD200" s="400"/>
      <c r="AE200" s="406"/>
    </row>
    <row r="201" spans="1:31" x14ac:dyDescent="0.25">
      <c r="A201" s="399">
        <v>190</v>
      </c>
      <c r="B201" s="781"/>
      <c r="C201" s="781"/>
      <c r="D201" s="781"/>
      <c r="E201" s="781"/>
      <c r="F201" s="786"/>
      <c r="G201" s="781"/>
      <c r="H201" s="781"/>
      <c r="I201" s="781"/>
      <c r="J201" s="781"/>
      <c r="K201" s="782"/>
      <c r="L201" s="781"/>
      <c r="M201" s="781"/>
      <c r="N201" s="781"/>
      <c r="O201" s="781"/>
      <c r="P201" s="783"/>
      <c r="Q201" s="781"/>
      <c r="R201" s="781"/>
      <c r="S201" s="781"/>
      <c r="T201" s="781"/>
      <c r="U201" s="784"/>
      <c r="V201" s="781"/>
      <c r="W201" s="781"/>
      <c r="X201" s="781"/>
      <c r="Y201" s="781"/>
      <c r="Z201" s="785"/>
      <c r="AA201" s="400"/>
      <c r="AB201" s="400"/>
      <c r="AC201" s="400"/>
      <c r="AD201" s="400"/>
      <c r="AE201" s="406"/>
    </row>
    <row r="202" spans="1:31" x14ac:dyDescent="0.25">
      <c r="A202" s="399">
        <v>191</v>
      </c>
      <c r="B202" s="781"/>
      <c r="C202" s="781"/>
      <c r="D202" s="781"/>
      <c r="E202" s="781"/>
      <c r="F202" s="786"/>
      <c r="G202" s="781"/>
      <c r="H202" s="781"/>
      <c r="I202" s="781"/>
      <c r="J202" s="781"/>
      <c r="K202" s="782"/>
      <c r="L202" s="781"/>
      <c r="M202" s="781"/>
      <c r="N202" s="781"/>
      <c r="O202" s="781"/>
      <c r="P202" s="783"/>
      <c r="Q202" s="781"/>
      <c r="R202" s="781"/>
      <c r="S202" s="781"/>
      <c r="T202" s="781"/>
      <c r="U202" s="784"/>
      <c r="V202" s="781"/>
      <c r="W202" s="781"/>
      <c r="X202" s="781"/>
      <c r="Y202" s="781"/>
      <c r="Z202" s="785"/>
      <c r="AA202" s="400"/>
      <c r="AB202" s="400"/>
      <c r="AC202" s="400"/>
      <c r="AD202" s="400"/>
      <c r="AE202" s="406"/>
    </row>
    <row r="203" spans="1:31" x14ac:dyDescent="0.25">
      <c r="A203" s="399">
        <v>192</v>
      </c>
      <c r="B203" s="781"/>
      <c r="C203" s="781"/>
      <c r="D203" s="781"/>
      <c r="E203" s="781"/>
      <c r="F203" s="786"/>
      <c r="G203" s="781"/>
      <c r="H203" s="781"/>
      <c r="I203" s="781"/>
      <c r="J203" s="781"/>
      <c r="K203" s="782"/>
      <c r="L203" s="781"/>
      <c r="M203" s="781"/>
      <c r="N203" s="781"/>
      <c r="O203" s="781"/>
      <c r="P203" s="783"/>
      <c r="Q203" s="781"/>
      <c r="R203" s="781"/>
      <c r="S203" s="781"/>
      <c r="T203" s="781"/>
      <c r="U203" s="784"/>
      <c r="V203" s="781"/>
      <c r="W203" s="781"/>
      <c r="X203" s="781"/>
      <c r="Y203" s="781"/>
      <c r="Z203" s="785"/>
      <c r="AA203" s="400"/>
      <c r="AB203" s="400"/>
      <c r="AC203" s="400"/>
      <c r="AD203" s="400"/>
      <c r="AE203" s="406"/>
    </row>
    <row r="204" spans="1:31" x14ac:dyDescent="0.25">
      <c r="A204" s="399">
        <v>193</v>
      </c>
      <c r="B204" s="781"/>
      <c r="C204" s="781"/>
      <c r="D204" s="781"/>
      <c r="E204" s="781"/>
      <c r="F204" s="786"/>
      <c r="G204" s="781"/>
      <c r="H204" s="781"/>
      <c r="I204" s="781"/>
      <c r="J204" s="781"/>
      <c r="K204" s="782"/>
      <c r="L204" s="781"/>
      <c r="M204" s="781"/>
      <c r="N204" s="781"/>
      <c r="O204" s="781"/>
      <c r="P204" s="783"/>
      <c r="Q204" s="781"/>
      <c r="R204" s="781"/>
      <c r="S204" s="781"/>
      <c r="T204" s="781"/>
      <c r="U204" s="784"/>
      <c r="V204" s="781"/>
      <c r="W204" s="781"/>
      <c r="X204" s="781"/>
      <c r="Y204" s="781"/>
      <c r="Z204" s="785"/>
      <c r="AA204" s="400"/>
      <c r="AB204" s="400"/>
      <c r="AC204" s="400"/>
      <c r="AD204" s="400"/>
      <c r="AE204" s="406"/>
    </row>
    <row r="205" spans="1:31" x14ac:dyDescent="0.25">
      <c r="A205" s="399">
        <v>194</v>
      </c>
      <c r="B205" s="781"/>
      <c r="C205" s="781"/>
      <c r="D205" s="781"/>
      <c r="E205" s="781"/>
      <c r="F205" s="786"/>
      <c r="G205" s="781"/>
      <c r="H205" s="781"/>
      <c r="I205" s="781"/>
      <c r="J205" s="781"/>
      <c r="K205" s="782"/>
      <c r="L205" s="781"/>
      <c r="M205" s="781"/>
      <c r="N205" s="781"/>
      <c r="O205" s="781"/>
      <c r="P205" s="783"/>
      <c r="Q205" s="781"/>
      <c r="R205" s="781"/>
      <c r="S205" s="781"/>
      <c r="T205" s="781"/>
      <c r="U205" s="784"/>
      <c r="V205" s="781"/>
      <c r="W205" s="781"/>
      <c r="X205" s="781"/>
      <c r="Y205" s="781"/>
      <c r="Z205" s="785"/>
      <c r="AA205" s="400"/>
      <c r="AB205" s="400"/>
      <c r="AC205" s="400"/>
      <c r="AD205" s="400"/>
      <c r="AE205" s="406"/>
    </row>
    <row r="206" spans="1:31" x14ac:dyDescent="0.25">
      <c r="A206" s="399">
        <v>195</v>
      </c>
      <c r="B206" s="781"/>
      <c r="C206" s="781"/>
      <c r="D206" s="781"/>
      <c r="E206" s="781"/>
      <c r="F206" s="786"/>
      <c r="G206" s="781"/>
      <c r="H206" s="781"/>
      <c r="I206" s="781"/>
      <c r="J206" s="781"/>
      <c r="K206" s="782"/>
      <c r="L206" s="781"/>
      <c r="M206" s="781"/>
      <c r="N206" s="781"/>
      <c r="O206" s="781"/>
      <c r="P206" s="783"/>
      <c r="Q206" s="781"/>
      <c r="R206" s="781"/>
      <c r="S206" s="781"/>
      <c r="T206" s="781"/>
      <c r="U206" s="784"/>
      <c r="V206" s="781"/>
      <c r="W206" s="781"/>
      <c r="X206" s="781"/>
      <c r="Y206" s="781"/>
      <c r="Z206" s="785"/>
      <c r="AA206" s="400"/>
      <c r="AB206" s="400"/>
      <c r="AC206" s="400"/>
      <c r="AD206" s="400"/>
      <c r="AE206" s="406"/>
    </row>
    <row r="207" spans="1:31" x14ac:dyDescent="0.25">
      <c r="A207" s="399">
        <v>196</v>
      </c>
      <c r="B207" s="781"/>
      <c r="C207" s="781"/>
      <c r="D207" s="781"/>
      <c r="E207" s="781"/>
      <c r="F207" s="786"/>
      <c r="G207" s="781"/>
      <c r="H207" s="781"/>
      <c r="I207" s="781"/>
      <c r="J207" s="781"/>
      <c r="K207" s="782"/>
      <c r="L207" s="781"/>
      <c r="M207" s="781"/>
      <c r="N207" s="781"/>
      <c r="O207" s="781"/>
      <c r="P207" s="783"/>
      <c r="Q207" s="781"/>
      <c r="R207" s="781"/>
      <c r="S207" s="781"/>
      <c r="T207" s="781"/>
      <c r="U207" s="784"/>
      <c r="V207" s="781"/>
      <c r="W207" s="781"/>
      <c r="X207" s="781"/>
      <c r="Y207" s="781"/>
      <c r="Z207" s="785"/>
      <c r="AA207" s="400"/>
      <c r="AB207" s="400"/>
      <c r="AC207" s="400"/>
      <c r="AD207" s="400"/>
      <c r="AE207" s="406"/>
    </row>
    <row r="208" spans="1:31" x14ac:dyDescent="0.25">
      <c r="A208" s="399">
        <v>197</v>
      </c>
      <c r="B208" s="781"/>
      <c r="C208" s="781"/>
      <c r="D208" s="781"/>
      <c r="E208" s="781"/>
      <c r="F208" s="786"/>
      <c r="G208" s="781"/>
      <c r="H208" s="781"/>
      <c r="I208" s="781"/>
      <c r="J208" s="781"/>
      <c r="K208" s="782"/>
      <c r="L208" s="781"/>
      <c r="M208" s="781"/>
      <c r="N208" s="781"/>
      <c r="O208" s="781"/>
      <c r="P208" s="783"/>
      <c r="Q208" s="781"/>
      <c r="R208" s="781"/>
      <c r="S208" s="781"/>
      <c r="T208" s="781"/>
      <c r="U208" s="784"/>
      <c r="V208" s="781"/>
      <c r="W208" s="781"/>
      <c r="X208" s="781"/>
      <c r="Y208" s="781"/>
      <c r="Z208" s="785"/>
      <c r="AA208" s="400"/>
      <c r="AB208" s="400"/>
      <c r="AC208" s="400"/>
      <c r="AD208" s="400"/>
      <c r="AE208" s="406"/>
    </row>
    <row r="209" spans="1:31" x14ac:dyDescent="0.25">
      <c r="A209" s="399">
        <v>198</v>
      </c>
      <c r="B209" s="781"/>
      <c r="C209" s="781"/>
      <c r="D209" s="781"/>
      <c r="E209" s="781"/>
      <c r="F209" s="786"/>
      <c r="G209" s="781"/>
      <c r="H209" s="781"/>
      <c r="I209" s="781"/>
      <c r="J209" s="781"/>
      <c r="K209" s="782"/>
      <c r="L209" s="781"/>
      <c r="M209" s="781"/>
      <c r="N209" s="781"/>
      <c r="O209" s="781"/>
      <c r="P209" s="783"/>
      <c r="Q209" s="781"/>
      <c r="R209" s="781"/>
      <c r="S209" s="781"/>
      <c r="T209" s="781"/>
      <c r="U209" s="784"/>
      <c r="V209" s="781"/>
      <c r="W209" s="781"/>
      <c r="X209" s="781"/>
      <c r="Y209" s="781"/>
      <c r="Z209" s="785"/>
      <c r="AA209" s="400"/>
      <c r="AB209" s="400"/>
      <c r="AC209" s="400"/>
      <c r="AD209" s="400"/>
      <c r="AE209" s="406"/>
    </row>
    <row r="210" spans="1:31" x14ac:dyDescent="0.25">
      <c r="A210" s="399">
        <v>199</v>
      </c>
      <c r="B210" s="781"/>
      <c r="C210" s="781"/>
      <c r="D210" s="781"/>
      <c r="E210" s="781"/>
      <c r="F210" s="786"/>
      <c r="G210" s="781"/>
      <c r="H210" s="781"/>
      <c r="I210" s="781"/>
      <c r="J210" s="781"/>
      <c r="K210" s="782"/>
      <c r="L210" s="781"/>
      <c r="M210" s="781"/>
      <c r="N210" s="781"/>
      <c r="O210" s="781"/>
      <c r="P210" s="783"/>
      <c r="Q210" s="781"/>
      <c r="R210" s="781"/>
      <c r="S210" s="781"/>
      <c r="T210" s="781"/>
      <c r="U210" s="784"/>
      <c r="V210" s="781"/>
      <c r="W210" s="781"/>
      <c r="X210" s="781"/>
      <c r="Y210" s="781"/>
      <c r="Z210" s="785"/>
      <c r="AA210" s="400"/>
      <c r="AB210" s="400"/>
      <c r="AC210" s="400"/>
      <c r="AD210" s="400"/>
      <c r="AE210" s="406"/>
    </row>
    <row r="211" spans="1:31" x14ac:dyDescent="0.25">
      <c r="A211" s="399">
        <v>200</v>
      </c>
      <c r="B211" s="781"/>
      <c r="C211" s="781"/>
      <c r="D211" s="781"/>
      <c r="E211" s="781"/>
      <c r="F211" s="786"/>
      <c r="G211" s="781"/>
      <c r="H211" s="781"/>
      <c r="I211" s="781"/>
      <c r="J211" s="781"/>
      <c r="K211" s="782"/>
      <c r="L211" s="781"/>
      <c r="M211" s="781"/>
      <c r="N211" s="781"/>
      <c r="O211" s="781"/>
      <c r="P211" s="783"/>
      <c r="Q211" s="781"/>
      <c r="R211" s="781"/>
      <c r="S211" s="781"/>
      <c r="T211" s="781"/>
      <c r="U211" s="784"/>
      <c r="V211" s="781"/>
      <c r="W211" s="781"/>
      <c r="X211" s="781"/>
      <c r="Y211" s="781"/>
      <c r="Z211" s="785"/>
      <c r="AA211" s="400"/>
      <c r="AB211" s="400"/>
      <c r="AC211" s="400"/>
      <c r="AD211" s="400"/>
      <c r="AE211" s="406"/>
    </row>
    <row r="212" spans="1:31" x14ac:dyDescent="0.25">
      <c r="A212" s="399">
        <v>201</v>
      </c>
      <c r="B212" s="781"/>
      <c r="C212" s="781"/>
      <c r="D212" s="781"/>
      <c r="E212" s="781"/>
      <c r="F212" s="786"/>
      <c r="G212" s="781"/>
      <c r="H212" s="781"/>
      <c r="I212" s="781"/>
      <c r="J212" s="781"/>
      <c r="K212" s="782"/>
      <c r="L212" s="781"/>
      <c r="M212" s="781"/>
      <c r="N212" s="781"/>
      <c r="O212" s="781"/>
      <c r="P212" s="783"/>
      <c r="Q212" s="781"/>
      <c r="R212" s="781"/>
      <c r="S212" s="781"/>
      <c r="T212" s="781"/>
      <c r="U212" s="784"/>
      <c r="V212" s="781"/>
      <c r="W212" s="781"/>
      <c r="X212" s="781"/>
      <c r="Y212" s="781"/>
      <c r="Z212" s="785"/>
      <c r="AA212" s="400"/>
      <c r="AB212" s="400"/>
      <c r="AC212" s="400"/>
      <c r="AD212" s="400"/>
      <c r="AE212" s="406"/>
    </row>
    <row r="213" spans="1:31" x14ac:dyDescent="0.25">
      <c r="A213" s="399">
        <v>202</v>
      </c>
      <c r="B213" s="781"/>
      <c r="C213" s="781"/>
      <c r="D213" s="781"/>
      <c r="E213" s="781"/>
      <c r="F213" s="786"/>
      <c r="G213" s="781"/>
      <c r="H213" s="781"/>
      <c r="I213" s="781"/>
      <c r="J213" s="781"/>
      <c r="K213" s="782"/>
      <c r="L213" s="781"/>
      <c r="M213" s="781"/>
      <c r="N213" s="781"/>
      <c r="O213" s="781"/>
      <c r="P213" s="783"/>
      <c r="Q213" s="781"/>
      <c r="R213" s="781"/>
      <c r="S213" s="781"/>
      <c r="T213" s="781"/>
      <c r="U213" s="784"/>
      <c r="V213" s="781"/>
      <c r="W213" s="781"/>
      <c r="X213" s="781"/>
      <c r="Y213" s="781"/>
      <c r="Z213" s="785"/>
      <c r="AA213" s="400"/>
      <c r="AB213" s="400"/>
      <c r="AC213" s="400"/>
      <c r="AD213" s="400"/>
      <c r="AE213" s="406"/>
    </row>
    <row r="214" spans="1:31" x14ac:dyDescent="0.25">
      <c r="A214" s="399">
        <v>203</v>
      </c>
      <c r="B214" s="781"/>
      <c r="C214" s="781"/>
      <c r="D214" s="781"/>
      <c r="E214" s="781"/>
      <c r="F214" s="786"/>
      <c r="G214" s="781"/>
      <c r="H214" s="781"/>
      <c r="I214" s="781"/>
      <c r="J214" s="781"/>
      <c r="K214" s="782"/>
      <c r="L214" s="781"/>
      <c r="M214" s="781"/>
      <c r="N214" s="781"/>
      <c r="O214" s="781"/>
      <c r="P214" s="783"/>
      <c r="Q214" s="781"/>
      <c r="R214" s="781"/>
      <c r="S214" s="781"/>
      <c r="T214" s="781"/>
      <c r="U214" s="784"/>
      <c r="V214" s="781"/>
      <c r="W214" s="781"/>
      <c r="X214" s="781"/>
      <c r="Y214" s="781"/>
      <c r="Z214" s="785"/>
      <c r="AA214" s="400"/>
      <c r="AB214" s="400"/>
      <c r="AC214" s="400"/>
      <c r="AD214" s="400"/>
      <c r="AE214" s="406"/>
    </row>
    <row r="215" spans="1:31" x14ac:dyDescent="0.25">
      <c r="A215" s="399">
        <v>204</v>
      </c>
      <c r="B215" s="781"/>
      <c r="C215" s="781"/>
      <c r="D215" s="781"/>
      <c r="E215" s="781"/>
      <c r="F215" s="786"/>
      <c r="G215" s="781"/>
      <c r="H215" s="781"/>
      <c r="I215" s="781"/>
      <c r="J215" s="781"/>
      <c r="K215" s="782"/>
      <c r="L215" s="781"/>
      <c r="M215" s="781"/>
      <c r="N215" s="781"/>
      <c r="O215" s="781"/>
      <c r="P215" s="783"/>
      <c r="Q215" s="781"/>
      <c r="R215" s="781"/>
      <c r="S215" s="781"/>
      <c r="T215" s="781"/>
      <c r="U215" s="784"/>
      <c r="V215" s="781"/>
      <c r="W215" s="781"/>
      <c r="X215" s="781"/>
      <c r="Y215" s="781"/>
      <c r="Z215" s="785"/>
      <c r="AA215" s="400"/>
      <c r="AB215" s="400"/>
      <c r="AC215" s="400"/>
      <c r="AD215" s="400"/>
      <c r="AE215" s="406"/>
    </row>
    <row r="216" spans="1:31" x14ac:dyDescent="0.25">
      <c r="A216" s="399">
        <v>205</v>
      </c>
      <c r="B216" s="781"/>
      <c r="C216" s="781"/>
      <c r="D216" s="781"/>
      <c r="E216" s="781"/>
      <c r="F216" s="786"/>
      <c r="G216" s="781"/>
      <c r="H216" s="781"/>
      <c r="I216" s="781"/>
      <c r="J216" s="781"/>
      <c r="K216" s="782"/>
      <c r="L216" s="781"/>
      <c r="M216" s="781"/>
      <c r="N216" s="781"/>
      <c r="O216" s="781"/>
      <c r="P216" s="783"/>
      <c r="Q216" s="781"/>
      <c r="R216" s="781"/>
      <c r="S216" s="781"/>
      <c r="T216" s="781"/>
      <c r="U216" s="784"/>
      <c r="V216" s="781"/>
      <c r="W216" s="781"/>
      <c r="X216" s="781"/>
      <c r="Y216" s="781"/>
      <c r="Z216" s="785"/>
      <c r="AA216" s="400"/>
      <c r="AB216" s="400"/>
      <c r="AC216" s="400"/>
      <c r="AD216" s="400"/>
      <c r="AE216" s="406"/>
    </row>
    <row r="217" spans="1:31" x14ac:dyDescent="0.25">
      <c r="A217" s="399">
        <v>206</v>
      </c>
      <c r="B217" s="781"/>
      <c r="C217" s="781"/>
      <c r="D217" s="781"/>
      <c r="E217" s="781"/>
      <c r="F217" s="786"/>
      <c r="G217" s="781"/>
      <c r="H217" s="781"/>
      <c r="I217" s="781"/>
      <c r="J217" s="781"/>
      <c r="K217" s="782"/>
      <c r="L217" s="781"/>
      <c r="M217" s="781"/>
      <c r="N217" s="781"/>
      <c r="O217" s="781"/>
      <c r="P217" s="783"/>
      <c r="Q217" s="781"/>
      <c r="R217" s="781"/>
      <c r="S217" s="781"/>
      <c r="T217" s="781"/>
      <c r="U217" s="784"/>
      <c r="V217" s="781"/>
      <c r="W217" s="781"/>
      <c r="X217" s="781"/>
      <c r="Y217" s="781"/>
      <c r="Z217" s="785"/>
      <c r="AA217" s="400"/>
      <c r="AB217" s="400"/>
      <c r="AC217" s="400"/>
      <c r="AD217" s="400"/>
      <c r="AE217" s="406"/>
    </row>
    <row r="218" spans="1:31" x14ac:dyDescent="0.25">
      <c r="A218" s="399">
        <v>207</v>
      </c>
      <c r="B218" s="781"/>
      <c r="C218" s="781"/>
      <c r="D218" s="781"/>
      <c r="E218" s="781"/>
      <c r="F218" s="786"/>
      <c r="G218" s="781"/>
      <c r="H218" s="781"/>
      <c r="I218" s="781"/>
      <c r="J218" s="781"/>
      <c r="K218" s="782"/>
      <c r="L218" s="781"/>
      <c r="M218" s="781"/>
      <c r="N218" s="781"/>
      <c r="O218" s="781"/>
      <c r="P218" s="783"/>
      <c r="Q218" s="781"/>
      <c r="R218" s="781"/>
      <c r="S218" s="781"/>
      <c r="T218" s="781"/>
      <c r="U218" s="784"/>
      <c r="V218" s="781"/>
      <c r="W218" s="781"/>
      <c r="X218" s="781"/>
      <c r="Y218" s="781"/>
      <c r="Z218" s="785"/>
      <c r="AA218" s="400"/>
      <c r="AB218" s="400"/>
      <c r="AC218" s="400"/>
      <c r="AD218" s="400"/>
      <c r="AE218" s="406"/>
    </row>
    <row r="219" spans="1:31" x14ac:dyDescent="0.25">
      <c r="A219" s="399">
        <v>208</v>
      </c>
      <c r="B219" s="781"/>
      <c r="C219" s="781"/>
      <c r="D219" s="781"/>
      <c r="E219" s="781"/>
      <c r="F219" s="786"/>
      <c r="G219" s="781"/>
      <c r="H219" s="781"/>
      <c r="I219" s="781"/>
      <c r="J219" s="781"/>
      <c r="K219" s="782"/>
      <c r="L219" s="781"/>
      <c r="M219" s="781"/>
      <c r="N219" s="781"/>
      <c r="O219" s="781"/>
      <c r="P219" s="783"/>
      <c r="Q219" s="781"/>
      <c r="R219" s="781"/>
      <c r="S219" s="781"/>
      <c r="T219" s="781"/>
      <c r="U219" s="784"/>
      <c r="V219" s="781"/>
      <c r="W219" s="781"/>
      <c r="X219" s="781"/>
      <c r="Y219" s="781"/>
      <c r="Z219" s="785"/>
      <c r="AA219" s="400"/>
      <c r="AB219" s="400"/>
      <c r="AC219" s="400"/>
      <c r="AD219" s="400"/>
      <c r="AE219" s="406"/>
    </row>
    <row r="220" spans="1:31" x14ac:dyDescent="0.25">
      <c r="A220" s="399">
        <v>209</v>
      </c>
      <c r="B220" s="781"/>
      <c r="C220" s="781"/>
      <c r="D220" s="781"/>
      <c r="E220" s="781"/>
      <c r="F220" s="786"/>
      <c r="G220" s="781"/>
      <c r="H220" s="781"/>
      <c r="I220" s="781"/>
      <c r="J220" s="781"/>
      <c r="K220" s="782"/>
      <c r="L220" s="781"/>
      <c r="M220" s="781"/>
      <c r="N220" s="781"/>
      <c r="O220" s="781"/>
      <c r="P220" s="783"/>
      <c r="Q220" s="781"/>
      <c r="R220" s="781"/>
      <c r="S220" s="781"/>
      <c r="T220" s="781"/>
      <c r="U220" s="784"/>
      <c r="V220" s="781"/>
      <c r="W220" s="781"/>
      <c r="X220" s="781"/>
      <c r="Y220" s="781"/>
      <c r="Z220" s="785"/>
      <c r="AA220" s="400"/>
      <c r="AB220" s="400"/>
      <c r="AC220" s="400"/>
      <c r="AD220" s="400"/>
      <c r="AE220" s="406"/>
    </row>
    <row r="221" spans="1:31" x14ac:dyDescent="0.25">
      <c r="A221" s="399">
        <v>210</v>
      </c>
      <c r="B221" s="781"/>
      <c r="C221" s="781"/>
      <c r="D221" s="781"/>
      <c r="E221" s="781"/>
      <c r="F221" s="786"/>
      <c r="G221" s="781"/>
      <c r="H221" s="781"/>
      <c r="I221" s="781"/>
      <c r="J221" s="781"/>
      <c r="K221" s="782"/>
      <c r="L221" s="781"/>
      <c r="M221" s="781"/>
      <c r="N221" s="781"/>
      <c r="O221" s="781"/>
      <c r="P221" s="783"/>
      <c r="Q221" s="781"/>
      <c r="R221" s="781"/>
      <c r="S221" s="781"/>
      <c r="T221" s="781"/>
      <c r="U221" s="784"/>
      <c r="V221" s="781"/>
      <c r="W221" s="781"/>
      <c r="X221" s="781"/>
      <c r="Y221" s="781"/>
      <c r="Z221" s="785"/>
      <c r="AA221" s="400"/>
      <c r="AB221" s="400"/>
      <c r="AC221" s="400"/>
      <c r="AD221" s="400"/>
      <c r="AE221" s="406"/>
    </row>
    <row r="222" spans="1:31" x14ac:dyDescent="0.25">
      <c r="A222" s="399">
        <v>211</v>
      </c>
      <c r="B222" s="781"/>
      <c r="C222" s="781"/>
      <c r="D222" s="781"/>
      <c r="E222" s="781"/>
      <c r="F222" s="786"/>
      <c r="G222" s="781"/>
      <c r="H222" s="781"/>
      <c r="I222" s="781"/>
      <c r="J222" s="781"/>
      <c r="K222" s="782"/>
      <c r="L222" s="781"/>
      <c r="M222" s="781"/>
      <c r="N222" s="781"/>
      <c r="O222" s="781"/>
      <c r="P222" s="783"/>
      <c r="Q222" s="781"/>
      <c r="R222" s="781"/>
      <c r="S222" s="781"/>
      <c r="T222" s="781"/>
      <c r="U222" s="784"/>
      <c r="V222" s="781"/>
      <c r="W222" s="781"/>
      <c r="X222" s="781"/>
      <c r="Y222" s="781"/>
      <c r="Z222" s="785"/>
      <c r="AA222" s="400"/>
      <c r="AB222" s="400"/>
      <c r="AC222" s="400"/>
      <c r="AD222" s="400"/>
      <c r="AE222" s="406"/>
    </row>
    <row r="223" spans="1:31" x14ac:dyDescent="0.25">
      <c r="A223" s="399">
        <v>212</v>
      </c>
      <c r="B223" s="781"/>
      <c r="C223" s="781"/>
      <c r="D223" s="781"/>
      <c r="E223" s="781"/>
      <c r="F223" s="786"/>
      <c r="G223" s="781"/>
      <c r="H223" s="781"/>
      <c r="I223" s="781"/>
      <c r="J223" s="781"/>
      <c r="K223" s="782"/>
      <c r="L223" s="781"/>
      <c r="M223" s="781"/>
      <c r="N223" s="781"/>
      <c r="O223" s="781"/>
      <c r="P223" s="783"/>
      <c r="Q223" s="781"/>
      <c r="R223" s="781"/>
      <c r="S223" s="781"/>
      <c r="T223" s="781"/>
      <c r="U223" s="784"/>
      <c r="V223" s="781"/>
      <c r="W223" s="781"/>
      <c r="X223" s="781"/>
      <c r="Y223" s="781"/>
      <c r="Z223" s="785"/>
      <c r="AA223" s="400"/>
      <c r="AB223" s="400"/>
      <c r="AC223" s="400"/>
      <c r="AD223" s="400"/>
      <c r="AE223" s="406"/>
    </row>
    <row r="224" spans="1:31" x14ac:dyDescent="0.25">
      <c r="A224" s="399">
        <v>213</v>
      </c>
      <c r="B224" s="781"/>
      <c r="C224" s="781"/>
      <c r="D224" s="781"/>
      <c r="E224" s="781"/>
      <c r="F224" s="786"/>
      <c r="G224" s="781"/>
      <c r="H224" s="781"/>
      <c r="I224" s="781"/>
      <c r="J224" s="781"/>
      <c r="K224" s="782"/>
      <c r="L224" s="781"/>
      <c r="M224" s="781"/>
      <c r="N224" s="781"/>
      <c r="O224" s="781"/>
      <c r="P224" s="783"/>
      <c r="Q224" s="781"/>
      <c r="R224" s="781"/>
      <c r="S224" s="781"/>
      <c r="T224" s="781"/>
      <c r="U224" s="784"/>
      <c r="V224" s="781"/>
      <c r="W224" s="781"/>
      <c r="X224" s="781"/>
      <c r="Y224" s="781"/>
      <c r="Z224" s="785"/>
      <c r="AA224" s="400"/>
      <c r="AB224" s="400"/>
      <c r="AC224" s="400"/>
      <c r="AD224" s="400"/>
      <c r="AE224" s="406"/>
    </row>
    <row r="225" spans="1:31" x14ac:dyDescent="0.25">
      <c r="A225" s="399">
        <v>214</v>
      </c>
      <c r="B225" s="781"/>
      <c r="C225" s="781"/>
      <c r="D225" s="781"/>
      <c r="E225" s="781"/>
      <c r="F225" s="786"/>
      <c r="G225" s="781"/>
      <c r="H225" s="781"/>
      <c r="I225" s="781"/>
      <c r="J225" s="781"/>
      <c r="K225" s="782"/>
      <c r="L225" s="781"/>
      <c r="M225" s="781"/>
      <c r="N225" s="781"/>
      <c r="O225" s="781"/>
      <c r="P225" s="783"/>
      <c r="Q225" s="781"/>
      <c r="R225" s="781"/>
      <c r="S225" s="781"/>
      <c r="T225" s="781"/>
      <c r="U225" s="784"/>
      <c r="V225" s="781"/>
      <c r="W225" s="781"/>
      <c r="X225" s="781"/>
      <c r="Y225" s="781"/>
      <c r="Z225" s="785"/>
      <c r="AA225" s="400"/>
      <c r="AB225" s="400"/>
      <c r="AC225" s="400"/>
      <c r="AD225" s="400"/>
      <c r="AE225" s="406"/>
    </row>
    <row r="226" spans="1:31" x14ac:dyDescent="0.25">
      <c r="A226" s="399">
        <v>215</v>
      </c>
      <c r="B226" s="781"/>
      <c r="C226" s="781"/>
      <c r="D226" s="781"/>
      <c r="E226" s="781"/>
      <c r="F226" s="786"/>
      <c r="G226" s="781"/>
      <c r="H226" s="781"/>
      <c r="I226" s="781"/>
      <c r="J226" s="781"/>
      <c r="K226" s="782"/>
      <c r="L226" s="781"/>
      <c r="M226" s="781"/>
      <c r="N226" s="781"/>
      <c r="O226" s="781"/>
      <c r="P226" s="783"/>
      <c r="Q226" s="781"/>
      <c r="R226" s="781"/>
      <c r="S226" s="781"/>
      <c r="T226" s="781"/>
      <c r="U226" s="784"/>
      <c r="V226" s="781"/>
      <c r="W226" s="781"/>
      <c r="X226" s="781"/>
      <c r="Y226" s="781"/>
      <c r="Z226" s="785"/>
      <c r="AA226" s="400"/>
      <c r="AB226" s="400"/>
      <c r="AC226" s="400"/>
      <c r="AD226" s="400"/>
      <c r="AE226" s="406"/>
    </row>
    <row r="227" spans="1:31" x14ac:dyDescent="0.25">
      <c r="A227" s="399">
        <v>216</v>
      </c>
      <c r="B227" s="781"/>
      <c r="C227" s="781"/>
      <c r="D227" s="781"/>
      <c r="E227" s="781"/>
      <c r="F227" s="786"/>
      <c r="G227" s="781"/>
      <c r="H227" s="781"/>
      <c r="I227" s="781"/>
      <c r="J227" s="781"/>
      <c r="K227" s="782"/>
      <c r="L227" s="781"/>
      <c r="M227" s="781"/>
      <c r="N227" s="781"/>
      <c r="O227" s="781"/>
      <c r="P227" s="783"/>
      <c r="Q227" s="781"/>
      <c r="R227" s="781"/>
      <c r="S227" s="781"/>
      <c r="T227" s="781"/>
      <c r="U227" s="784"/>
      <c r="V227" s="781"/>
      <c r="W227" s="781"/>
      <c r="X227" s="781"/>
      <c r="Y227" s="781"/>
      <c r="Z227" s="785"/>
      <c r="AA227" s="400"/>
      <c r="AB227" s="400"/>
      <c r="AC227" s="400"/>
      <c r="AD227" s="400"/>
      <c r="AE227" s="406"/>
    </row>
    <row r="228" spans="1:31" x14ac:dyDescent="0.25">
      <c r="A228" s="399">
        <v>217</v>
      </c>
      <c r="B228" s="781"/>
      <c r="C228" s="781"/>
      <c r="D228" s="781"/>
      <c r="E228" s="781"/>
      <c r="F228" s="786"/>
      <c r="G228" s="781"/>
      <c r="H228" s="781"/>
      <c r="I228" s="781"/>
      <c r="J228" s="781"/>
      <c r="K228" s="782"/>
      <c r="L228" s="781"/>
      <c r="M228" s="781"/>
      <c r="N228" s="781"/>
      <c r="O228" s="781"/>
      <c r="P228" s="783"/>
      <c r="Q228" s="781"/>
      <c r="R228" s="781"/>
      <c r="S228" s="781"/>
      <c r="T228" s="781"/>
      <c r="U228" s="784"/>
      <c r="V228" s="781"/>
      <c r="W228" s="781"/>
      <c r="X228" s="781"/>
      <c r="Y228" s="781"/>
      <c r="Z228" s="785"/>
      <c r="AA228" s="400"/>
      <c r="AB228" s="400"/>
      <c r="AC228" s="400"/>
      <c r="AD228" s="400"/>
      <c r="AE228" s="406"/>
    </row>
    <row r="229" spans="1:31" x14ac:dyDescent="0.25">
      <c r="A229" s="399">
        <v>218</v>
      </c>
      <c r="B229" s="781"/>
      <c r="C229" s="781"/>
      <c r="D229" s="781"/>
      <c r="E229" s="781"/>
      <c r="F229" s="786"/>
      <c r="G229" s="781"/>
      <c r="H229" s="781"/>
      <c r="I229" s="781"/>
      <c r="J229" s="781"/>
      <c r="K229" s="782"/>
      <c r="L229" s="781"/>
      <c r="M229" s="781"/>
      <c r="N229" s="781"/>
      <c r="O229" s="781"/>
      <c r="P229" s="783"/>
      <c r="Q229" s="781"/>
      <c r="R229" s="781"/>
      <c r="S229" s="781"/>
      <c r="T229" s="781"/>
      <c r="U229" s="784"/>
      <c r="V229" s="781"/>
      <c r="W229" s="781"/>
      <c r="X229" s="781"/>
      <c r="Y229" s="781"/>
      <c r="Z229" s="785"/>
      <c r="AA229" s="400"/>
      <c r="AB229" s="400"/>
      <c r="AC229" s="400"/>
      <c r="AD229" s="400"/>
      <c r="AE229" s="406"/>
    </row>
    <row r="230" spans="1:31" x14ac:dyDescent="0.25">
      <c r="A230" s="399">
        <v>219</v>
      </c>
      <c r="B230" s="781"/>
      <c r="C230" s="781"/>
      <c r="D230" s="781"/>
      <c r="E230" s="781"/>
      <c r="F230" s="786"/>
      <c r="G230" s="781"/>
      <c r="H230" s="781"/>
      <c r="I230" s="781"/>
      <c r="J230" s="781"/>
      <c r="K230" s="782"/>
      <c r="L230" s="781"/>
      <c r="M230" s="781"/>
      <c r="N230" s="781"/>
      <c r="O230" s="781"/>
      <c r="P230" s="783"/>
      <c r="Q230" s="781"/>
      <c r="R230" s="781"/>
      <c r="S230" s="781"/>
      <c r="T230" s="781"/>
      <c r="U230" s="784"/>
      <c r="V230" s="781"/>
      <c r="W230" s="781"/>
      <c r="X230" s="781"/>
      <c r="Y230" s="781"/>
      <c r="Z230" s="785"/>
      <c r="AA230" s="400"/>
      <c r="AB230" s="400"/>
      <c r="AC230" s="400"/>
      <c r="AD230" s="400"/>
      <c r="AE230" s="406"/>
    </row>
    <row r="231" spans="1:31" x14ac:dyDescent="0.25">
      <c r="A231" s="399">
        <v>220</v>
      </c>
      <c r="B231" s="781"/>
      <c r="C231" s="781"/>
      <c r="D231" s="781"/>
      <c r="E231" s="781"/>
      <c r="F231" s="786"/>
      <c r="G231" s="781"/>
      <c r="H231" s="781"/>
      <c r="I231" s="781"/>
      <c r="J231" s="781"/>
      <c r="K231" s="782"/>
      <c r="L231" s="781"/>
      <c r="M231" s="781"/>
      <c r="N231" s="781"/>
      <c r="O231" s="781"/>
      <c r="P231" s="783"/>
      <c r="Q231" s="781"/>
      <c r="R231" s="781"/>
      <c r="S231" s="781"/>
      <c r="T231" s="781"/>
      <c r="U231" s="784"/>
      <c r="V231" s="781"/>
      <c r="W231" s="781"/>
      <c r="X231" s="781"/>
      <c r="Y231" s="781"/>
      <c r="Z231" s="785"/>
      <c r="AA231" s="400"/>
      <c r="AB231" s="400"/>
      <c r="AC231" s="400"/>
      <c r="AD231" s="400"/>
      <c r="AE231" s="406"/>
    </row>
    <row r="232" spans="1:31" x14ac:dyDescent="0.25">
      <c r="A232" s="399">
        <v>221</v>
      </c>
      <c r="B232" s="781"/>
      <c r="C232" s="781"/>
      <c r="D232" s="781"/>
      <c r="E232" s="781"/>
      <c r="F232" s="786"/>
      <c r="G232" s="781"/>
      <c r="H232" s="781"/>
      <c r="I232" s="781"/>
      <c r="J232" s="781"/>
      <c r="K232" s="782"/>
      <c r="L232" s="781"/>
      <c r="M232" s="781"/>
      <c r="N232" s="781"/>
      <c r="O232" s="781"/>
      <c r="P232" s="783"/>
      <c r="Q232" s="781"/>
      <c r="R232" s="781"/>
      <c r="S232" s="781"/>
      <c r="T232" s="781"/>
      <c r="U232" s="784"/>
      <c r="V232" s="781"/>
      <c r="W232" s="781"/>
      <c r="X232" s="781"/>
      <c r="Y232" s="781"/>
      <c r="Z232" s="785"/>
      <c r="AA232" s="400"/>
      <c r="AB232" s="400"/>
      <c r="AC232" s="400"/>
      <c r="AD232" s="400"/>
      <c r="AE232" s="406"/>
    </row>
    <row r="233" spans="1:31" x14ac:dyDescent="0.25">
      <c r="A233" s="399">
        <v>222</v>
      </c>
      <c r="B233" s="781"/>
      <c r="C233" s="781"/>
      <c r="D233" s="781"/>
      <c r="E233" s="781"/>
      <c r="F233" s="786"/>
      <c r="G233" s="781"/>
      <c r="H233" s="781"/>
      <c r="I233" s="781"/>
      <c r="J233" s="781"/>
      <c r="K233" s="782"/>
      <c r="L233" s="781"/>
      <c r="M233" s="781"/>
      <c r="N233" s="781"/>
      <c r="O233" s="781"/>
      <c r="P233" s="783"/>
      <c r="Q233" s="781"/>
      <c r="R233" s="781"/>
      <c r="S233" s="781"/>
      <c r="T233" s="781"/>
      <c r="U233" s="784"/>
      <c r="V233" s="781"/>
      <c r="W233" s="781"/>
      <c r="X233" s="781"/>
      <c r="Y233" s="781"/>
      <c r="Z233" s="785"/>
      <c r="AA233" s="400"/>
      <c r="AB233" s="400"/>
      <c r="AC233" s="400"/>
      <c r="AD233" s="400"/>
      <c r="AE233" s="406"/>
    </row>
    <row r="234" spans="1:31" x14ac:dyDescent="0.25">
      <c r="A234" s="399">
        <v>223</v>
      </c>
      <c r="B234" s="781"/>
      <c r="C234" s="781"/>
      <c r="D234" s="781"/>
      <c r="E234" s="781"/>
      <c r="F234" s="786"/>
      <c r="G234" s="781"/>
      <c r="H234" s="781"/>
      <c r="I234" s="781"/>
      <c r="J234" s="781"/>
      <c r="K234" s="782"/>
      <c r="L234" s="781"/>
      <c r="M234" s="781"/>
      <c r="N234" s="781"/>
      <c r="O234" s="781"/>
      <c r="P234" s="783"/>
      <c r="Q234" s="781"/>
      <c r="R234" s="781"/>
      <c r="S234" s="781"/>
      <c r="T234" s="781"/>
      <c r="U234" s="784"/>
      <c r="V234" s="781"/>
      <c r="W234" s="781"/>
      <c r="X234" s="781"/>
      <c r="Y234" s="781"/>
      <c r="Z234" s="785"/>
      <c r="AA234" s="400"/>
      <c r="AB234" s="400"/>
      <c r="AC234" s="400"/>
      <c r="AD234" s="400"/>
      <c r="AE234" s="406"/>
    </row>
    <row r="235" spans="1:31" x14ac:dyDescent="0.25">
      <c r="A235" s="399">
        <v>224</v>
      </c>
      <c r="B235" s="781"/>
      <c r="C235" s="781"/>
      <c r="D235" s="781"/>
      <c r="E235" s="781"/>
      <c r="F235" s="786"/>
      <c r="G235" s="781"/>
      <c r="H235" s="781"/>
      <c r="I235" s="781"/>
      <c r="J235" s="781"/>
      <c r="K235" s="782"/>
      <c r="L235" s="781"/>
      <c r="M235" s="781"/>
      <c r="N235" s="781"/>
      <c r="O235" s="781"/>
      <c r="P235" s="783"/>
      <c r="Q235" s="781"/>
      <c r="R235" s="781"/>
      <c r="S235" s="781"/>
      <c r="T235" s="781"/>
      <c r="U235" s="784"/>
      <c r="V235" s="781"/>
      <c r="W235" s="781"/>
      <c r="X235" s="781"/>
      <c r="Y235" s="781"/>
      <c r="Z235" s="785"/>
      <c r="AA235" s="400"/>
      <c r="AB235" s="400"/>
      <c r="AC235" s="400"/>
      <c r="AD235" s="400"/>
      <c r="AE235" s="406"/>
    </row>
    <row r="236" spans="1:31" x14ac:dyDescent="0.25">
      <c r="A236" s="399">
        <v>225</v>
      </c>
      <c r="B236" s="781"/>
      <c r="C236" s="781"/>
      <c r="D236" s="781"/>
      <c r="E236" s="781"/>
      <c r="F236" s="786"/>
      <c r="G236" s="781"/>
      <c r="H236" s="781"/>
      <c r="I236" s="781"/>
      <c r="J236" s="781"/>
      <c r="K236" s="782"/>
      <c r="L236" s="781"/>
      <c r="M236" s="781"/>
      <c r="N236" s="781"/>
      <c r="O236" s="781"/>
      <c r="P236" s="783"/>
      <c r="Q236" s="781"/>
      <c r="R236" s="781"/>
      <c r="S236" s="781"/>
      <c r="T236" s="781"/>
      <c r="U236" s="784"/>
      <c r="V236" s="781"/>
      <c r="W236" s="781"/>
      <c r="X236" s="781"/>
      <c r="Y236" s="781"/>
      <c r="Z236" s="785"/>
      <c r="AA236" s="400"/>
      <c r="AB236" s="400"/>
      <c r="AC236" s="400"/>
      <c r="AD236" s="400"/>
      <c r="AE236" s="406"/>
    </row>
    <row r="237" spans="1:31" x14ac:dyDescent="0.25">
      <c r="A237" s="399">
        <v>226</v>
      </c>
      <c r="B237" s="781"/>
      <c r="C237" s="781"/>
      <c r="D237" s="781"/>
      <c r="E237" s="781"/>
      <c r="F237" s="786"/>
      <c r="G237" s="781"/>
      <c r="H237" s="781"/>
      <c r="I237" s="781"/>
      <c r="J237" s="781"/>
      <c r="K237" s="782"/>
      <c r="L237" s="781"/>
      <c r="M237" s="781"/>
      <c r="N237" s="781"/>
      <c r="O237" s="781"/>
      <c r="P237" s="783"/>
      <c r="Q237" s="781"/>
      <c r="R237" s="781"/>
      <c r="S237" s="781"/>
      <c r="T237" s="781"/>
      <c r="U237" s="784"/>
      <c r="V237" s="781"/>
      <c r="W237" s="781"/>
      <c r="X237" s="781"/>
      <c r="Y237" s="781"/>
      <c r="Z237" s="785"/>
      <c r="AA237" s="400"/>
      <c r="AB237" s="400"/>
      <c r="AC237" s="400"/>
      <c r="AD237" s="400"/>
      <c r="AE237" s="406"/>
    </row>
    <row r="238" spans="1:31" x14ac:dyDescent="0.25">
      <c r="A238" s="399">
        <v>227</v>
      </c>
      <c r="B238" s="781"/>
      <c r="C238" s="781"/>
      <c r="D238" s="781"/>
      <c r="E238" s="781"/>
      <c r="F238" s="786"/>
      <c r="G238" s="781"/>
      <c r="H238" s="781"/>
      <c r="I238" s="781"/>
      <c r="J238" s="781"/>
      <c r="K238" s="782"/>
      <c r="L238" s="781"/>
      <c r="M238" s="781"/>
      <c r="N238" s="781"/>
      <c r="O238" s="781"/>
      <c r="P238" s="783"/>
      <c r="Q238" s="781"/>
      <c r="R238" s="781"/>
      <c r="S238" s="781"/>
      <c r="T238" s="781"/>
      <c r="U238" s="784"/>
      <c r="V238" s="781"/>
      <c r="W238" s="781"/>
      <c r="X238" s="781"/>
      <c r="Y238" s="781"/>
      <c r="Z238" s="785"/>
      <c r="AA238" s="400"/>
      <c r="AB238" s="400"/>
      <c r="AC238" s="400"/>
      <c r="AD238" s="400"/>
      <c r="AE238" s="406"/>
    </row>
    <row r="239" spans="1:31" x14ac:dyDescent="0.25">
      <c r="A239" s="399">
        <v>228</v>
      </c>
      <c r="B239" s="781"/>
      <c r="C239" s="781"/>
      <c r="D239" s="781"/>
      <c r="E239" s="781"/>
      <c r="F239" s="786"/>
      <c r="G239" s="781"/>
      <c r="H239" s="781"/>
      <c r="I239" s="781"/>
      <c r="J239" s="781"/>
      <c r="K239" s="782"/>
      <c r="L239" s="781"/>
      <c r="M239" s="781"/>
      <c r="N239" s="781"/>
      <c r="O239" s="781"/>
      <c r="P239" s="783"/>
      <c r="Q239" s="781"/>
      <c r="R239" s="781"/>
      <c r="S239" s="781"/>
      <c r="T239" s="781"/>
      <c r="U239" s="784"/>
      <c r="V239" s="781"/>
      <c r="W239" s="781"/>
      <c r="X239" s="781"/>
      <c r="Y239" s="781"/>
      <c r="Z239" s="785"/>
      <c r="AA239" s="400"/>
      <c r="AB239" s="400"/>
      <c r="AC239" s="400"/>
      <c r="AD239" s="400"/>
      <c r="AE239" s="406"/>
    </row>
    <row r="240" spans="1:31" x14ac:dyDescent="0.25">
      <c r="A240" s="399">
        <v>229</v>
      </c>
      <c r="B240" s="781"/>
      <c r="C240" s="781"/>
      <c r="D240" s="781"/>
      <c r="E240" s="781"/>
      <c r="F240" s="786"/>
      <c r="G240" s="781"/>
      <c r="H240" s="781"/>
      <c r="I240" s="781"/>
      <c r="J240" s="781"/>
      <c r="K240" s="782"/>
      <c r="L240" s="781"/>
      <c r="M240" s="781"/>
      <c r="N240" s="781"/>
      <c r="O240" s="781"/>
      <c r="P240" s="783"/>
      <c r="Q240" s="781"/>
      <c r="R240" s="781"/>
      <c r="S240" s="781"/>
      <c r="T240" s="781"/>
      <c r="U240" s="784"/>
      <c r="V240" s="781"/>
      <c r="W240" s="781"/>
      <c r="X240" s="781"/>
      <c r="Y240" s="781"/>
      <c r="Z240" s="785"/>
      <c r="AA240" s="400"/>
      <c r="AB240" s="400"/>
      <c r="AC240" s="400"/>
      <c r="AD240" s="400"/>
      <c r="AE240" s="406"/>
    </row>
    <row r="241" spans="1:31" x14ac:dyDescent="0.25">
      <c r="A241" s="399">
        <v>230</v>
      </c>
      <c r="B241" s="781"/>
      <c r="C241" s="781"/>
      <c r="D241" s="781"/>
      <c r="E241" s="781"/>
      <c r="F241" s="786"/>
      <c r="G241" s="781"/>
      <c r="H241" s="781"/>
      <c r="I241" s="781"/>
      <c r="J241" s="781"/>
      <c r="K241" s="782"/>
      <c r="L241" s="781"/>
      <c r="M241" s="781"/>
      <c r="N241" s="781"/>
      <c r="O241" s="781"/>
      <c r="P241" s="783"/>
      <c r="Q241" s="781"/>
      <c r="R241" s="781"/>
      <c r="S241" s="781"/>
      <c r="T241" s="781"/>
      <c r="U241" s="784"/>
      <c r="V241" s="781"/>
      <c r="W241" s="781"/>
      <c r="X241" s="781"/>
      <c r="Y241" s="781"/>
      <c r="Z241" s="785"/>
      <c r="AA241" s="400"/>
      <c r="AB241" s="400"/>
      <c r="AC241" s="400"/>
      <c r="AD241" s="400"/>
      <c r="AE241" s="406"/>
    </row>
    <row r="242" spans="1:31" x14ac:dyDescent="0.25">
      <c r="A242" s="399">
        <v>231</v>
      </c>
      <c r="B242" s="781"/>
      <c r="C242" s="781"/>
      <c r="D242" s="781"/>
      <c r="E242" s="781"/>
      <c r="F242" s="786"/>
      <c r="G242" s="781"/>
      <c r="H242" s="781"/>
      <c r="I242" s="781"/>
      <c r="J242" s="781"/>
      <c r="K242" s="782"/>
      <c r="L242" s="781"/>
      <c r="M242" s="781"/>
      <c r="N242" s="781"/>
      <c r="O242" s="781"/>
      <c r="P242" s="783"/>
      <c r="Q242" s="781"/>
      <c r="R242" s="781"/>
      <c r="S242" s="781"/>
      <c r="T242" s="781"/>
      <c r="U242" s="784"/>
      <c r="V242" s="781"/>
      <c r="W242" s="781"/>
      <c r="X242" s="781"/>
      <c r="Y242" s="781"/>
      <c r="Z242" s="785"/>
      <c r="AA242" s="400"/>
      <c r="AB242" s="400"/>
      <c r="AC242" s="400"/>
      <c r="AD242" s="400"/>
      <c r="AE242" s="406"/>
    </row>
    <row r="243" spans="1:31" x14ac:dyDescent="0.25">
      <c r="A243" s="399">
        <v>232</v>
      </c>
      <c r="B243" s="781"/>
      <c r="C243" s="781"/>
      <c r="D243" s="781"/>
      <c r="E243" s="781"/>
      <c r="F243" s="786"/>
      <c r="G243" s="781"/>
      <c r="H243" s="781"/>
      <c r="I243" s="781"/>
      <c r="J243" s="781"/>
      <c r="K243" s="782"/>
      <c r="L243" s="781"/>
      <c r="M243" s="781"/>
      <c r="N243" s="781"/>
      <c r="O243" s="781"/>
      <c r="P243" s="783"/>
      <c r="Q243" s="781"/>
      <c r="R243" s="781"/>
      <c r="S243" s="781"/>
      <c r="T243" s="781"/>
      <c r="U243" s="784"/>
      <c r="V243" s="781"/>
      <c r="W243" s="781"/>
      <c r="X243" s="781"/>
      <c r="Y243" s="781"/>
      <c r="Z243" s="785"/>
      <c r="AA243" s="400"/>
      <c r="AB243" s="400"/>
      <c r="AC243" s="400"/>
      <c r="AD243" s="400"/>
      <c r="AE243" s="406"/>
    </row>
    <row r="244" spans="1:31" x14ac:dyDescent="0.25">
      <c r="A244" s="399">
        <v>233</v>
      </c>
      <c r="B244" s="781"/>
      <c r="C244" s="781"/>
      <c r="D244" s="781"/>
      <c r="E244" s="781"/>
      <c r="F244" s="786"/>
      <c r="G244" s="781"/>
      <c r="H244" s="781"/>
      <c r="I244" s="781"/>
      <c r="J244" s="781"/>
      <c r="K244" s="782"/>
      <c r="L244" s="781"/>
      <c r="M244" s="781"/>
      <c r="N244" s="781"/>
      <c r="O244" s="781"/>
      <c r="P244" s="783"/>
      <c r="Q244" s="781"/>
      <c r="R244" s="781"/>
      <c r="S244" s="781"/>
      <c r="T244" s="781"/>
      <c r="U244" s="784"/>
      <c r="V244" s="781"/>
      <c r="W244" s="781"/>
      <c r="X244" s="781"/>
      <c r="Y244" s="781"/>
      <c r="Z244" s="785"/>
      <c r="AA244" s="400"/>
      <c r="AB244" s="400"/>
      <c r="AC244" s="400"/>
      <c r="AD244" s="400"/>
      <c r="AE244" s="406"/>
    </row>
    <row r="245" spans="1:31" x14ac:dyDescent="0.25">
      <c r="A245" s="399">
        <v>234</v>
      </c>
      <c r="B245" s="781"/>
      <c r="C245" s="781"/>
      <c r="D245" s="781"/>
      <c r="E245" s="781"/>
      <c r="F245" s="786"/>
      <c r="G245" s="781"/>
      <c r="H245" s="781"/>
      <c r="I245" s="781"/>
      <c r="J245" s="781"/>
      <c r="K245" s="782"/>
      <c r="L245" s="781"/>
      <c r="M245" s="781"/>
      <c r="N245" s="781"/>
      <c r="O245" s="781"/>
      <c r="P245" s="783"/>
      <c r="Q245" s="781"/>
      <c r="R245" s="781"/>
      <c r="S245" s="781"/>
      <c r="T245" s="781"/>
      <c r="U245" s="784"/>
      <c r="V245" s="781"/>
      <c r="W245" s="781"/>
      <c r="X245" s="781"/>
      <c r="Y245" s="781"/>
      <c r="Z245" s="785"/>
      <c r="AA245" s="400"/>
      <c r="AB245" s="400"/>
      <c r="AC245" s="400"/>
      <c r="AD245" s="400"/>
      <c r="AE245" s="406"/>
    </row>
    <row r="246" spans="1:31" x14ac:dyDescent="0.25">
      <c r="A246" s="399">
        <v>235</v>
      </c>
      <c r="B246" s="781"/>
      <c r="C246" s="781"/>
      <c r="D246" s="781"/>
      <c r="E246" s="781"/>
      <c r="F246" s="786"/>
      <c r="G246" s="781"/>
      <c r="H246" s="781"/>
      <c r="I246" s="781"/>
      <c r="J246" s="781"/>
      <c r="K246" s="782"/>
      <c r="L246" s="781"/>
      <c r="M246" s="781"/>
      <c r="N246" s="781"/>
      <c r="O246" s="781"/>
      <c r="P246" s="783"/>
      <c r="Q246" s="781"/>
      <c r="R246" s="781"/>
      <c r="S246" s="781"/>
      <c r="T246" s="781"/>
      <c r="U246" s="784"/>
      <c r="V246" s="781"/>
      <c r="W246" s="781"/>
      <c r="X246" s="781"/>
      <c r="Y246" s="781"/>
      <c r="Z246" s="785"/>
      <c r="AA246" s="400"/>
      <c r="AB246" s="400"/>
      <c r="AC246" s="400"/>
      <c r="AD246" s="400"/>
      <c r="AE246" s="406"/>
    </row>
    <row r="247" spans="1:31" x14ac:dyDescent="0.25">
      <c r="A247" s="399">
        <v>236</v>
      </c>
      <c r="B247" s="781"/>
      <c r="C247" s="781"/>
      <c r="D247" s="781"/>
      <c r="E247" s="781"/>
      <c r="F247" s="786"/>
      <c r="G247" s="781"/>
      <c r="H247" s="781"/>
      <c r="I247" s="781"/>
      <c r="J247" s="781"/>
      <c r="K247" s="782"/>
      <c r="L247" s="781"/>
      <c r="M247" s="781"/>
      <c r="N247" s="781"/>
      <c r="O247" s="781"/>
      <c r="P247" s="783"/>
      <c r="Q247" s="781"/>
      <c r="R247" s="781"/>
      <c r="S247" s="781"/>
      <c r="T247" s="781"/>
      <c r="U247" s="784"/>
      <c r="V247" s="781"/>
      <c r="W247" s="781"/>
      <c r="X247" s="781"/>
      <c r="Y247" s="781"/>
      <c r="Z247" s="785"/>
      <c r="AA247" s="400"/>
      <c r="AB247" s="400"/>
      <c r="AC247" s="400"/>
      <c r="AD247" s="400"/>
      <c r="AE247" s="406"/>
    </row>
    <row r="248" spans="1:31" x14ac:dyDescent="0.25">
      <c r="A248" s="399">
        <v>237</v>
      </c>
      <c r="B248" s="781"/>
      <c r="C248" s="781"/>
      <c r="D248" s="781"/>
      <c r="E248" s="781"/>
      <c r="F248" s="786"/>
      <c r="G248" s="781"/>
      <c r="H248" s="781"/>
      <c r="I248" s="781"/>
      <c r="J248" s="781"/>
      <c r="K248" s="782"/>
      <c r="L248" s="781"/>
      <c r="M248" s="781"/>
      <c r="N248" s="781"/>
      <c r="O248" s="781"/>
      <c r="P248" s="783"/>
      <c r="Q248" s="781"/>
      <c r="R248" s="781"/>
      <c r="S248" s="781"/>
      <c r="T248" s="781"/>
      <c r="U248" s="784"/>
      <c r="V248" s="781"/>
      <c r="W248" s="781"/>
      <c r="X248" s="781"/>
      <c r="Y248" s="781"/>
      <c r="Z248" s="785"/>
      <c r="AA248" s="400"/>
      <c r="AB248" s="400"/>
      <c r="AC248" s="400"/>
      <c r="AD248" s="400"/>
      <c r="AE248" s="406"/>
    </row>
    <row r="249" spans="1:31" x14ac:dyDescent="0.25">
      <c r="A249" s="399">
        <v>238</v>
      </c>
      <c r="B249" s="781"/>
      <c r="C249" s="781"/>
      <c r="D249" s="781"/>
      <c r="E249" s="781"/>
      <c r="F249" s="786"/>
      <c r="G249" s="781"/>
      <c r="H249" s="781"/>
      <c r="I249" s="781"/>
      <c r="J249" s="781"/>
      <c r="K249" s="782"/>
      <c r="L249" s="781"/>
      <c r="M249" s="781"/>
      <c r="N249" s="781"/>
      <c r="O249" s="781"/>
      <c r="P249" s="783"/>
      <c r="Q249" s="781"/>
      <c r="R249" s="781"/>
      <c r="S249" s="781"/>
      <c r="T249" s="781"/>
      <c r="U249" s="784"/>
      <c r="V249" s="781"/>
      <c r="W249" s="781"/>
      <c r="X249" s="781"/>
      <c r="Y249" s="781"/>
      <c r="Z249" s="785"/>
      <c r="AA249" s="400"/>
      <c r="AB249" s="400"/>
      <c r="AC249" s="400"/>
      <c r="AD249" s="400"/>
      <c r="AE249" s="406"/>
    </row>
    <row r="250" spans="1:31" x14ac:dyDescent="0.25">
      <c r="A250" s="399">
        <v>239</v>
      </c>
      <c r="B250" s="781"/>
      <c r="C250" s="781"/>
      <c r="D250" s="781"/>
      <c r="E250" s="781"/>
      <c r="F250" s="786"/>
      <c r="G250" s="781"/>
      <c r="H250" s="781"/>
      <c r="I250" s="781"/>
      <c r="J250" s="781"/>
      <c r="K250" s="782"/>
      <c r="L250" s="781"/>
      <c r="M250" s="781"/>
      <c r="N250" s="781"/>
      <c r="O250" s="781"/>
      <c r="P250" s="783"/>
      <c r="Q250" s="781"/>
      <c r="R250" s="781"/>
      <c r="S250" s="781"/>
      <c r="T250" s="781"/>
      <c r="U250" s="784"/>
      <c r="V250" s="781"/>
      <c r="W250" s="781"/>
      <c r="X250" s="781"/>
      <c r="Y250" s="781"/>
      <c r="Z250" s="785"/>
      <c r="AA250" s="400"/>
      <c r="AB250" s="400"/>
      <c r="AC250" s="400"/>
      <c r="AD250" s="400"/>
      <c r="AE250" s="406"/>
    </row>
    <row r="251" spans="1:31" x14ac:dyDescent="0.25">
      <c r="A251" s="399">
        <v>240</v>
      </c>
      <c r="B251" s="781"/>
      <c r="C251" s="781"/>
      <c r="D251" s="781"/>
      <c r="E251" s="781"/>
      <c r="F251" s="786"/>
      <c r="G251" s="781"/>
      <c r="H251" s="781"/>
      <c r="I251" s="781"/>
      <c r="J251" s="781"/>
      <c r="K251" s="782"/>
      <c r="L251" s="781"/>
      <c r="M251" s="781"/>
      <c r="N251" s="781"/>
      <c r="O251" s="781"/>
      <c r="P251" s="783"/>
      <c r="Q251" s="781"/>
      <c r="R251" s="781"/>
      <c r="S251" s="781"/>
      <c r="T251" s="781"/>
      <c r="U251" s="784"/>
      <c r="V251" s="781"/>
      <c r="W251" s="781"/>
      <c r="X251" s="781"/>
      <c r="Y251" s="781"/>
      <c r="Z251" s="785"/>
      <c r="AA251" s="400"/>
      <c r="AB251" s="400"/>
      <c r="AC251" s="400"/>
      <c r="AD251" s="400"/>
      <c r="AE251" s="406"/>
    </row>
    <row r="252" spans="1:31" x14ac:dyDescent="0.25">
      <c r="A252" s="399">
        <v>241</v>
      </c>
      <c r="B252" s="781"/>
      <c r="C252" s="781"/>
      <c r="D252" s="781"/>
      <c r="E252" s="781"/>
      <c r="F252" s="786"/>
      <c r="G252" s="781"/>
      <c r="H252" s="781"/>
      <c r="I252" s="781"/>
      <c r="J252" s="781"/>
      <c r="K252" s="782"/>
      <c r="L252" s="781"/>
      <c r="M252" s="781"/>
      <c r="N252" s="781"/>
      <c r="O252" s="781"/>
      <c r="P252" s="783"/>
      <c r="Q252" s="781"/>
      <c r="R252" s="781"/>
      <c r="S252" s="781"/>
      <c r="T252" s="781"/>
      <c r="U252" s="784"/>
      <c r="V252" s="781"/>
      <c r="W252" s="781"/>
      <c r="X252" s="781"/>
      <c r="Y252" s="781"/>
      <c r="Z252" s="785"/>
      <c r="AA252" s="400"/>
      <c r="AB252" s="400"/>
      <c r="AC252" s="400"/>
      <c r="AD252" s="400"/>
      <c r="AE252" s="406"/>
    </row>
    <row r="253" spans="1:31" x14ac:dyDescent="0.25">
      <c r="A253" s="399">
        <v>242</v>
      </c>
      <c r="B253" s="781"/>
      <c r="C253" s="781"/>
      <c r="D253" s="781"/>
      <c r="E253" s="781"/>
      <c r="F253" s="786"/>
      <c r="G253" s="781"/>
      <c r="H253" s="781"/>
      <c r="I253" s="781"/>
      <c r="J253" s="781"/>
      <c r="K253" s="782"/>
      <c r="L253" s="781"/>
      <c r="M253" s="781"/>
      <c r="N253" s="781"/>
      <c r="O253" s="781"/>
      <c r="P253" s="783"/>
      <c r="Q253" s="781"/>
      <c r="R253" s="781"/>
      <c r="S253" s="781"/>
      <c r="T253" s="781"/>
      <c r="U253" s="784"/>
      <c r="V253" s="781"/>
      <c r="W253" s="781"/>
      <c r="X253" s="781"/>
      <c r="Y253" s="781"/>
      <c r="Z253" s="785"/>
      <c r="AA253" s="400"/>
      <c r="AB253" s="400"/>
      <c r="AC253" s="400"/>
      <c r="AD253" s="400"/>
      <c r="AE253" s="406"/>
    </row>
    <row r="254" spans="1:31" x14ac:dyDescent="0.25">
      <c r="A254" s="399">
        <v>243</v>
      </c>
      <c r="B254" s="781"/>
      <c r="C254" s="781"/>
      <c r="D254" s="781"/>
      <c r="E254" s="781"/>
      <c r="F254" s="786"/>
      <c r="G254" s="781"/>
      <c r="H254" s="781"/>
      <c r="I254" s="781"/>
      <c r="J254" s="781"/>
      <c r="K254" s="782"/>
      <c r="L254" s="781"/>
      <c r="M254" s="781"/>
      <c r="N254" s="781"/>
      <c r="O254" s="781"/>
      <c r="P254" s="783"/>
      <c r="Q254" s="781"/>
      <c r="R254" s="781"/>
      <c r="S254" s="781"/>
      <c r="T254" s="781"/>
      <c r="U254" s="784"/>
      <c r="V254" s="781"/>
      <c r="W254" s="781"/>
      <c r="X254" s="781"/>
      <c r="Y254" s="781"/>
      <c r="Z254" s="785"/>
      <c r="AA254" s="400"/>
      <c r="AB254" s="400"/>
      <c r="AC254" s="400"/>
      <c r="AD254" s="400"/>
      <c r="AE254" s="406"/>
    </row>
    <row r="255" spans="1:31" x14ac:dyDescent="0.25">
      <c r="A255" s="399">
        <v>244</v>
      </c>
      <c r="B255" s="781"/>
      <c r="C255" s="781"/>
      <c r="D255" s="781"/>
      <c r="E255" s="781"/>
      <c r="F255" s="786"/>
      <c r="G255" s="781"/>
      <c r="H255" s="781"/>
      <c r="I255" s="781"/>
      <c r="J255" s="781"/>
      <c r="K255" s="782"/>
      <c r="L255" s="781"/>
      <c r="M255" s="781"/>
      <c r="N255" s="781"/>
      <c r="O255" s="781"/>
      <c r="P255" s="783"/>
      <c r="Q255" s="781"/>
      <c r="R255" s="781"/>
      <c r="S255" s="781"/>
      <c r="T255" s="781"/>
      <c r="U255" s="784"/>
      <c r="V255" s="781"/>
      <c r="W255" s="781"/>
      <c r="X255" s="781"/>
      <c r="Y255" s="781"/>
      <c r="Z255" s="785"/>
      <c r="AA255" s="400"/>
      <c r="AB255" s="400"/>
      <c r="AC255" s="400"/>
      <c r="AD255" s="400"/>
      <c r="AE255" s="406"/>
    </row>
    <row r="256" spans="1:31" x14ac:dyDescent="0.25">
      <c r="A256" s="399">
        <v>245</v>
      </c>
      <c r="B256" s="781"/>
      <c r="C256" s="781"/>
      <c r="D256" s="781"/>
      <c r="E256" s="781"/>
      <c r="F256" s="786"/>
      <c r="G256" s="781"/>
      <c r="H256" s="781"/>
      <c r="I256" s="781"/>
      <c r="J256" s="781"/>
      <c r="K256" s="782"/>
      <c r="L256" s="781"/>
      <c r="M256" s="781"/>
      <c r="N256" s="781"/>
      <c r="O256" s="781"/>
      <c r="P256" s="783"/>
      <c r="Q256" s="781"/>
      <c r="R256" s="781"/>
      <c r="S256" s="781"/>
      <c r="T256" s="781"/>
      <c r="U256" s="784"/>
      <c r="V256" s="781"/>
      <c r="W256" s="781"/>
      <c r="X256" s="781"/>
      <c r="Y256" s="781"/>
      <c r="Z256" s="785"/>
      <c r="AA256" s="400"/>
      <c r="AB256" s="400"/>
      <c r="AC256" s="400"/>
      <c r="AD256" s="400"/>
      <c r="AE256" s="406"/>
    </row>
    <row r="257" spans="1:31" x14ac:dyDescent="0.25">
      <c r="A257" s="399">
        <v>246</v>
      </c>
      <c r="B257" s="781"/>
      <c r="C257" s="781"/>
      <c r="D257" s="781"/>
      <c r="E257" s="781"/>
      <c r="F257" s="786"/>
      <c r="G257" s="781"/>
      <c r="H257" s="781"/>
      <c r="I257" s="781"/>
      <c r="J257" s="781"/>
      <c r="K257" s="782"/>
      <c r="L257" s="781"/>
      <c r="M257" s="781"/>
      <c r="N257" s="781"/>
      <c r="O257" s="781"/>
      <c r="P257" s="783"/>
      <c r="Q257" s="781"/>
      <c r="R257" s="781"/>
      <c r="S257" s="781"/>
      <c r="T257" s="781"/>
      <c r="U257" s="784"/>
      <c r="V257" s="781"/>
      <c r="W257" s="781"/>
      <c r="X257" s="781"/>
      <c r="Y257" s="781"/>
      <c r="Z257" s="785"/>
      <c r="AA257" s="400"/>
      <c r="AB257" s="400"/>
      <c r="AC257" s="400"/>
      <c r="AD257" s="400"/>
      <c r="AE257" s="406"/>
    </row>
    <row r="258" spans="1:31" x14ac:dyDescent="0.25">
      <c r="A258" s="399">
        <v>247</v>
      </c>
      <c r="B258" s="781"/>
      <c r="C258" s="781"/>
      <c r="D258" s="781"/>
      <c r="E258" s="781"/>
      <c r="F258" s="786"/>
      <c r="G258" s="781"/>
      <c r="H258" s="781"/>
      <c r="I258" s="781"/>
      <c r="J258" s="781"/>
      <c r="K258" s="782"/>
      <c r="L258" s="781"/>
      <c r="M258" s="781"/>
      <c r="N258" s="781"/>
      <c r="O258" s="781"/>
      <c r="P258" s="783"/>
      <c r="Q258" s="781"/>
      <c r="R258" s="781"/>
      <c r="S258" s="781"/>
      <c r="T258" s="781"/>
      <c r="U258" s="784"/>
      <c r="V258" s="781"/>
      <c r="W258" s="781"/>
      <c r="X258" s="781"/>
      <c r="Y258" s="781"/>
      <c r="Z258" s="785"/>
      <c r="AA258" s="400"/>
      <c r="AB258" s="400"/>
      <c r="AC258" s="400"/>
      <c r="AD258" s="400"/>
      <c r="AE258" s="406"/>
    </row>
    <row r="259" spans="1:31" x14ac:dyDescent="0.25">
      <c r="A259" s="399">
        <v>248</v>
      </c>
      <c r="B259" s="781"/>
      <c r="C259" s="781"/>
      <c r="D259" s="781"/>
      <c r="E259" s="781"/>
      <c r="F259" s="786"/>
      <c r="G259" s="781"/>
      <c r="H259" s="781"/>
      <c r="I259" s="781"/>
      <c r="J259" s="781"/>
      <c r="K259" s="782"/>
      <c r="L259" s="781"/>
      <c r="M259" s="781"/>
      <c r="N259" s="781"/>
      <c r="O259" s="781"/>
      <c r="P259" s="783"/>
      <c r="Q259" s="781"/>
      <c r="R259" s="781"/>
      <c r="S259" s="781"/>
      <c r="T259" s="781"/>
      <c r="U259" s="784"/>
      <c r="V259" s="781"/>
      <c r="W259" s="781"/>
      <c r="X259" s="781"/>
      <c r="Y259" s="781"/>
      <c r="Z259" s="785"/>
      <c r="AA259" s="400"/>
      <c r="AB259" s="400"/>
      <c r="AC259" s="400"/>
      <c r="AD259" s="400"/>
      <c r="AE259" s="406"/>
    </row>
    <row r="260" spans="1:31" x14ac:dyDescent="0.25">
      <c r="A260" s="399">
        <v>249</v>
      </c>
      <c r="B260" s="781"/>
      <c r="C260" s="781"/>
      <c r="D260" s="781"/>
      <c r="E260" s="781"/>
      <c r="F260" s="786"/>
      <c r="G260" s="781"/>
      <c r="H260" s="781"/>
      <c r="I260" s="781"/>
      <c r="J260" s="781"/>
      <c r="K260" s="782"/>
      <c r="L260" s="781"/>
      <c r="M260" s="781"/>
      <c r="N260" s="781"/>
      <c r="O260" s="781"/>
      <c r="P260" s="783"/>
      <c r="Q260" s="781"/>
      <c r="R260" s="781"/>
      <c r="S260" s="781"/>
      <c r="T260" s="781"/>
      <c r="U260" s="784"/>
      <c r="V260" s="781"/>
      <c r="W260" s="781"/>
      <c r="X260" s="781"/>
      <c r="Y260" s="781"/>
      <c r="Z260" s="785"/>
      <c r="AA260" s="400"/>
      <c r="AB260" s="400"/>
      <c r="AC260" s="400"/>
      <c r="AD260" s="400"/>
      <c r="AE260" s="406"/>
    </row>
    <row r="261" spans="1:31" x14ac:dyDescent="0.25">
      <c r="A261" s="399">
        <v>250</v>
      </c>
      <c r="B261" s="781"/>
      <c r="C261" s="781"/>
      <c r="D261" s="781"/>
      <c r="E261" s="781"/>
      <c r="F261" s="786"/>
      <c r="G261" s="781"/>
      <c r="H261" s="781"/>
      <c r="I261" s="781"/>
      <c r="J261" s="781"/>
      <c r="K261" s="782"/>
      <c r="L261" s="781"/>
      <c r="M261" s="781"/>
      <c r="N261" s="781"/>
      <c r="O261" s="781"/>
      <c r="P261" s="783"/>
      <c r="Q261" s="781"/>
      <c r="R261" s="781"/>
      <c r="S261" s="781"/>
      <c r="T261" s="781"/>
      <c r="U261" s="784"/>
      <c r="V261" s="781"/>
      <c r="W261" s="781"/>
      <c r="X261" s="781"/>
      <c r="Y261" s="781"/>
      <c r="Z261" s="785"/>
      <c r="AA261" s="400"/>
      <c r="AB261" s="400"/>
      <c r="AC261" s="400"/>
      <c r="AD261" s="400"/>
      <c r="AE261" s="406"/>
    </row>
    <row r="262" spans="1:31" ht="15.75" thickBot="1" x14ac:dyDescent="0.3">
      <c r="A262" s="411"/>
      <c r="B262" s="510"/>
      <c r="C262" s="510"/>
      <c r="D262" s="510"/>
      <c r="E262" s="510"/>
      <c r="F262" s="510"/>
      <c r="G262" s="510"/>
      <c r="H262" s="510"/>
      <c r="I262" s="510"/>
      <c r="J262" s="510"/>
      <c r="K262" s="510"/>
      <c r="L262" s="510"/>
      <c r="M262" s="510"/>
      <c r="N262" s="510"/>
      <c r="O262" s="510"/>
      <c r="P262" s="510"/>
      <c r="Q262" s="510"/>
      <c r="R262" s="510"/>
      <c r="S262" s="510"/>
      <c r="T262" s="510"/>
      <c r="U262" s="510"/>
      <c r="V262" s="510"/>
      <c r="W262" s="510"/>
      <c r="X262" s="510"/>
      <c r="Y262" s="510"/>
      <c r="Z262" s="510"/>
      <c r="AA262" s="574"/>
      <c r="AB262" s="574"/>
      <c r="AC262" s="574"/>
      <c r="AD262" s="510"/>
      <c r="AE262" s="510"/>
    </row>
  </sheetData>
  <sheetProtection sheet="1" objects="1" scenarios="1"/>
  <mergeCells count="6">
    <mergeCell ref="AA1:AD1"/>
    <mergeCell ref="B1:E1"/>
    <mergeCell ref="G1:J1"/>
    <mergeCell ref="L1:O1"/>
    <mergeCell ref="Q1:T1"/>
    <mergeCell ref="V1:Y1"/>
  </mergeCells>
  <pageMargins left="0.7" right="0.7" top="0.75" bottom="0.75" header="0.3" footer="0.3"/>
  <pageSetup scale="40" fitToHeight="3" orientation="landscape" verticalDpi="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tabColor theme="9" tint="-0.249977111117893"/>
    <pageSetUpPr fitToPage="1"/>
  </sheetPr>
  <dimension ref="A1:AH262"/>
  <sheetViews>
    <sheetView zoomScaleNormal="100" workbookViewId="0">
      <pane xSplit="1" ySplit="10" topLeftCell="B11" activePane="bottomRight" state="frozen"/>
      <selection activeCell="L1" activeCellId="2" sqref="B1:E1 G1:J1 L1:O1"/>
      <selection pane="topRight" activeCell="L1" activeCellId="2" sqref="B1:E1 G1:J1 L1:O1"/>
      <selection pane="bottomLeft" activeCell="L1" activeCellId="2" sqref="B1:E1 G1:J1 L1:O1"/>
      <selection pane="bottomRight" activeCell="AE8" sqref="AE8"/>
    </sheetView>
  </sheetViews>
  <sheetFormatPr defaultColWidth="8.85546875" defaultRowHeight="15" x14ac:dyDescent="0.25"/>
  <cols>
    <col min="1" max="1" width="14.85546875" style="7" customWidth="1"/>
    <col min="2" max="2" width="8.42578125" style="7" customWidth="1"/>
    <col min="3" max="3" width="8.85546875" style="7" customWidth="1"/>
    <col min="4" max="5" width="9.28515625" style="7" bestFit="1" customWidth="1"/>
    <col min="6" max="6" width="10" style="7" customWidth="1"/>
    <col min="7" max="10" width="9.28515625" style="7" bestFit="1" customWidth="1"/>
    <col min="11" max="11" width="10" style="7" customWidth="1"/>
    <col min="12" max="12" width="10.140625" style="7" bestFit="1" customWidth="1"/>
    <col min="13" max="15" width="9.28515625" style="7" bestFit="1" customWidth="1"/>
    <col min="16" max="16" width="10" style="7" customWidth="1"/>
    <col min="17" max="17" width="9.28515625" style="7" bestFit="1" customWidth="1"/>
    <col min="18" max="20" width="8.85546875" style="7"/>
    <col min="21" max="21" width="10" style="7" customWidth="1"/>
    <col min="22" max="25" width="8.85546875" style="7"/>
    <col min="26" max="26" width="10" style="7" customWidth="1"/>
    <col min="27" max="30" width="8.85546875" style="7"/>
    <col min="31" max="31" width="10" style="7" customWidth="1"/>
    <col min="32" max="16384" width="8.85546875" style="7"/>
  </cols>
  <sheetData>
    <row r="1" spans="1:34" s="416" customFormat="1" ht="19.5" thickBot="1" x14ac:dyDescent="0.35">
      <c r="A1" s="790"/>
      <c r="B1" s="1504"/>
      <c r="C1" s="1504"/>
      <c r="D1" s="1504"/>
      <c r="E1" s="1505"/>
      <c r="F1" s="414"/>
      <c r="G1" s="1506"/>
      <c r="H1" s="1507"/>
      <c r="I1" s="1507"/>
      <c r="J1" s="1508"/>
      <c r="K1" s="791"/>
      <c r="L1" s="1509"/>
      <c r="M1" s="1510"/>
      <c r="N1" s="1510"/>
      <c r="O1" s="1511"/>
      <c r="P1" s="415"/>
      <c r="Q1" s="1512"/>
      <c r="R1" s="1513"/>
      <c r="S1" s="1513"/>
      <c r="T1" s="1514"/>
      <c r="U1" s="415"/>
      <c r="V1" s="1515"/>
      <c r="W1" s="1516"/>
      <c r="X1" s="1516"/>
      <c r="Y1" s="1517"/>
      <c r="Z1" s="415"/>
      <c r="AA1" s="1444"/>
      <c r="AB1" s="1445"/>
      <c r="AC1" s="1445"/>
      <c r="AD1" s="1446"/>
      <c r="AE1" s="254"/>
    </row>
    <row r="2" spans="1:34" ht="108" customHeight="1" thickBot="1" x14ac:dyDescent="0.3">
      <c r="A2" s="417" t="s">
        <v>3</v>
      </c>
      <c r="B2" s="792"/>
      <c r="C2" s="259"/>
      <c r="D2" s="259"/>
      <c r="E2" s="418"/>
      <c r="F2" s="260"/>
      <c r="G2" s="420"/>
      <c r="H2" s="261"/>
      <c r="I2" s="261"/>
      <c r="J2" s="262"/>
      <c r="K2" s="263"/>
      <c r="L2" s="264"/>
      <c r="M2" s="265"/>
      <c r="N2" s="265"/>
      <c r="O2" s="266"/>
      <c r="P2" s="267"/>
      <c r="Q2" s="268"/>
      <c r="R2" s="269"/>
      <c r="S2" s="269"/>
      <c r="T2" s="270"/>
      <c r="U2" s="695"/>
      <c r="V2" s="424"/>
      <c r="W2" s="425"/>
      <c r="X2" s="425"/>
      <c r="Y2" s="426"/>
      <c r="Z2" s="696"/>
      <c r="AA2" s="513"/>
      <c r="AB2" s="514"/>
      <c r="AC2" s="514"/>
      <c r="AD2" s="515"/>
      <c r="AE2" s="697"/>
    </row>
    <row r="3" spans="1:34" x14ac:dyDescent="0.25">
      <c r="A3" s="277" t="s">
        <v>11</v>
      </c>
      <c r="B3" s="793"/>
      <c r="C3" s="279"/>
      <c r="D3" s="279"/>
      <c r="E3" s="427"/>
      <c r="F3" s="281" t="s">
        <v>122</v>
      </c>
      <c r="G3" s="428"/>
      <c r="H3" s="283"/>
      <c r="I3" s="283"/>
      <c r="J3" s="284"/>
      <c r="K3" s="285" t="s">
        <v>122</v>
      </c>
      <c r="L3" s="286"/>
      <c r="M3" s="287"/>
      <c r="N3" s="287"/>
      <c r="O3" s="288"/>
      <c r="P3" s="289" t="s">
        <v>122</v>
      </c>
      <c r="Q3" s="290"/>
      <c r="R3" s="291"/>
      <c r="S3" s="291"/>
      <c r="T3" s="292"/>
      <c r="U3" s="429" t="s">
        <v>122</v>
      </c>
      <c r="V3" s="294"/>
      <c r="W3" s="295"/>
      <c r="X3" s="295"/>
      <c r="Y3" s="296"/>
      <c r="Z3" s="297" t="s">
        <v>122</v>
      </c>
      <c r="AA3" s="298"/>
      <c r="AB3" s="299"/>
      <c r="AC3" s="299"/>
      <c r="AD3" s="300"/>
      <c r="AE3" s="301" t="s">
        <v>122</v>
      </c>
    </row>
    <row r="4" spans="1:34" ht="15.75" thickBot="1" x14ac:dyDescent="0.3">
      <c r="A4" s="277" t="s">
        <v>1</v>
      </c>
      <c r="B4" s="794"/>
      <c r="C4" s="795"/>
      <c r="D4" s="795"/>
      <c r="E4" s="796"/>
      <c r="F4" s="797"/>
      <c r="G4" s="798"/>
      <c r="H4" s="799"/>
      <c r="I4" s="799"/>
      <c r="J4" s="800"/>
      <c r="K4" s="308"/>
      <c r="L4" s="801"/>
      <c r="M4" s="802"/>
      <c r="N4" s="802"/>
      <c r="O4" s="803"/>
      <c r="P4" s="312"/>
      <c r="Q4" s="804"/>
      <c r="R4" s="805"/>
      <c r="S4" s="805"/>
      <c r="T4" s="806"/>
      <c r="U4" s="807"/>
      <c r="V4" s="808"/>
      <c r="W4" s="809"/>
      <c r="X4" s="809"/>
      <c r="Y4" s="810"/>
      <c r="Z4" s="320"/>
      <c r="AA4" s="811"/>
      <c r="AB4" s="812"/>
      <c r="AC4" s="812"/>
      <c r="AD4" s="813"/>
      <c r="AE4" s="324"/>
    </row>
    <row r="5" spans="1:34" x14ac:dyDescent="0.25">
      <c r="A5" s="814" t="s">
        <v>104</v>
      </c>
      <c r="B5" s="815"/>
      <c r="C5" s="816"/>
      <c r="D5" s="816"/>
      <c r="E5" s="817"/>
      <c r="F5" s="818"/>
      <c r="G5" s="819"/>
      <c r="H5" s="820"/>
      <c r="I5" s="820"/>
      <c r="J5" s="821"/>
      <c r="K5" s="822"/>
      <c r="L5" s="823"/>
      <c r="M5" s="824"/>
      <c r="N5" s="824"/>
      <c r="O5" s="825"/>
      <c r="P5" s="826"/>
      <c r="Q5" s="827"/>
      <c r="R5" s="828"/>
      <c r="S5" s="828"/>
      <c r="T5" s="829"/>
      <c r="U5" s="830"/>
      <c r="V5" s="831"/>
      <c r="W5" s="832"/>
      <c r="X5" s="832"/>
      <c r="Y5" s="833"/>
      <c r="Z5" s="834"/>
      <c r="AA5" s="835"/>
      <c r="AB5" s="836"/>
      <c r="AC5" s="836"/>
      <c r="AD5" s="837"/>
      <c r="AE5" s="838"/>
    </row>
    <row r="6" spans="1:34" x14ac:dyDescent="0.25">
      <c r="A6" s="714" t="s">
        <v>111</v>
      </c>
      <c r="B6" s="931"/>
      <c r="C6" s="932"/>
      <c r="D6" s="932"/>
      <c r="E6" s="933"/>
      <c r="F6" s="1041"/>
      <c r="G6" s="934"/>
      <c r="H6" s="935"/>
      <c r="I6" s="935"/>
      <c r="J6" s="1429"/>
      <c r="K6" s="1044"/>
      <c r="L6" s="936"/>
      <c r="M6" s="937"/>
      <c r="N6" s="937"/>
      <c r="O6" s="938"/>
      <c r="P6" s="1047"/>
      <c r="Q6" s="939"/>
      <c r="R6" s="940"/>
      <c r="S6" s="940"/>
      <c r="T6" s="941"/>
      <c r="U6" s="1050"/>
      <c r="V6" s="942"/>
      <c r="W6" s="943"/>
      <c r="X6" s="943"/>
      <c r="Y6" s="944"/>
      <c r="Z6" s="1053"/>
      <c r="AA6" s="946"/>
      <c r="AB6" s="945"/>
      <c r="AC6" s="945"/>
      <c r="AD6" s="947"/>
      <c r="AE6" s="1056"/>
    </row>
    <row r="7" spans="1:34" ht="15" customHeight="1" thickBot="1" x14ac:dyDescent="0.3">
      <c r="A7" s="839" t="s">
        <v>105</v>
      </c>
      <c r="B7" s="981"/>
      <c r="C7" s="982"/>
      <c r="D7" s="982"/>
      <c r="E7" s="983"/>
      <c r="F7" s="1042"/>
      <c r="G7" s="984"/>
      <c r="H7" s="985"/>
      <c r="I7" s="985"/>
      <c r="J7" s="986"/>
      <c r="K7" s="1045"/>
      <c r="L7" s="987"/>
      <c r="M7" s="988"/>
      <c r="N7" s="988"/>
      <c r="O7" s="989"/>
      <c r="P7" s="1048"/>
      <c r="Q7" s="990"/>
      <c r="R7" s="991"/>
      <c r="S7" s="991"/>
      <c r="T7" s="992"/>
      <c r="U7" s="1051"/>
      <c r="V7" s="993"/>
      <c r="W7" s="994"/>
      <c r="X7" s="994"/>
      <c r="Y7" s="995"/>
      <c r="Z7" s="1054"/>
      <c r="AA7" s="996"/>
      <c r="AB7" s="997"/>
      <c r="AC7" s="997"/>
      <c r="AD7" s="998"/>
      <c r="AE7" s="1057"/>
    </row>
    <row r="8" spans="1:34" x14ac:dyDescent="0.25">
      <c r="A8" s="714" t="s">
        <v>39</v>
      </c>
      <c r="B8" s="787">
        <v>0.95</v>
      </c>
      <c r="C8" s="788">
        <v>0.95</v>
      </c>
      <c r="D8" s="788">
        <v>0.95</v>
      </c>
      <c r="E8" s="789">
        <v>0.95</v>
      </c>
      <c r="F8" s="1043"/>
      <c r="G8" s="787">
        <v>0.95</v>
      </c>
      <c r="H8" s="788">
        <v>0.95</v>
      </c>
      <c r="I8" s="788">
        <v>0.95</v>
      </c>
      <c r="J8" s="789">
        <v>0.95</v>
      </c>
      <c r="K8" s="1046"/>
      <c r="L8" s="787">
        <v>0.95</v>
      </c>
      <c r="M8" s="788">
        <v>0.95</v>
      </c>
      <c r="N8" s="788">
        <v>0.95</v>
      </c>
      <c r="O8" s="789">
        <v>0.95</v>
      </c>
      <c r="P8" s="1049"/>
      <c r="Q8" s="787">
        <v>0.95</v>
      </c>
      <c r="R8" s="788">
        <v>0.95</v>
      </c>
      <c r="S8" s="788">
        <v>0.95</v>
      </c>
      <c r="T8" s="789">
        <v>0.95</v>
      </c>
      <c r="U8" s="1052"/>
      <c r="V8" s="787">
        <v>0.95</v>
      </c>
      <c r="W8" s="788">
        <v>0.95</v>
      </c>
      <c r="X8" s="788">
        <v>0.95</v>
      </c>
      <c r="Y8" s="789">
        <v>0.95</v>
      </c>
      <c r="Z8" s="1055"/>
      <c r="AA8" s="787">
        <v>0.95</v>
      </c>
      <c r="AB8" s="788">
        <v>0.95</v>
      </c>
      <c r="AC8" s="788">
        <v>0.95</v>
      </c>
      <c r="AD8" s="789">
        <v>0.95</v>
      </c>
      <c r="AE8" s="1058"/>
    </row>
    <row r="9" spans="1:34" ht="15.75" thickBot="1" x14ac:dyDescent="0.3">
      <c r="A9" s="714" t="s">
        <v>38</v>
      </c>
      <c r="B9" s="978"/>
      <c r="C9" s="979"/>
      <c r="D9" s="979"/>
      <c r="E9" s="980"/>
      <c r="F9" s="1020"/>
      <c r="G9" s="975"/>
      <c r="H9" s="976"/>
      <c r="I9" s="976"/>
      <c r="J9" s="977"/>
      <c r="K9" s="1022"/>
      <c r="L9" s="972"/>
      <c r="M9" s="973"/>
      <c r="N9" s="973"/>
      <c r="O9" s="974"/>
      <c r="P9" s="1024"/>
      <c r="Q9" s="969"/>
      <c r="R9" s="970"/>
      <c r="S9" s="970"/>
      <c r="T9" s="971"/>
      <c r="U9" s="1026"/>
      <c r="V9" s="966"/>
      <c r="W9" s="967"/>
      <c r="X9" s="967"/>
      <c r="Y9" s="968"/>
      <c r="Z9" s="1028"/>
      <c r="AA9" s="963"/>
      <c r="AB9" s="964"/>
      <c r="AC9" s="964"/>
      <c r="AD9" s="965"/>
      <c r="AE9" s="1030"/>
      <c r="AF9" s="840"/>
      <c r="AG9" s="840"/>
      <c r="AH9" s="840"/>
    </row>
    <row r="10" spans="1:34" ht="75" customHeight="1" thickBot="1" x14ac:dyDescent="0.3">
      <c r="A10" s="374" t="s">
        <v>0</v>
      </c>
      <c r="B10" s="841"/>
      <c r="C10" s="842"/>
      <c r="D10" s="842"/>
      <c r="E10" s="843"/>
      <c r="F10" s="754"/>
      <c r="G10" s="960"/>
      <c r="H10" s="961"/>
      <c r="I10" s="961"/>
      <c r="J10" s="962"/>
      <c r="K10" s="758"/>
      <c r="L10" s="957"/>
      <c r="M10" s="958"/>
      <c r="N10" s="958"/>
      <c r="O10" s="959"/>
      <c r="P10" s="762"/>
      <c r="Q10" s="954"/>
      <c r="R10" s="955"/>
      <c r="S10" s="955"/>
      <c r="T10" s="956"/>
      <c r="U10" s="766"/>
      <c r="V10" s="951"/>
      <c r="W10" s="952"/>
      <c r="X10" s="952"/>
      <c r="Y10" s="953"/>
      <c r="Z10" s="770"/>
      <c r="AA10" s="948"/>
      <c r="AB10" s="949"/>
      <c r="AC10" s="949"/>
      <c r="AD10" s="950"/>
      <c r="AE10" s="774"/>
    </row>
    <row r="11" spans="1:34" x14ac:dyDescent="0.25">
      <c r="A11" s="399">
        <v>0</v>
      </c>
      <c r="B11" s="844"/>
      <c r="C11" s="844"/>
      <c r="D11" s="844"/>
      <c r="E11" s="844"/>
      <c r="F11" s="845"/>
      <c r="G11" s="844"/>
      <c r="H11" s="844"/>
      <c r="I11" s="844"/>
      <c r="J11" s="844"/>
      <c r="K11" s="846"/>
      <c r="L11" s="844"/>
      <c r="M11" s="844"/>
      <c r="N11" s="844"/>
      <c r="O11" s="844"/>
      <c r="P11" s="847"/>
      <c r="Q11" s="844"/>
      <c r="R11" s="844"/>
      <c r="S11" s="844"/>
      <c r="T11" s="844"/>
      <c r="U11" s="848"/>
      <c r="V11" s="844"/>
      <c r="W11" s="844"/>
      <c r="X11" s="844"/>
      <c r="Y11" s="844"/>
      <c r="Z11" s="849"/>
      <c r="AA11" s="400"/>
      <c r="AB11" s="400"/>
      <c r="AC11" s="400"/>
      <c r="AD11" s="400"/>
      <c r="AE11" s="406"/>
    </row>
    <row r="12" spans="1:34" x14ac:dyDescent="0.25">
      <c r="A12" s="399">
        <v>1</v>
      </c>
      <c r="B12" s="850"/>
      <c r="C12" s="850"/>
      <c r="D12" s="850"/>
      <c r="E12" s="850"/>
      <c r="F12" s="851"/>
      <c r="G12" s="850"/>
      <c r="H12" s="850"/>
      <c r="I12" s="850"/>
      <c r="J12" s="850"/>
      <c r="K12" s="852"/>
      <c r="L12" s="850"/>
      <c r="M12" s="850"/>
      <c r="N12" s="850"/>
      <c r="O12" s="850"/>
      <c r="P12" s="853"/>
      <c r="Q12" s="850"/>
      <c r="R12" s="850"/>
      <c r="S12" s="850"/>
      <c r="T12" s="844"/>
      <c r="U12" s="854"/>
      <c r="V12" s="850"/>
      <c r="W12" s="850"/>
      <c r="X12" s="850"/>
      <c r="Y12" s="850"/>
      <c r="Z12" s="855"/>
      <c r="AA12" s="856"/>
      <c r="AB12" s="856"/>
      <c r="AC12" s="856"/>
      <c r="AD12" s="856"/>
      <c r="AE12" s="857"/>
    </row>
    <row r="13" spans="1:34" x14ac:dyDescent="0.25">
      <c r="A13" s="399">
        <v>2</v>
      </c>
      <c r="B13" s="850"/>
      <c r="C13" s="850"/>
      <c r="D13" s="850"/>
      <c r="E13" s="850"/>
      <c r="F13" s="851"/>
      <c r="G13" s="850"/>
      <c r="H13" s="850"/>
      <c r="I13" s="850"/>
      <c r="J13" s="850"/>
      <c r="K13" s="852"/>
      <c r="L13" s="850"/>
      <c r="M13" s="850"/>
      <c r="N13" s="850"/>
      <c r="O13" s="850"/>
      <c r="P13" s="853"/>
      <c r="Q13" s="850"/>
      <c r="R13" s="850"/>
      <c r="S13" s="850"/>
      <c r="T13" s="844"/>
      <c r="U13" s="854"/>
      <c r="V13" s="850"/>
      <c r="W13" s="850"/>
      <c r="X13" s="850"/>
      <c r="Y13" s="850"/>
      <c r="Z13" s="855"/>
      <c r="AA13" s="856"/>
      <c r="AB13" s="856"/>
      <c r="AC13" s="856"/>
      <c r="AD13" s="856"/>
      <c r="AE13" s="857"/>
    </row>
    <row r="14" spans="1:34" x14ac:dyDescent="0.25">
      <c r="A14" s="399">
        <v>3</v>
      </c>
      <c r="B14" s="850"/>
      <c r="C14" s="850"/>
      <c r="D14" s="850"/>
      <c r="E14" s="850"/>
      <c r="F14" s="851"/>
      <c r="G14" s="850"/>
      <c r="H14" s="850"/>
      <c r="I14" s="850"/>
      <c r="J14" s="850"/>
      <c r="K14" s="852"/>
      <c r="L14" s="850"/>
      <c r="M14" s="850"/>
      <c r="N14" s="850"/>
      <c r="O14" s="850"/>
      <c r="P14" s="853"/>
      <c r="Q14" s="850"/>
      <c r="R14" s="850"/>
      <c r="S14" s="850"/>
      <c r="T14" s="844"/>
      <c r="U14" s="854"/>
      <c r="V14" s="850"/>
      <c r="W14" s="850"/>
      <c r="X14" s="850"/>
      <c r="Y14" s="850"/>
      <c r="Z14" s="855"/>
      <c r="AA14" s="856"/>
      <c r="AB14" s="856"/>
      <c r="AC14" s="856"/>
      <c r="AD14" s="856"/>
      <c r="AE14" s="857"/>
    </row>
    <row r="15" spans="1:34" x14ac:dyDescent="0.25">
      <c r="A15" s="399">
        <v>4</v>
      </c>
      <c r="B15" s="850"/>
      <c r="C15" s="850"/>
      <c r="D15" s="850"/>
      <c r="E15" s="850"/>
      <c r="F15" s="851"/>
      <c r="G15" s="850"/>
      <c r="H15" s="850"/>
      <c r="I15" s="850"/>
      <c r="J15" s="850"/>
      <c r="K15" s="852"/>
      <c r="L15" s="850"/>
      <c r="M15" s="850"/>
      <c r="N15" s="850"/>
      <c r="O15" s="850"/>
      <c r="P15" s="853"/>
      <c r="Q15" s="850"/>
      <c r="R15" s="850"/>
      <c r="S15" s="850"/>
      <c r="T15" s="844"/>
      <c r="U15" s="854"/>
      <c r="V15" s="850"/>
      <c r="W15" s="850"/>
      <c r="X15" s="850"/>
      <c r="Y15" s="850"/>
      <c r="Z15" s="855"/>
      <c r="AA15" s="856"/>
      <c r="AB15" s="856"/>
      <c r="AC15" s="856"/>
      <c r="AD15" s="856"/>
      <c r="AE15" s="857"/>
    </row>
    <row r="16" spans="1:34" x14ac:dyDescent="0.25">
      <c r="A16" s="399">
        <v>5</v>
      </c>
      <c r="B16" s="850"/>
      <c r="C16" s="850"/>
      <c r="D16" s="850"/>
      <c r="E16" s="850"/>
      <c r="F16" s="851"/>
      <c r="G16" s="850"/>
      <c r="H16" s="850"/>
      <c r="I16" s="850"/>
      <c r="J16" s="850"/>
      <c r="K16" s="852"/>
      <c r="L16" s="850"/>
      <c r="M16" s="850"/>
      <c r="N16" s="850"/>
      <c r="O16" s="850"/>
      <c r="P16" s="853"/>
      <c r="Q16" s="850"/>
      <c r="R16" s="850"/>
      <c r="S16" s="850"/>
      <c r="T16" s="844"/>
      <c r="U16" s="854"/>
      <c r="V16" s="850"/>
      <c r="W16" s="850"/>
      <c r="X16" s="850"/>
      <c r="Y16" s="850"/>
      <c r="Z16" s="855"/>
      <c r="AA16" s="856"/>
      <c r="AB16" s="856"/>
      <c r="AC16" s="856"/>
      <c r="AD16" s="856"/>
      <c r="AE16" s="857"/>
    </row>
    <row r="17" spans="1:31" x14ac:dyDescent="0.25">
      <c r="A17" s="399">
        <v>6</v>
      </c>
      <c r="B17" s="850"/>
      <c r="C17" s="850"/>
      <c r="D17" s="850"/>
      <c r="E17" s="850"/>
      <c r="F17" s="851"/>
      <c r="G17" s="850"/>
      <c r="H17" s="850"/>
      <c r="I17" s="850"/>
      <c r="J17" s="850"/>
      <c r="K17" s="852"/>
      <c r="L17" s="850"/>
      <c r="M17" s="850"/>
      <c r="N17" s="850"/>
      <c r="O17" s="850"/>
      <c r="P17" s="853"/>
      <c r="Q17" s="850"/>
      <c r="R17" s="850"/>
      <c r="S17" s="850"/>
      <c r="T17" s="844"/>
      <c r="U17" s="854"/>
      <c r="V17" s="850"/>
      <c r="W17" s="850"/>
      <c r="X17" s="850"/>
      <c r="Y17" s="850"/>
      <c r="Z17" s="855"/>
      <c r="AA17" s="856"/>
      <c r="AB17" s="856"/>
      <c r="AC17" s="856"/>
      <c r="AD17" s="856"/>
      <c r="AE17" s="857"/>
    </row>
    <row r="18" spans="1:31" x14ac:dyDescent="0.25">
      <c r="A18" s="399">
        <v>7</v>
      </c>
      <c r="B18" s="850"/>
      <c r="C18" s="850"/>
      <c r="D18" s="850"/>
      <c r="E18" s="850"/>
      <c r="F18" s="851"/>
      <c r="G18" s="850"/>
      <c r="H18" s="850"/>
      <c r="I18" s="850"/>
      <c r="J18" s="850"/>
      <c r="K18" s="852"/>
      <c r="L18" s="850"/>
      <c r="M18" s="850"/>
      <c r="N18" s="850"/>
      <c r="O18" s="850"/>
      <c r="P18" s="853"/>
      <c r="Q18" s="850"/>
      <c r="R18" s="850"/>
      <c r="S18" s="850"/>
      <c r="T18" s="844"/>
      <c r="U18" s="854"/>
      <c r="V18" s="850"/>
      <c r="W18" s="850"/>
      <c r="X18" s="850"/>
      <c r="Y18" s="850"/>
      <c r="Z18" s="855"/>
      <c r="AA18" s="856"/>
      <c r="AB18" s="856"/>
      <c r="AC18" s="856"/>
      <c r="AD18" s="856"/>
      <c r="AE18" s="857"/>
    </row>
    <row r="19" spans="1:31" x14ac:dyDescent="0.25">
      <c r="A19" s="399">
        <v>8</v>
      </c>
      <c r="B19" s="850"/>
      <c r="C19" s="850"/>
      <c r="D19" s="850"/>
      <c r="E19" s="850"/>
      <c r="F19" s="851"/>
      <c r="G19" s="850"/>
      <c r="H19" s="850"/>
      <c r="I19" s="850"/>
      <c r="J19" s="850"/>
      <c r="K19" s="852"/>
      <c r="L19" s="850"/>
      <c r="M19" s="850"/>
      <c r="N19" s="850"/>
      <c r="O19" s="850"/>
      <c r="P19" s="853"/>
      <c r="Q19" s="850"/>
      <c r="R19" s="850"/>
      <c r="S19" s="850"/>
      <c r="T19" s="844"/>
      <c r="U19" s="854"/>
      <c r="V19" s="850"/>
      <c r="W19" s="850"/>
      <c r="X19" s="850"/>
      <c r="Y19" s="850"/>
      <c r="Z19" s="855"/>
      <c r="AA19" s="856"/>
      <c r="AB19" s="856"/>
      <c r="AC19" s="856"/>
      <c r="AD19" s="856"/>
      <c r="AE19" s="857"/>
    </row>
    <row r="20" spans="1:31" x14ac:dyDescent="0.25">
      <c r="A20" s="399">
        <v>9</v>
      </c>
      <c r="B20" s="850"/>
      <c r="C20" s="850"/>
      <c r="D20" s="850"/>
      <c r="E20" s="850"/>
      <c r="F20" s="851"/>
      <c r="G20" s="850"/>
      <c r="H20" s="850"/>
      <c r="I20" s="850"/>
      <c r="J20" s="850"/>
      <c r="K20" s="852"/>
      <c r="L20" s="850"/>
      <c r="M20" s="850"/>
      <c r="N20" s="850"/>
      <c r="O20" s="850"/>
      <c r="P20" s="853"/>
      <c r="Q20" s="850"/>
      <c r="R20" s="850"/>
      <c r="S20" s="850"/>
      <c r="T20" s="844"/>
      <c r="U20" s="854"/>
      <c r="V20" s="850"/>
      <c r="W20" s="850"/>
      <c r="X20" s="850"/>
      <c r="Y20" s="850"/>
      <c r="Z20" s="855"/>
      <c r="AA20" s="856"/>
      <c r="AB20" s="856"/>
      <c r="AC20" s="856"/>
      <c r="AD20" s="856"/>
      <c r="AE20" s="857"/>
    </row>
    <row r="21" spans="1:31" x14ac:dyDescent="0.25">
      <c r="A21" s="399">
        <v>10</v>
      </c>
      <c r="B21" s="850"/>
      <c r="C21" s="850"/>
      <c r="D21" s="850"/>
      <c r="E21" s="850"/>
      <c r="F21" s="851"/>
      <c r="G21" s="850"/>
      <c r="H21" s="850"/>
      <c r="I21" s="850"/>
      <c r="J21" s="850"/>
      <c r="K21" s="852"/>
      <c r="L21" s="850"/>
      <c r="M21" s="850"/>
      <c r="N21" s="850"/>
      <c r="O21" s="850"/>
      <c r="P21" s="853"/>
      <c r="Q21" s="850"/>
      <c r="R21" s="850"/>
      <c r="S21" s="850"/>
      <c r="T21" s="844"/>
      <c r="U21" s="854"/>
      <c r="V21" s="850"/>
      <c r="W21" s="850"/>
      <c r="X21" s="850"/>
      <c r="Y21" s="850"/>
      <c r="Z21" s="855"/>
      <c r="AA21" s="856"/>
      <c r="AB21" s="856"/>
      <c r="AC21" s="856"/>
      <c r="AD21" s="856"/>
      <c r="AE21" s="857"/>
    </row>
    <row r="22" spans="1:31" x14ac:dyDescent="0.25">
      <c r="A22" s="399">
        <v>11</v>
      </c>
      <c r="B22" s="850"/>
      <c r="C22" s="850"/>
      <c r="D22" s="850"/>
      <c r="E22" s="850"/>
      <c r="F22" s="851"/>
      <c r="G22" s="850"/>
      <c r="H22" s="850"/>
      <c r="I22" s="850"/>
      <c r="J22" s="850"/>
      <c r="K22" s="852"/>
      <c r="L22" s="850"/>
      <c r="M22" s="850"/>
      <c r="N22" s="850"/>
      <c r="O22" s="850"/>
      <c r="P22" s="853"/>
      <c r="Q22" s="850"/>
      <c r="R22" s="850"/>
      <c r="S22" s="850"/>
      <c r="T22" s="844"/>
      <c r="U22" s="854"/>
      <c r="V22" s="850"/>
      <c r="W22" s="850"/>
      <c r="X22" s="850"/>
      <c r="Y22" s="850"/>
      <c r="Z22" s="855"/>
      <c r="AA22" s="856"/>
      <c r="AB22" s="856"/>
      <c r="AC22" s="856"/>
      <c r="AD22" s="856"/>
      <c r="AE22" s="857"/>
    </row>
    <row r="23" spans="1:31" x14ac:dyDescent="0.25">
      <c r="A23" s="399">
        <v>12</v>
      </c>
      <c r="B23" s="850"/>
      <c r="C23" s="850"/>
      <c r="D23" s="850"/>
      <c r="E23" s="850"/>
      <c r="F23" s="851"/>
      <c r="G23" s="850"/>
      <c r="H23" s="850"/>
      <c r="I23" s="850"/>
      <c r="J23" s="850"/>
      <c r="K23" s="852"/>
      <c r="L23" s="850"/>
      <c r="M23" s="850"/>
      <c r="N23" s="850"/>
      <c r="O23" s="850"/>
      <c r="P23" s="853"/>
      <c r="Q23" s="850"/>
      <c r="R23" s="850"/>
      <c r="S23" s="850"/>
      <c r="T23" s="844"/>
      <c r="U23" s="854"/>
      <c r="V23" s="850"/>
      <c r="W23" s="850"/>
      <c r="X23" s="850"/>
      <c r="Y23" s="850"/>
      <c r="Z23" s="855"/>
      <c r="AA23" s="856"/>
      <c r="AB23" s="856"/>
      <c r="AC23" s="856"/>
      <c r="AD23" s="856"/>
      <c r="AE23" s="857"/>
    </row>
    <row r="24" spans="1:31" x14ac:dyDescent="0.25">
      <c r="A24" s="399">
        <v>13</v>
      </c>
      <c r="B24" s="850"/>
      <c r="C24" s="850"/>
      <c r="D24" s="850"/>
      <c r="E24" s="850"/>
      <c r="F24" s="851"/>
      <c r="G24" s="850"/>
      <c r="H24" s="850"/>
      <c r="I24" s="850"/>
      <c r="J24" s="850"/>
      <c r="K24" s="852"/>
      <c r="L24" s="850"/>
      <c r="M24" s="850"/>
      <c r="N24" s="850"/>
      <c r="O24" s="850"/>
      <c r="P24" s="853"/>
      <c r="Q24" s="850"/>
      <c r="R24" s="850"/>
      <c r="S24" s="850"/>
      <c r="T24" s="844"/>
      <c r="U24" s="854"/>
      <c r="V24" s="850"/>
      <c r="W24" s="850"/>
      <c r="X24" s="850"/>
      <c r="Y24" s="850"/>
      <c r="Z24" s="855"/>
      <c r="AA24" s="856"/>
      <c r="AB24" s="856"/>
      <c r="AC24" s="856"/>
      <c r="AD24" s="856"/>
      <c r="AE24" s="857"/>
    </row>
    <row r="25" spans="1:31" x14ac:dyDescent="0.25">
      <c r="A25" s="399">
        <v>14</v>
      </c>
      <c r="B25" s="850"/>
      <c r="C25" s="850"/>
      <c r="D25" s="850"/>
      <c r="E25" s="850"/>
      <c r="F25" s="851"/>
      <c r="G25" s="850"/>
      <c r="H25" s="850"/>
      <c r="I25" s="850"/>
      <c r="J25" s="850"/>
      <c r="K25" s="852"/>
      <c r="L25" s="850"/>
      <c r="M25" s="850"/>
      <c r="N25" s="850"/>
      <c r="O25" s="850"/>
      <c r="P25" s="853"/>
      <c r="Q25" s="850"/>
      <c r="R25" s="850"/>
      <c r="S25" s="850"/>
      <c r="T25" s="844"/>
      <c r="U25" s="854"/>
      <c r="V25" s="850"/>
      <c r="W25" s="850"/>
      <c r="X25" s="850"/>
      <c r="Y25" s="850"/>
      <c r="Z25" s="855"/>
      <c r="AA25" s="856"/>
      <c r="AB25" s="856"/>
      <c r="AC25" s="856"/>
      <c r="AD25" s="856"/>
      <c r="AE25" s="857"/>
    </row>
    <row r="26" spans="1:31" x14ac:dyDescent="0.25">
      <c r="A26" s="399">
        <v>15</v>
      </c>
      <c r="B26" s="850"/>
      <c r="C26" s="850"/>
      <c r="D26" s="850"/>
      <c r="E26" s="850"/>
      <c r="F26" s="851"/>
      <c r="G26" s="850"/>
      <c r="H26" s="850"/>
      <c r="I26" s="850"/>
      <c r="J26" s="850"/>
      <c r="K26" s="852"/>
      <c r="L26" s="850"/>
      <c r="M26" s="850"/>
      <c r="N26" s="850"/>
      <c r="O26" s="850"/>
      <c r="P26" s="853"/>
      <c r="Q26" s="850"/>
      <c r="R26" s="850"/>
      <c r="S26" s="850"/>
      <c r="T26" s="844"/>
      <c r="U26" s="854"/>
      <c r="V26" s="850"/>
      <c r="W26" s="850"/>
      <c r="X26" s="850"/>
      <c r="Y26" s="850"/>
      <c r="Z26" s="855"/>
      <c r="AA26" s="856"/>
      <c r="AB26" s="856"/>
      <c r="AC26" s="856"/>
      <c r="AD26" s="856"/>
      <c r="AE26" s="857"/>
    </row>
    <row r="27" spans="1:31" x14ac:dyDescent="0.25">
      <c r="A27" s="399">
        <v>16</v>
      </c>
      <c r="B27" s="850"/>
      <c r="C27" s="850"/>
      <c r="D27" s="850"/>
      <c r="E27" s="850"/>
      <c r="F27" s="851"/>
      <c r="G27" s="850"/>
      <c r="H27" s="850"/>
      <c r="I27" s="850"/>
      <c r="J27" s="850"/>
      <c r="K27" s="852"/>
      <c r="L27" s="850"/>
      <c r="M27" s="850"/>
      <c r="N27" s="850"/>
      <c r="O27" s="850"/>
      <c r="P27" s="853"/>
      <c r="Q27" s="850"/>
      <c r="R27" s="850"/>
      <c r="S27" s="850"/>
      <c r="T27" s="844"/>
      <c r="U27" s="854"/>
      <c r="V27" s="850"/>
      <c r="W27" s="850"/>
      <c r="X27" s="850"/>
      <c r="Y27" s="850"/>
      <c r="Z27" s="855"/>
      <c r="AA27" s="856"/>
      <c r="AB27" s="856"/>
      <c r="AC27" s="856"/>
      <c r="AD27" s="856"/>
      <c r="AE27" s="857"/>
    </row>
    <row r="28" spans="1:31" x14ac:dyDescent="0.25">
      <c r="A28" s="399">
        <v>17</v>
      </c>
      <c r="B28" s="850"/>
      <c r="C28" s="850"/>
      <c r="D28" s="850"/>
      <c r="E28" s="850"/>
      <c r="F28" s="851"/>
      <c r="G28" s="850"/>
      <c r="H28" s="850"/>
      <c r="I28" s="850"/>
      <c r="J28" s="850"/>
      <c r="K28" s="852"/>
      <c r="L28" s="850"/>
      <c r="M28" s="850"/>
      <c r="N28" s="850"/>
      <c r="O28" s="850"/>
      <c r="P28" s="853"/>
      <c r="Q28" s="850"/>
      <c r="R28" s="850"/>
      <c r="S28" s="850"/>
      <c r="T28" s="844"/>
      <c r="U28" s="854"/>
      <c r="V28" s="850"/>
      <c r="W28" s="850"/>
      <c r="X28" s="850"/>
      <c r="Y28" s="850"/>
      <c r="Z28" s="855"/>
      <c r="AA28" s="856"/>
      <c r="AB28" s="856"/>
      <c r="AC28" s="856"/>
      <c r="AD28" s="856"/>
      <c r="AE28" s="857"/>
    </row>
    <row r="29" spans="1:31" x14ac:dyDescent="0.25">
      <c r="A29" s="399">
        <v>18</v>
      </c>
      <c r="B29" s="850"/>
      <c r="C29" s="850"/>
      <c r="D29" s="850"/>
      <c r="E29" s="850"/>
      <c r="F29" s="851"/>
      <c r="G29" s="850"/>
      <c r="H29" s="850"/>
      <c r="I29" s="850"/>
      <c r="J29" s="850"/>
      <c r="K29" s="852"/>
      <c r="L29" s="850"/>
      <c r="M29" s="850"/>
      <c r="N29" s="850"/>
      <c r="O29" s="850"/>
      <c r="P29" s="853"/>
      <c r="Q29" s="850"/>
      <c r="R29" s="850"/>
      <c r="S29" s="850"/>
      <c r="T29" s="844"/>
      <c r="U29" s="854"/>
      <c r="V29" s="850"/>
      <c r="W29" s="850"/>
      <c r="X29" s="850"/>
      <c r="Y29" s="850"/>
      <c r="Z29" s="855"/>
      <c r="AA29" s="856"/>
      <c r="AB29" s="856"/>
      <c r="AC29" s="856"/>
      <c r="AD29" s="856"/>
      <c r="AE29" s="857"/>
    </row>
    <row r="30" spans="1:31" x14ac:dyDescent="0.25">
      <c r="A30" s="399">
        <v>19</v>
      </c>
      <c r="B30" s="850"/>
      <c r="C30" s="850"/>
      <c r="D30" s="850"/>
      <c r="E30" s="850"/>
      <c r="F30" s="851"/>
      <c r="G30" s="850"/>
      <c r="H30" s="850"/>
      <c r="I30" s="850"/>
      <c r="J30" s="850"/>
      <c r="K30" s="852"/>
      <c r="L30" s="850"/>
      <c r="M30" s="850"/>
      <c r="N30" s="850"/>
      <c r="O30" s="850"/>
      <c r="P30" s="853"/>
      <c r="Q30" s="850"/>
      <c r="R30" s="850"/>
      <c r="S30" s="850"/>
      <c r="T30" s="844"/>
      <c r="U30" s="854"/>
      <c r="V30" s="850"/>
      <c r="W30" s="850"/>
      <c r="X30" s="850"/>
      <c r="Y30" s="850"/>
      <c r="Z30" s="855"/>
      <c r="AA30" s="856"/>
      <c r="AB30" s="856"/>
      <c r="AC30" s="856"/>
      <c r="AD30" s="856"/>
      <c r="AE30" s="857"/>
    </row>
    <row r="31" spans="1:31" x14ac:dyDescent="0.25">
      <c r="A31" s="399">
        <v>20</v>
      </c>
      <c r="B31" s="850"/>
      <c r="C31" s="850"/>
      <c r="D31" s="850"/>
      <c r="E31" s="850"/>
      <c r="F31" s="851"/>
      <c r="G31" s="850"/>
      <c r="H31" s="850"/>
      <c r="I31" s="850"/>
      <c r="J31" s="850"/>
      <c r="K31" s="852"/>
      <c r="L31" s="850"/>
      <c r="M31" s="850"/>
      <c r="N31" s="850"/>
      <c r="O31" s="850"/>
      <c r="P31" s="853"/>
      <c r="Q31" s="850"/>
      <c r="R31" s="850"/>
      <c r="S31" s="850"/>
      <c r="T31" s="844"/>
      <c r="U31" s="854"/>
      <c r="V31" s="850"/>
      <c r="W31" s="850"/>
      <c r="X31" s="850"/>
      <c r="Y31" s="850"/>
      <c r="Z31" s="855"/>
      <c r="AA31" s="856"/>
      <c r="AB31" s="856"/>
      <c r="AC31" s="856"/>
      <c r="AD31" s="856"/>
      <c r="AE31" s="857"/>
    </row>
    <row r="32" spans="1:31" x14ac:dyDescent="0.25">
      <c r="A32" s="399">
        <v>21</v>
      </c>
      <c r="B32" s="850"/>
      <c r="C32" s="850"/>
      <c r="D32" s="850"/>
      <c r="E32" s="850"/>
      <c r="F32" s="851"/>
      <c r="G32" s="850"/>
      <c r="H32" s="850"/>
      <c r="I32" s="850"/>
      <c r="J32" s="850"/>
      <c r="K32" s="852"/>
      <c r="L32" s="850"/>
      <c r="M32" s="850"/>
      <c r="N32" s="850"/>
      <c r="O32" s="850"/>
      <c r="P32" s="853"/>
      <c r="Q32" s="850"/>
      <c r="R32" s="850"/>
      <c r="S32" s="850"/>
      <c r="T32" s="844"/>
      <c r="U32" s="854"/>
      <c r="V32" s="850"/>
      <c r="W32" s="850"/>
      <c r="X32" s="850"/>
      <c r="Y32" s="850"/>
      <c r="Z32" s="855"/>
      <c r="AA32" s="856"/>
      <c r="AB32" s="856"/>
      <c r="AC32" s="856"/>
      <c r="AD32" s="856"/>
      <c r="AE32" s="857"/>
    </row>
    <row r="33" spans="1:31" x14ac:dyDescent="0.25">
      <c r="A33" s="399">
        <v>22</v>
      </c>
      <c r="B33" s="850"/>
      <c r="C33" s="850"/>
      <c r="D33" s="850"/>
      <c r="E33" s="850"/>
      <c r="F33" s="851"/>
      <c r="G33" s="850"/>
      <c r="H33" s="850"/>
      <c r="I33" s="850"/>
      <c r="J33" s="850"/>
      <c r="K33" s="852"/>
      <c r="L33" s="850"/>
      <c r="M33" s="850"/>
      <c r="N33" s="850"/>
      <c r="O33" s="850"/>
      <c r="P33" s="853"/>
      <c r="Q33" s="850"/>
      <c r="R33" s="850"/>
      <c r="S33" s="850"/>
      <c r="T33" s="844"/>
      <c r="U33" s="854"/>
      <c r="V33" s="850"/>
      <c r="W33" s="850"/>
      <c r="X33" s="850"/>
      <c r="Y33" s="850"/>
      <c r="Z33" s="855"/>
      <c r="AA33" s="856"/>
      <c r="AB33" s="856"/>
      <c r="AC33" s="856"/>
      <c r="AD33" s="856"/>
      <c r="AE33" s="857"/>
    </row>
    <row r="34" spans="1:31" x14ac:dyDescent="0.25">
      <c r="A34" s="399">
        <v>23</v>
      </c>
      <c r="B34" s="850"/>
      <c r="C34" s="850"/>
      <c r="D34" s="850"/>
      <c r="E34" s="850"/>
      <c r="F34" s="851"/>
      <c r="G34" s="850"/>
      <c r="H34" s="850"/>
      <c r="I34" s="850"/>
      <c r="J34" s="850"/>
      <c r="K34" s="852"/>
      <c r="L34" s="850"/>
      <c r="M34" s="850"/>
      <c r="N34" s="850"/>
      <c r="O34" s="850"/>
      <c r="P34" s="853"/>
      <c r="Q34" s="850"/>
      <c r="R34" s="850"/>
      <c r="S34" s="850"/>
      <c r="T34" s="844"/>
      <c r="U34" s="854"/>
      <c r="V34" s="850"/>
      <c r="W34" s="850"/>
      <c r="X34" s="850"/>
      <c r="Y34" s="850"/>
      <c r="Z34" s="855"/>
      <c r="AA34" s="856"/>
      <c r="AB34" s="856"/>
      <c r="AC34" s="856"/>
      <c r="AD34" s="856"/>
      <c r="AE34" s="857"/>
    </row>
    <row r="35" spans="1:31" x14ac:dyDescent="0.25">
      <c r="A35" s="399">
        <v>24</v>
      </c>
      <c r="B35" s="850"/>
      <c r="C35" s="850"/>
      <c r="D35" s="850"/>
      <c r="E35" s="850"/>
      <c r="F35" s="851"/>
      <c r="G35" s="850"/>
      <c r="H35" s="850"/>
      <c r="I35" s="850"/>
      <c r="J35" s="850"/>
      <c r="K35" s="852"/>
      <c r="L35" s="850"/>
      <c r="M35" s="850"/>
      <c r="N35" s="850"/>
      <c r="O35" s="850"/>
      <c r="P35" s="853"/>
      <c r="Q35" s="850"/>
      <c r="R35" s="850"/>
      <c r="S35" s="850"/>
      <c r="T35" s="844"/>
      <c r="U35" s="854"/>
      <c r="V35" s="850"/>
      <c r="W35" s="850"/>
      <c r="X35" s="850"/>
      <c r="Y35" s="850"/>
      <c r="Z35" s="855"/>
      <c r="AA35" s="856"/>
      <c r="AB35" s="856"/>
      <c r="AC35" s="856"/>
      <c r="AD35" s="856"/>
      <c r="AE35" s="857"/>
    </row>
    <row r="36" spans="1:31" x14ac:dyDescent="0.25">
      <c r="A36" s="399">
        <v>25</v>
      </c>
      <c r="B36" s="850"/>
      <c r="C36" s="850"/>
      <c r="D36" s="850"/>
      <c r="E36" s="850"/>
      <c r="F36" s="851"/>
      <c r="G36" s="850"/>
      <c r="H36" s="850"/>
      <c r="I36" s="850"/>
      <c r="J36" s="850"/>
      <c r="K36" s="852"/>
      <c r="L36" s="850"/>
      <c r="M36" s="850"/>
      <c r="N36" s="850"/>
      <c r="O36" s="850"/>
      <c r="P36" s="853"/>
      <c r="Q36" s="850"/>
      <c r="R36" s="850"/>
      <c r="S36" s="850"/>
      <c r="T36" s="844"/>
      <c r="U36" s="854"/>
      <c r="V36" s="850"/>
      <c r="W36" s="850"/>
      <c r="X36" s="850"/>
      <c r="Y36" s="850"/>
      <c r="Z36" s="855"/>
      <c r="AA36" s="856"/>
      <c r="AB36" s="856"/>
      <c r="AC36" s="856"/>
      <c r="AD36" s="856"/>
      <c r="AE36" s="857"/>
    </row>
    <row r="37" spans="1:31" x14ac:dyDescent="0.25">
      <c r="A37" s="399">
        <v>26</v>
      </c>
      <c r="B37" s="850"/>
      <c r="C37" s="850"/>
      <c r="D37" s="850"/>
      <c r="E37" s="850"/>
      <c r="F37" s="851"/>
      <c r="G37" s="850"/>
      <c r="H37" s="850"/>
      <c r="I37" s="850"/>
      <c r="J37" s="850"/>
      <c r="K37" s="852"/>
      <c r="L37" s="850"/>
      <c r="M37" s="850"/>
      <c r="N37" s="850"/>
      <c r="O37" s="850"/>
      <c r="P37" s="853"/>
      <c r="Q37" s="850"/>
      <c r="R37" s="850"/>
      <c r="S37" s="850"/>
      <c r="T37" s="844"/>
      <c r="U37" s="854"/>
      <c r="V37" s="850"/>
      <c r="W37" s="850"/>
      <c r="X37" s="850"/>
      <c r="Y37" s="850"/>
      <c r="Z37" s="855"/>
      <c r="AA37" s="856"/>
      <c r="AB37" s="856"/>
      <c r="AC37" s="856"/>
      <c r="AD37" s="856"/>
      <c r="AE37" s="857"/>
    </row>
    <row r="38" spans="1:31" x14ac:dyDescent="0.25">
      <c r="A38" s="399">
        <v>27</v>
      </c>
      <c r="B38" s="850"/>
      <c r="C38" s="850"/>
      <c r="D38" s="850"/>
      <c r="E38" s="850"/>
      <c r="F38" s="851"/>
      <c r="G38" s="850"/>
      <c r="H38" s="850"/>
      <c r="I38" s="850"/>
      <c r="J38" s="850"/>
      <c r="K38" s="852"/>
      <c r="L38" s="850"/>
      <c r="M38" s="850"/>
      <c r="N38" s="850"/>
      <c r="O38" s="850"/>
      <c r="P38" s="853"/>
      <c r="Q38" s="850"/>
      <c r="R38" s="850"/>
      <c r="S38" s="850"/>
      <c r="T38" s="844"/>
      <c r="U38" s="854"/>
      <c r="V38" s="850"/>
      <c r="W38" s="850"/>
      <c r="X38" s="850"/>
      <c r="Y38" s="850"/>
      <c r="Z38" s="855"/>
      <c r="AA38" s="856"/>
      <c r="AB38" s="856"/>
      <c r="AC38" s="856"/>
      <c r="AD38" s="856"/>
      <c r="AE38" s="857"/>
    </row>
    <row r="39" spans="1:31" x14ac:dyDescent="0.25">
      <c r="A39" s="399">
        <v>28</v>
      </c>
      <c r="B39" s="850"/>
      <c r="C39" s="850"/>
      <c r="D39" s="850"/>
      <c r="E39" s="850"/>
      <c r="F39" s="851"/>
      <c r="G39" s="850"/>
      <c r="H39" s="850"/>
      <c r="I39" s="850"/>
      <c r="J39" s="850"/>
      <c r="K39" s="852"/>
      <c r="L39" s="850"/>
      <c r="M39" s="850"/>
      <c r="N39" s="850"/>
      <c r="O39" s="850"/>
      <c r="P39" s="853"/>
      <c r="Q39" s="850"/>
      <c r="R39" s="850"/>
      <c r="S39" s="850"/>
      <c r="T39" s="844"/>
      <c r="U39" s="854"/>
      <c r="V39" s="850"/>
      <c r="W39" s="850"/>
      <c r="X39" s="850"/>
      <c r="Y39" s="850"/>
      <c r="Z39" s="855"/>
      <c r="AA39" s="856"/>
      <c r="AB39" s="856"/>
      <c r="AC39" s="856"/>
      <c r="AD39" s="856"/>
      <c r="AE39" s="857"/>
    </row>
    <row r="40" spans="1:31" x14ac:dyDescent="0.25">
      <c r="A40" s="399">
        <v>29</v>
      </c>
      <c r="B40" s="850"/>
      <c r="C40" s="850"/>
      <c r="D40" s="850"/>
      <c r="E40" s="850"/>
      <c r="F40" s="851"/>
      <c r="G40" s="850"/>
      <c r="H40" s="850"/>
      <c r="I40" s="850"/>
      <c r="J40" s="850"/>
      <c r="K40" s="852"/>
      <c r="L40" s="850"/>
      <c r="M40" s="850"/>
      <c r="N40" s="850"/>
      <c r="O40" s="850"/>
      <c r="P40" s="853"/>
      <c r="Q40" s="850"/>
      <c r="R40" s="850"/>
      <c r="S40" s="850"/>
      <c r="T40" s="844"/>
      <c r="U40" s="854"/>
      <c r="V40" s="850"/>
      <c r="W40" s="850"/>
      <c r="X40" s="850"/>
      <c r="Y40" s="850"/>
      <c r="Z40" s="855"/>
      <c r="AA40" s="856"/>
      <c r="AB40" s="856"/>
      <c r="AC40" s="856"/>
      <c r="AD40" s="856"/>
      <c r="AE40" s="857"/>
    </row>
    <row r="41" spans="1:31" x14ac:dyDescent="0.25">
      <c r="A41" s="399">
        <v>30</v>
      </c>
      <c r="B41" s="850"/>
      <c r="C41" s="850"/>
      <c r="D41" s="850"/>
      <c r="E41" s="850"/>
      <c r="F41" s="851"/>
      <c r="G41" s="850"/>
      <c r="H41" s="850"/>
      <c r="I41" s="850"/>
      <c r="J41" s="850"/>
      <c r="K41" s="852"/>
      <c r="L41" s="850"/>
      <c r="M41" s="850"/>
      <c r="N41" s="850"/>
      <c r="O41" s="850"/>
      <c r="P41" s="853"/>
      <c r="Q41" s="850"/>
      <c r="R41" s="850"/>
      <c r="S41" s="850"/>
      <c r="T41" s="844"/>
      <c r="U41" s="854"/>
      <c r="V41" s="850"/>
      <c r="W41" s="850"/>
      <c r="X41" s="850"/>
      <c r="Y41" s="850"/>
      <c r="Z41" s="855"/>
      <c r="AA41" s="856"/>
      <c r="AB41" s="856"/>
      <c r="AC41" s="856"/>
      <c r="AD41" s="856"/>
      <c r="AE41" s="857"/>
    </row>
    <row r="42" spans="1:31" x14ac:dyDescent="0.25">
      <c r="A42" s="399">
        <v>31</v>
      </c>
      <c r="B42" s="850"/>
      <c r="C42" s="850"/>
      <c r="D42" s="850"/>
      <c r="E42" s="850"/>
      <c r="F42" s="851"/>
      <c r="G42" s="850"/>
      <c r="H42" s="850"/>
      <c r="I42" s="850"/>
      <c r="J42" s="850"/>
      <c r="K42" s="852"/>
      <c r="L42" s="850"/>
      <c r="M42" s="850"/>
      <c r="N42" s="850"/>
      <c r="O42" s="850"/>
      <c r="P42" s="853"/>
      <c r="Q42" s="850"/>
      <c r="R42" s="850"/>
      <c r="S42" s="850"/>
      <c r="T42" s="844"/>
      <c r="U42" s="854"/>
      <c r="V42" s="850"/>
      <c r="W42" s="850"/>
      <c r="X42" s="850"/>
      <c r="Y42" s="850"/>
      <c r="Z42" s="855"/>
      <c r="AA42" s="856"/>
      <c r="AB42" s="856"/>
      <c r="AC42" s="856"/>
      <c r="AD42" s="856"/>
      <c r="AE42" s="857"/>
    </row>
    <row r="43" spans="1:31" x14ac:dyDescent="0.25">
      <c r="A43" s="399">
        <v>32</v>
      </c>
      <c r="B43" s="850"/>
      <c r="C43" s="850"/>
      <c r="D43" s="850"/>
      <c r="E43" s="850"/>
      <c r="F43" s="851"/>
      <c r="G43" s="850"/>
      <c r="H43" s="850"/>
      <c r="I43" s="850"/>
      <c r="J43" s="850"/>
      <c r="K43" s="852"/>
      <c r="L43" s="850"/>
      <c r="M43" s="850"/>
      <c r="N43" s="850"/>
      <c r="O43" s="850"/>
      <c r="P43" s="853"/>
      <c r="Q43" s="850"/>
      <c r="R43" s="850"/>
      <c r="S43" s="850"/>
      <c r="T43" s="844"/>
      <c r="U43" s="854"/>
      <c r="V43" s="850"/>
      <c r="W43" s="850"/>
      <c r="X43" s="850"/>
      <c r="Y43" s="850"/>
      <c r="Z43" s="855"/>
      <c r="AA43" s="856"/>
      <c r="AB43" s="856"/>
      <c r="AC43" s="856"/>
      <c r="AD43" s="856"/>
      <c r="AE43" s="857"/>
    </row>
    <row r="44" spans="1:31" x14ac:dyDescent="0.25">
      <c r="A44" s="399">
        <v>33</v>
      </c>
      <c r="B44" s="850"/>
      <c r="C44" s="850"/>
      <c r="D44" s="850"/>
      <c r="E44" s="850"/>
      <c r="F44" s="851"/>
      <c r="G44" s="850"/>
      <c r="H44" s="850"/>
      <c r="I44" s="850"/>
      <c r="J44" s="850"/>
      <c r="K44" s="852"/>
      <c r="L44" s="850"/>
      <c r="M44" s="850"/>
      <c r="N44" s="850"/>
      <c r="O44" s="850"/>
      <c r="P44" s="853"/>
      <c r="Q44" s="850"/>
      <c r="R44" s="850"/>
      <c r="S44" s="850"/>
      <c r="T44" s="844"/>
      <c r="U44" s="854"/>
      <c r="V44" s="850"/>
      <c r="W44" s="850"/>
      <c r="X44" s="850"/>
      <c r="Y44" s="850"/>
      <c r="Z44" s="855"/>
      <c r="AA44" s="856"/>
      <c r="AB44" s="856"/>
      <c r="AC44" s="856"/>
      <c r="AD44" s="856"/>
      <c r="AE44" s="857"/>
    </row>
    <row r="45" spans="1:31" x14ac:dyDescent="0.25">
      <c r="A45" s="399">
        <v>34</v>
      </c>
      <c r="B45" s="850"/>
      <c r="C45" s="850"/>
      <c r="D45" s="850"/>
      <c r="E45" s="850"/>
      <c r="F45" s="851"/>
      <c r="G45" s="850"/>
      <c r="H45" s="850"/>
      <c r="I45" s="850"/>
      <c r="J45" s="850"/>
      <c r="K45" s="852"/>
      <c r="L45" s="850"/>
      <c r="M45" s="850"/>
      <c r="N45" s="850"/>
      <c r="O45" s="850"/>
      <c r="P45" s="853"/>
      <c r="Q45" s="850"/>
      <c r="R45" s="850"/>
      <c r="S45" s="850"/>
      <c r="T45" s="844"/>
      <c r="U45" s="854"/>
      <c r="V45" s="850"/>
      <c r="W45" s="850"/>
      <c r="X45" s="850"/>
      <c r="Y45" s="850"/>
      <c r="Z45" s="855"/>
      <c r="AA45" s="856"/>
      <c r="AB45" s="856"/>
      <c r="AC45" s="856"/>
      <c r="AD45" s="856"/>
      <c r="AE45" s="857"/>
    </row>
    <row r="46" spans="1:31" x14ac:dyDescent="0.25">
      <c r="A46" s="399">
        <v>35</v>
      </c>
      <c r="B46" s="850"/>
      <c r="C46" s="850"/>
      <c r="D46" s="850"/>
      <c r="E46" s="850"/>
      <c r="F46" s="851"/>
      <c r="G46" s="850"/>
      <c r="H46" s="850"/>
      <c r="I46" s="850"/>
      <c r="J46" s="850"/>
      <c r="K46" s="852"/>
      <c r="L46" s="850"/>
      <c r="M46" s="850"/>
      <c r="N46" s="850"/>
      <c r="O46" s="850"/>
      <c r="P46" s="853"/>
      <c r="Q46" s="850"/>
      <c r="R46" s="850"/>
      <c r="S46" s="850"/>
      <c r="T46" s="844"/>
      <c r="U46" s="854"/>
      <c r="V46" s="850"/>
      <c r="W46" s="850"/>
      <c r="X46" s="850"/>
      <c r="Y46" s="850"/>
      <c r="Z46" s="855"/>
      <c r="AA46" s="856"/>
      <c r="AB46" s="856"/>
      <c r="AC46" s="856"/>
      <c r="AD46" s="856"/>
      <c r="AE46" s="857"/>
    </row>
    <row r="47" spans="1:31" x14ac:dyDescent="0.25">
      <c r="A47" s="399">
        <v>36</v>
      </c>
      <c r="B47" s="850"/>
      <c r="C47" s="850"/>
      <c r="D47" s="850"/>
      <c r="E47" s="850"/>
      <c r="F47" s="851"/>
      <c r="G47" s="850"/>
      <c r="H47" s="850"/>
      <c r="I47" s="850"/>
      <c r="J47" s="850"/>
      <c r="K47" s="852"/>
      <c r="L47" s="850"/>
      <c r="M47" s="850"/>
      <c r="N47" s="850"/>
      <c r="O47" s="850"/>
      <c r="P47" s="853"/>
      <c r="Q47" s="850"/>
      <c r="R47" s="850"/>
      <c r="S47" s="850"/>
      <c r="T47" s="844"/>
      <c r="U47" s="854"/>
      <c r="V47" s="850"/>
      <c r="W47" s="850"/>
      <c r="X47" s="850"/>
      <c r="Y47" s="850"/>
      <c r="Z47" s="855"/>
      <c r="AA47" s="856"/>
      <c r="AB47" s="856"/>
      <c r="AC47" s="856"/>
      <c r="AD47" s="856"/>
      <c r="AE47" s="857"/>
    </row>
    <row r="48" spans="1:31" x14ac:dyDescent="0.25">
      <c r="A48" s="399">
        <v>37</v>
      </c>
      <c r="B48" s="850"/>
      <c r="C48" s="850"/>
      <c r="D48" s="850"/>
      <c r="E48" s="850"/>
      <c r="F48" s="851"/>
      <c r="G48" s="850"/>
      <c r="H48" s="850"/>
      <c r="I48" s="850"/>
      <c r="J48" s="850"/>
      <c r="K48" s="852"/>
      <c r="L48" s="850"/>
      <c r="M48" s="850"/>
      <c r="N48" s="850"/>
      <c r="O48" s="850"/>
      <c r="P48" s="853"/>
      <c r="Q48" s="850"/>
      <c r="R48" s="850"/>
      <c r="S48" s="850"/>
      <c r="T48" s="844"/>
      <c r="U48" s="854"/>
      <c r="V48" s="850"/>
      <c r="W48" s="850"/>
      <c r="X48" s="850"/>
      <c r="Y48" s="850"/>
      <c r="Z48" s="855"/>
      <c r="AA48" s="856"/>
      <c r="AB48" s="856"/>
      <c r="AC48" s="856"/>
      <c r="AD48" s="856"/>
      <c r="AE48" s="857"/>
    </row>
    <row r="49" spans="1:31" x14ac:dyDescent="0.25">
      <c r="A49" s="399">
        <v>38</v>
      </c>
      <c r="B49" s="850"/>
      <c r="C49" s="850"/>
      <c r="D49" s="850"/>
      <c r="E49" s="850"/>
      <c r="F49" s="851"/>
      <c r="G49" s="850"/>
      <c r="H49" s="850"/>
      <c r="I49" s="850"/>
      <c r="J49" s="850"/>
      <c r="K49" s="852"/>
      <c r="L49" s="850"/>
      <c r="M49" s="850"/>
      <c r="N49" s="850"/>
      <c r="O49" s="850"/>
      <c r="P49" s="853"/>
      <c r="Q49" s="850"/>
      <c r="R49" s="850"/>
      <c r="S49" s="850"/>
      <c r="T49" s="844"/>
      <c r="U49" s="854"/>
      <c r="V49" s="850"/>
      <c r="W49" s="850"/>
      <c r="X49" s="850"/>
      <c r="Y49" s="850"/>
      <c r="Z49" s="855"/>
      <c r="AA49" s="856"/>
      <c r="AB49" s="856"/>
      <c r="AC49" s="856"/>
      <c r="AD49" s="856"/>
      <c r="AE49" s="857"/>
    </row>
    <row r="50" spans="1:31" x14ac:dyDescent="0.25">
      <c r="A50" s="399">
        <v>39</v>
      </c>
      <c r="B50" s="850"/>
      <c r="C50" s="850"/>
      <c r="D50" s="850"/>
      <c r="E50" s="850"/>
      <c r="F50" s="851"/>
      <c r="G50" s="850"/>
      <c r="H50" s="850"/>
      <c r="I50" s="850"/>
      <c r="J50" s="850"/>
      <c r="K50" s="852"/>
      <c r="L50" s="850"/>
      <c r="M50" s="850"/>
      <c r="N50" s="850"/>
      <c r="O50" s="850"/>
      <c r="P50" s="853"/>
      <c r="Q50" s="850"/>
      <c r="R50" s="850"/>
      <c r="S50" s="850"/>
      <c r="T50" s="844"/>
      <c r="U50" s="854"/>
      <c r="V50" s="850"/>
      <c r="W50" s="850"/>
      <c r="X50" s="850"/>
      <c r="Y50" s="850"/>
      <c r="Z50" s="855"/>
      <c r="AA50" s="856"/>
      <c r="AB50" s="856"/>
      <c r="AC50" s="856"/>
      <c r="AD50" s="856"/>
      <c r="AE50" s="857"/>
    </row>
    <row r="51" spans="1:31" x14ac:dyDescent="0.25">
      <c r="A51" s="399">
        <v>40</v>
      </c>
      <c r="B51" s="850"/>
      <c r="C51" s="850"/>
      <c r="D51" s="850"/>
      <c r="E51" s="850"/>
      <c r="F51" s="851"/>
      <c r="G51" s="850"/>
      <c r="H51" s="850"/>
      <c r="I51" s="850"/>
      <c r="J51" s="850"/>
      <c r="K51" s="852"/>
      <c r="L51" s="850"/>
      <c r="M51" s="850"/>
      <c r="N51" s="850"/>
      <c r="O51" s="850"/>
      <c r="P51" s="853"/>
      <c r="Q51" s="850"/>
      <c r="R51" s="850"/>
      <c r="S51" s="850"/>
      <c r="T51" s="844"/>
      <c r="U51" s="854"/>
      <c r="V51" s="850"/>
      <c r="W51" s="850"/>
      <c r="X51" s="850"/>
      <c r="Y51" s="850"/>
      <c r="Z51" s="855"/>
      <c r="AA51" s="856"/>
      <c r="AB51" s="856"/>
      <c r="AC51" s="856"/>
      <c r="AD51" s="856"/>
      <c r="AE51" s="857"/>
    </row>
    <row r="52" spans="1:31" x14ac:dyDescent="0.25">
      <c r="A52" s="399">
        <v>41</v>
      </c>
      <c r="B52" s="850"/>
      <c r="C52" s="850"/>
      <c r="D52" s="850"/>
      <c r="E52" s="850"/>
      <c r="F52" s="851"/>
      <c r="G52" s="850"/>
      <c r="H52" s="850"/>
      <c r="I52" s="850"/>
      <c r="J52" s="850"/>
      <c r="K52" s="852"/>
      <c r="L52" s="850"/>
      <c r="M52" s="850"/>
      <c r="N52" s="850"/>
      <c r="O52" s="850"/>
      <c r="P52" s="853"/>
      <c r="Q52" s="850"/>
      <c r="R52" s="850"/>
      <c r="S52" s="850"/>
      <c r="T52" s="844"/>
      <c r="U52" s="854"/>
      <c r="V52" s="850"/>
      <c r="W52" s="850"/>
      <c r="X52" s="850"/>
      <c r="Y52" s="850"/>
      <c r="Z52" s="855"/>
      <c r="AA52" s="856"/>
      <c r="AB52" s="856"/>
      <c r="AC52" s="856"/>
      <c r="AD52" s="856"/>
      <c r="AE52" s="857"/>
    </row>
    <row r="53" spans="1:31" x14ac:dyDescent="0.25">
      <c r="A53" s="399">
        <v>42</v>
      </c>
      <c r="B53" s="850"/>
      <c r="C53" s="850"/>
      <c r="D53" s="850"/>
      <c r="E53" s="850"/>
      <c r="F53" s="851"/>
      <c r="G53" s="850"/>
      <c r="H53" s="850"/>
      <c r="I53" s="850"/>
      <c r="J53" s="850"/>
      <c r="K53" s="852"/>
      <c r="L53" s="850"/>
      <c r="M53" s="850"/>
      <c r="N53" s="850"/>
      <c r="O53" s="850"/>
      <c r="P53" s="853"/>
      <c r="Q53" s="850"/>
      <c r="R53" s="850"/>
      <c r="S53" s="850"/>
      <c r="T53" s="844"/>
      <c r="U53" s="854"/>
      <c r="V53" s="850"/>
      <c r="W53" s="850"/>
      <c r="X53" s="850"/>
      <c r="Y53" s="850"/>
      <c r="Z53" s="855"/>
      <c r="AA53" s="856"/>
      <c r="AB53" s="856"/>
      <c r="AC53" s="856"/>
      <c r="AD53" s="856"/>
      <c r="AE53" s="857"/>
    </row>
    <row r="54" spans="1:31" x14ac:dyDescent="0.25">
      <c r="A54" s="399">
        <v>43</v>
      </c>
      <c r="B54" s="850"/>
      <c r="C54" s="850"/>
      <c r="D54" s="850"/>
      <c r="E54" s="850"/>
      <c r="F54" s="851"/>
      <c r="G54" s="850"/>
      <c r="H54" s="850"/>
      <c r="I54" s="850"/>
      <c r="J54" s="850"/>
      <c r="K54" s="852"/>
      <c r="L54" s="850"/>
      <c r="M54" s="850"/>
      <c r="N54" s="850"/>
      <c r="O54" s="850"/>
      <c r="P54" s="853"/>
      <c r="Q54" s="850"/>
      <c r="R54" s="850"/>
      <c r="S54" s="850"/>
      <c r="T54" s="844"/>
      <c r="U54" s="854"/>
      <c r="V54" s="850"/>
      <c r="W54" s="850"/>
      <c r="X54" s="850"/>
      <c r="Y54" s="850"/>
      <c r="Z54" s="855"/>
      <c r="AA54" s="856"/>
      <c r="AB54" s="856"/>
      <c r="AC54" s="856"/>
      <c r="AD54" s="856"/>
      <c r="AE54" s="857"/>
    </row>
    <row r="55" spans="1:31" x14ac:dyDescent="0.25">
      <c r="A55" s="399">
        <v>44</v>
      </c>
      <c r="B55" s="850"/>
      <c r="C55" s="850"/>
      <c r="D55" s="850"/>
      <c r="E55" s="850"/>
      <c r="F55" s="851"/>
      <c r="G55" s="850"/>
      <c r="H55" s="850"/>
      <c r="I55" s="850"/>
      <c r="J55" s="850"/>
      <c r="K55" s="852"/>
      <c r="L55" s="850"/>
      <c r="M55" s="850"/>
      <c r="N55" s="850"/>
      <c r="O55" s="850"/>
      <c r="P55" s="853"/>
      <c r="Q55" s="850"/>
      <c r="R55" s="850"/>
      <c r="S55" s="850"/>
      <c r="T55" s="844"/>
      <c r="U55" s="854"/>
      <c r="V55" s="850"/>
      <c r="W55" s="850"/>
      <c r="X55" s="850"/>
      <c r="Y55" s="850"/>
      <c r="Z55" s="855"/>
      <c r="AA55" s="856"/>
      <c r="AB55" s="856"/>
      <c r="AC55" s="856"/>
      <c r="AD55" s="856"/>
      <c r="AE55" s="857"/>
    </row>
    <row r="56" spans="1:31" x14ac:dyDescent="0.25">
      <c r="A56" s="399">
        <v>45</v>
      </c>
      <c r="B56" s="850"/>
      <c r="C56" s="850"/>
      <c r="D56" s="850"/>
      <c r="E56" s="850"/>
      <c r="F56" s="851"/>
      <c r="G56" s="850"/>
      <c r="H56" s="850"/>
      <c r="I56" s="850"/>
      <c r="J56" s="850"/>
      <c r="K56" s="852"/>
      <c r="L56" s="850"/>
      <c r="M56" s="850"/>
      <c r="N56" s="850"/>
      <c r="O56" s="850"/>
      <c r="P56" s="853"/>
      <c r="Q56" s="850"/>
      <c r="R56" s="850"/>
      <c r="S56" s="850"/>
      <c r="T56" s="844"/>
      <c r="U56" s="854"/>
      <c r="V56" s="850"/>
      <c r="W56" s="850"/>
      <c r="X56" s="850"/>
      <c r="Y56" s="850"/>
      <c r="Z56" s="855"/>
      <c r="AA56" s="856"/>
      <c r="AB56" s="856"/>
      <c r="AC56" s="856"/>
      <c r="AD56" s="856"/>
      <c r="AE56" s="857"/>
    </row>
    <row r="57" spans="1:31" x14ac:dyDescent="0.25">
      <c r="A57" s="399">
        <v>46</v>
      </c>
      <c r="B57" s="850"/>
      <c r="C57" s="850"/>
      <c r="D57" s="850"/>
      <c r="E57" s="850"/>
      <c r="F57" s="851"/>
      <c r="G57" s="850"/>
      <c r="H57" s="850"/>
      <c r="I57" s="850"/>
      <c r="J57" s="850"/>
      <c r="K57" s="852"/>
      <c r="L57" s="850"/>
      <c r="M57" s="850"/>
      <c r="N57" s="850"/>
      <c r="O57" s="850"/>
      <c r="P57" s="853"/>
      <c r="Q57" s="850"/>
      <c r="R57" s="850"/>
      <c r="S57" s="850"/>
      <c r="T57" s="844"/>
      <c r="U57" s="854"/>
      <c r="V57" s="850"/>
      <c r="W57" s="850"/>
      <c r="X57" s="850"/>
      <c r="Y57" s="850"/>
      <c r="Z57" s="855"/>
      <c r="AA57" s="856"/>
      <c r="AB57" s="856"/>
      <c r="AC57" s="856"/>
      <c r="AD57" s="856"/>
      <c r="AE57" s="857"/>
    </row>
    <row r="58" spans="1:31" x14ac:dyDescent="0.25">
      <c r="A58" s="399">
        <v>47</v>
      </c>
      <c r="B58" s="850"/>
      <c r="C58" s="850"/>
      <c r="D58" s="850"/>
      <c r="E58" s="850"/>
      <c r="F58" s="851"/>
      <c r="G58" s="850"/>
      <c r="H58" s="850"/>
      <c r="I58" s="850"/>
      <c r="J58" s="850"/>
      <c r="K58" s="852"/>
      <c r="L58" s="850"/>
      <c r="M58" s="850"/>
      <c r="N58" s="850"/>
      <c r="O58" s="850"/>
      <c r="P58" s="853"/>
      <c r="Q58" s="850"/>
      <c r="R58" s="850"/>
      <c r="S58" s="850"/>
      <c r="T58" s="844"/>
      <c r="U58" s="854"/>
      <c r="V58" s="850"/>
      <c r="W58" s="850"/>
      <c r="X58" s="850"/>
      <c r="Y58" s="850"/>
      <c r="Z58" s="855"/>
      <c r="AA58" s="856"/>
      <c r="AB58" s="856"/>
      <c r="AC58" s="856"/>
      <c r="AD58" s="856"/>
      <c r="AE58" s="857"/>
    </row>
    <row r="59" spans="1:31" x14ac:dyDescent="0.25">
      <c r="A59" s="399">
        <v>48</v>
      </c>
      <c r="B59" s="850"/>
      <c r="C59" s="850"/>
      <c r="D59" s="850"/>
      <c r="E59" s="850"/>
      <c r="F59" s="851"/>
      <c r="G59" s="850"/>
      <c r="H59" s="850"/>
      <c r="I59" s="850"/>
      <c r="J59" s="850"/>
      <c r="K59" s="852"/>
      <c r="L59" s="850"/>
      <c r="M59" s="850"/>
      <c r="N59" s="850"/>
      <c r="O59" s="850"/>
      <c r="P59" s="853"/>
      <c r="Q59" s="850"/>
      <c r="R59" s="850"/>
      <c r="S59" s="850"/>
      <c r="T59" s="844"/>
      <c r="U59" s="854"/>
      <c r="V59" s="850"/>
      <c r="W59" s="850"/>
      <c r="X59" s="850"/>
      <c r="Y59" s="850"/>
      <c r="Z59" s="855"/>
      <c r="AA59" s="856"/>
      <c r="AB59" s="856"/>
      <c r="AC59" s="856"/>
      <c r="AD59" s="856"/>
      <c r="AE59" s="857"/>
    </row>
    <row r="60" spans="1:31" x14ac:dyDescent="0.25">
      <c r="A60" s="399">
        <v>49</v>
      </c>
      <c r="B60" s="850"/>
      <c r="C60" s="850"/>
      <c r="D60" s="850"/>
      <c r="E60" s="850"/>
      <c r="F60" s="851"/>
      <c r="G60" s="850"/>
      <c r="H60" s="850"/>
      <c r="I60" s="850"/>
      <c r="J60" s="850"/>
      <c r="K60" s="852"/>
      <c r="L60" s="850"/>
      <c r="M60" s="850"/>
      <c r="N60" s="850"/>
      <c r="O60" s="850"/>
      <c r="P60" s="853"/>
      <c r="Q60" s="850"/>
      <c r="R60" s="850"/>
      <c r="S60" s="850"/>
      <c r="T60" s="844"/>
      <c r="U60" s="854"/>
      <c r="V60" s="850"/>
      <c r="W60" s="850"/>
      <c r="X60" s="850"/>
      <c r="Y60" s="850"/>
      <c r="Z60" s="855"/>
      <c r="AA60" s="856"/>
      <c r="AB60" s="856"/>
      <c r="AC60" s="856"/>
      <c r="AD60" s="856"/>
      <c r="AE60" s="857"/>
    </row>
    <row r="61" spans="1:31" x14ac:dyDescent="0.25">
      <c r="A61" s="399">
        <v>50</v>
      </c>
      <c r="B61" s="850"/>
      <c r="C61" s="850"/>
      <c r="D61" s="850"/>
      <c r="E61" s="850"/>
      <c r="F61" s="851"/>
      <c r="G61" s="850"/>
      <c r="H61" s="850"/>
      <c r="I61" s="850"/>
      <c r="J61" s="850"/>
      <c r="K61" s="852"/>
      <c r="L61" s="850"/>
      <c r="M61" s="850"/>
      <c r="N61" s="850"/>
      <c r="O61" s="850"/>
      <c r="P61" s="853"/>
      <c r="Q61" s="850"/>
      <c r="R61" s="850"/>
      <c r="S61" s="850"/>
      <c r="T61" s="844"/>
      <c r="U61" s="854"/>
      <c r="V61" s="850"/>
      <c r="W61" s="850"/>
      <c r="X61" s="850"/>
      <c r="Y61" s="850"/>
      <c r="Z61" s="855"/>
      <c r="AA61" s="856"/>
      <c r="AB61" s="856"/>
      <c r="AC61" s="856"/>
      <c r="AD61" s="856"/>
      <c r="AE61" s="857"/>
    </row>
    <row r="62" spans="1:31" x14ac:dyDescent="0.25">
      <c r="A62" s="399">
        <v>51</v>
      </c>
      <c r="B62" s="850"/>
      <c r="C62" s="850"/>
      <c r="D62" s="850"/>
      <c r="E62" s="850"/>
      <c r="F62" s="851"/>
      <c r="G62" s="850"/>
      <c r="H62" s="850"/>
      <c r="I62" s="850"/>
      <c r="J62" s="850"/>
      <c r="K62" s="852"/>
      <c r="L62" s="850"/>
      <c r="M62" s="850"/>
      <c r="N62" s="850"/>
      <c r="O62" s="850"/>
      <c r="P62" s="853"/>
      <c r="Q62" s="850"/>
      <c r="R62" s="850"/>
      <c r="S62" s="850"/>
      <c r="T62" s="844"/>
      <c r="U62" s="854"/>
      <c r="V62" s="850"/>
      <c r="W62" s="850"/>
      <c r="X62" s="850"/>
      <c r="Y62" s="850"/>
      <c r="Z62" s="855"/>
      <c r="AA62" s="856"/>
      <c r="AB62" s="856"/>
      <c r="AC62" s="856"/>
      <c r="AD62" s="856"/>
      <c r="AE62" s="857"/>
    </row>
    <row r="63" spans="1:31" x14ac:dyDescent="0.25">
      <c r="A63" s="399">
        <v>52</v>
      </c>
      <c r="B63" s="850"/>
      <c r="C63" s="850"/>
      <c r="D63" s="850"/>
      <c r="E63" s="850"/>
      <c r="F63" s="851"/>
      <c r="G63" s="850"/>
      <c r="H63" s="850"/>
      <c r="I63" s="850"/>
      <c r="J63" s="850"/>
      <c r="K63" s="852"/>
      <c r="L63" s="850"/>
      <c r="M63" s="850"/>
      <c r="N63" s="850"/>
      <c r="O63" s="850"/>
      <c r="P63" s="853"/>
      <c r="Q63" s="850"/>
      <c r="R63" s="850"/>
      <c r="S63" s="850"/>
      <c r="T63" s="844"/>
      <c r="U63" s="854"/>
      <c r="V63" s="850"/>
      <c r="W63" s="850"/>
      <c r="X63" s="850"/>
      <c r="Y63" s="850"/>
      <c r="Z63" s="855"/>
      <c r="AA63" s="856"/>
      <c r="AB63" s="856"/>
      <c r="AC63" s="856"/>
      <c r="AD63" s="856"/>
      <c r="AE63" s="857"/>
    </row>
    <row r="64" spans="1:31" x14ac:dyDescent="0.25">
      <c r="A64" s="399">
        <v>53</v>
      </c>
      <c r="B64" s="850"/>
      <c r="C64" s="850"/>
      <c r="D64" s="850"/>
      <c r="E64" s="850"/>
      <c r="F64" s="851"/>
      <c r="G64" s="850"/>
      <c r="H64" s="850"/>
      <c r="I64" s="850"/>
      <c r="J64" s="850"/>
      <c r="K64" s="852"/>
      <c r="L64" s="850"/>
      <c r="M64" s="850"/>
      <c r="N64" s="850"/>
      <c r="O64" s="850"/>
      <c r="P64" s="853"/>
      <c r="Q64" s="850"/>
      <c r="R64" s="850"/>
      <c r="S64" s="850"/>
      <c r="T64" s="844"/>
      <c r="U64" s="854"/>
      <c r="V64" s="850"/>
      <c r="W64" s="850"/>
      <c r="X64" s="850"/>
      <c r="Y64" s="850"/>
      <c r="Z64" s="855"/>
      <c r="AA64" s="856"/>
      <c r="AB64" s="856"/>
      <c r="AC64" s="856"/>
      <c r="AD64" s="856"/>
      <c r="AE64" s="857"/>
    </row>
    <row r="65" spans="1:31" x14ac:dyDescent="0.25">
      <c r="A65" s="399">
        <v>54</v>
      </c>
      <c r="B65" s="850"/>
      <c r="C65" s="850"/>
      <c r="D65" s="850"/>
      <c r="E65" s="850"/>
      <c r="F65" s="851"/>
      <c r="G65" s="850"/>
      <c r="H65" s="850"/>
      <c r="I65" s="850"/>
      <c r="J65" s="850"/>
      <c r="K65" s="852"/>
      <c r="L65" s="850"/>
      <c r="M65" s="850"/>
      <c r="N65" s="850"/>
      <c r="O65" s="850"/>
      <c r="P65" s="853"/>
      <c r="Q65" s="850"/>
      <c r="R65" s="850"/>
      <c r="S65" s="850"/>
      <c r="T65" s="844"/>
      <c r="U65" s="854"/>
      <c r="V65" s="850"/>
      <c r="W65" s="850"/>
      <c r="X65" s="850"/>
      <c r="Y65" s="850"/>
      <c r="Z65" s="855"/>
      <c r="AA65" s="856"/>
      <c r="AB65" s="856"/>
      <c r="AC65" s="856"/>
      <c r="AD65" s="856"/>
      <c r="AE65" s="857"/>
    </row>
    <row r="66" spans="1:31" x14ac:dyDescent="0.25">
      <c r="A66" s="399">
        <v>55</v>
      </c>
      <c r="B66" s="850"/>
      <c r="C66" s="850"/>
      <c r="D66" s="850"/>
      <c r="E66" s="850"/>
      <c r="F66" s="851"/>
      <c r="G66" s="850"/>
      <c r="H66" s="850"/>
      <c r="I66" s="850"/>
      <c r="J66" s="850"/>
      <c r="K66" s="852"/>
      <c r="L66" s="850"/>
      <c r="M66" s="850"/>
      <c r="N66" s="850"/>
      <c r="O66" s="850"/>
      <c r="P66" s="853"/>
      <c r="Q66" s="850"/>
      <c r="R66" s="850"/>
      <c r="S66" s="850"/>
      <c r="T66" s="844"/>
      <c r="U66" s="854"/>
      <c r="V66" s="850"/>
      <c r="W66" s="850"/>
      <c r="X66" s="850"/>
      <c r="Y66" s="850"/>
      <c r="Z66" s="855"/>
      <c r="AA66" s="856"/>
      <c r="AB66" s="856"/>
      <c r="AC66" s="856"/>
      <c r="AD66" s="856"/>
      <c r="AE66" s="857"/>
    </row>
    <row r="67" spans="1:31" x14ac:dyDescent="0.25">
      <c r="A67" s="399">
        <v>56</v>
      </c>
      <c r="B67" s="850"/>
      <c r="C67" s="850"/>
      <c r="D67" s="850"/>
      <c r="E67" s="850"/>
      <c r="F67" s="851"/>
      <c r="G67" s="850"/>
      <c r="H67" s="850"/>
      <c r="I67" s="850"/>
      <c r="J67" s="850"/>
      <c r="K67" s="852"/>
      <c r="L67" s="850"/>
      <c r="M67" s="850"/>
      <c r="N67" s="850"/>
      <c r="O67" s="850"/>
      <c r="P67" s="853"/>
      <c r="Q67" s="850"/>
      <c r="R67" s="850"/>
      <c r="S67" s="850"/>
      <c r="T67" s="844"/>
      <c r="U67" s="854"/>
      <c r="V67" s="850"/>
      <c r="W67" s="850"/>
      <c r="X67" s="850"/>
      <c r="Y67" s="850"/>
      <c r="Z67" s="855"/>
      <c r="AA67" s="856"/>
      <c r="AB67" s="856"/>
      <c r="AC67" s="856"/>
      <c r="AD67" s="856"/>
      <c r="AE67" s="857"/>
    </row>
    <row r="68" spans="1:31" x14ac:dyDescent="0.25">
      <c r="A68" s="399">
        <v>57</v>
      </c>
      <c r="B68" s="850"/>
      <c r="C68" s="850"/>
      <c r="D68" s="850"/>
      <c r="E68" s="850"/>
      <c r="F68" s="851"/>
      <c r="G68" s="850"/>
      <c r="H68" s="850"/>
      <c r="I68" s="850"/>
      <c r="J68" s="850"/>
      <c r="K68" s="852"/>
      <c r="L68" s="850"/>
      <c r="M68" s="850"/>
      <c r="N68" s="850"/>
      <c r="O68" s="850"/>
      <c r="P68" s="853"/>
      <c r="Q68" s="850"/>
      <c r="R68" s="850"/>
      <c r="S68" s="850"/>
      <c r="T68" s="844"/>
      <c r="U68" s="854"/>
      <c r="V68" s="850"/>
      <c r="W68" s="850"/>
      <c r="X68" s="850"/>
      <c r="Y68" s="850"/>
      <c r="Z68" s="855"/>
      <c r="AA68" s="856"/>
      <c r="AB68" s="856"/>
      <c r="AC68" s="856"/>
      <c r="AD68" s="856"/>
      <c r="AE68" s="857"/>
    </row>
    <row r="69" spans="1:31" x14ac:dyDescent="0.25">
      <c r="A69" s="399">
        <v>58</v>
      </c>
      <c r="B69" s="850"/>
      <c r="C69" s="850"/>
      <c r="D69" s="850"/>
      <c r="E69" s="850"/>
      <c r="F69" s="851"/>
      <c r="G69" s="850"/>
      <c r="H69" s="850"/>
      <c r="I69" s="850"/>
      <c r="J69" s="850"/>
      <c r="K69" s="852"/>
      <c r="L69" s="850"/>
      <c r="M69" s="850"/>
      <c r="N69" s="850"/>
      <c r="O69" s="850"/>
      <c r="P69" s="853"/>
      <c r="Q69" s="850"/>
      <c r="R69" s="850"/>
      <c r="S69" s="850"/>
      <c r="T69" s="844"/>
      <c r="U69" s="854"/>
      <c r="V69" s="850"/>
      <c r="W69" s="850"/>
      <c r="X69" s="850"/>
      <c r="Y69" s="850"/>
      <c r="Z69" s="855"/>
      <c r="AA69" s="856"/>
      <c r="AB69" s="856"/>
      <c r="AC69" s="856"/>
      <c r="AD69" s="856"/>
      <c r="AE69" s="857"/>
    </row>
    <row r="70" spans="1:31" x14ac:dyDescent="0.25">
      <c r="A70" s="399">
        <v>59</v>
      </c>
      <c r="B70" s="850"/>
      <c r="C70" s="850"/>
      <c r="D70" s="850"/>
      <c r="E70" s="850"/>
      <c r="F70" s="851"/>
      <c r="G70" s="850"/>
      <c r="H70" s="850"/>
      <c r="I70" s="850"/>
      <c r="J70" s="850"/>
      <c r="K70" s="852"/>
      <c r="L70" s="850"/>
      <c r="M70" s="850"/>
      <c r="N70" s="850"/>
      <c r="O70" s="850"/>
      <c r="P70" s="853"/>
      <c r="Q70" s="850"/>
      <c r="R70" s="850"/>
      <c r="S70" s="850"/>
      <c r="T70" s="844"/>
      <c r="U70" s="854"/>
      <c r="V70" s="850"/>
      <c r="W70" s="850"/>
      <c r="X70" s="850"/>
      <c r="Y70" s="850"/>
      <c r="Z70" s="855"/>
      <c r="AA70" s="856"/>
      <c r="AB70" s="856"/>
      <c r="AC70" s="856"/>
      <c r="AD70" s="856"/>
      <c r="AE70" s="857"/>
    </row>
    <row r="71" spans="1:31" x14ac:dyDescent="0.25">
      <c r="A71" s="399">
        <v>60</v>
      </c>
      <c r="B71" s="850"/>
      <c r="C71" s="850"/>
      <c r="D71" s="850"/>
      <c r="E71" s="850"/>
      <c r="F71" s="851"/>
      <c r="G71" s="850"/>
      <c r="H71" s="850"/>
      <c r="I71" s="850"/>
      <c r="J71" s="850"/>
      <c r="K71" s="852"/>
      <c r="L71" s="850"/>
      <c r="M71" s="850"/>
      <c r="N71" s="850"/>
      <c r="O71" s="850"/>
      <c r="P71" s="853"/>
      <c r="Q71" s="850"/>
      <c r="R71" s="850"/>
      <c r="S71" s="850"/>
      <c r="T71" s="844"/>
      <c r="U71" s="854"/>
      <c r="V71" s="850"/>
      <c r="W71" s="850"/>
      <c r="X71" s="850"/>
      <c r="Y71" s="850"/>
      <c r="Z71" s="855"/>
      <c r="AA71" s="856"/>
      <c r="AB71" s="856"/>
      <c r="AC71" s="856"/>
      <c r="AD71" s="856"/>
      <c r="AE71" s="857"/>
    </row>
    <row r="72" spans="1:31" x14ac:dyDescent="0.25">
      <c r="A72" s="399">
        <v>61</v>
      </c>
      <c r="B72" s="850"/>
      <c r="C72" s="850"/>
      <c r="D72" s="850"/>
      <c r="E72" s="850"/>
      <c r="F72" s="851"/>
      <c r="G72" s="850"/>
      <c r="H72" s="850"/>
      <c r="I72" s="850"/>
      <c r="J72" s="850"/>
      <c r="K72" s="852"/>
      <c r="L72" s="850"/>
      <c r="M72" s="850"/>
      <c r="N72" s="850"/>
      <c r="O72" s="850"/>
      <c r="P72" s="853"/>
      <c r="Q72" s="850"/>
      <c r="R72" s="850"/>
      <c r="S72" s="850"/>
      <c r="T72" s="844"/>
      <c r="U72" s="854"/>
      <c r="V72" s="850"/>
      <c r="W72" s="850"/>
      <c r="X72" s="850"/>
      <c r="Y72" s="850"/>
      <c r="Z72" s="855"/>
      <c r="AA72" s="856"/>
      <c r="AB72" s="856"/>
      <c r="AC72" s="856"/>
      <c r="AD72" s="856"/>
      <c r="AE72" s="857"/>
    </row>
    <row r="73" spans="1:31" x14ac:dyDescent="0.25">
      <c r="A73" s="399">
        <v>62</v>
      </c>
      <c r="B73" s="850"/>
      <c r="C73" s="850"/>
      <c r="D73" s="850"/>
      <c r="E73" s="850"/>
      <c r="F73" s="851"/>
      <c r="G73" s="850"/>
      <c r="H73" s="850"/>
      <c r="I73" s="850"/>
      <c r="J73" s="850"/>
      <c r="K73" s="852"/>
      <c r="L73" s="850"/>
      <c r="M73" s="850"/>
      <c r="N73" s="850"/>
      <c r="O73" s="850"/>
      <c r="P73" s="853"/>
      <c r="Q73" s="850"/>
      <c r="R73" s="850"/>
      <c r="S73" s="850"/>
      <c r="T73" s="844"/>
      <c r="U73" s="854"/>
      <c r="V73" s="850"/>
      <c r="W73" s="850"/>
      <c r="X73" s="850"/>
      <c r="Y73" s="850"/>
      <c r="Z73" s="855"/>
      <c r="AA73" s="856"/>
      <c r="AB73" s="856"/>
      <c r="AC73" s="856"/>
      <c r="AD73" s="856"/>
      <c r="AE73" s="857"/>
    </row>
    <row r="74" spans="1:31" x14ac:dyDescent="0.25">
      <c r="A74" s="399">
        <v>63</v>
      </c>
      <c r="B74" s="850"/>
      <c r="C74" s="850"/>
      <c r="D74" s="850"/>
      <c r="E74" s="850"/>
      <c r="F74" s="851"/>
      <c r="G74" s="850"/>
      <c r="H74" s="850"/>
      <c r="I74" s="850"/>
      <c r="J74" s="850"/>
      <c r="K74" s="852"/>
      <c r="L74" s="850"/>
      <c r="M74" s="850"/>
      <c r="N74" s="850"/>
      <c r="O74" s="850"/>
      <c r="P74" s="853"/>
      <c r="Q74" s="850"/>
      <c r="R74" s="850"/>
      <c r="S74" s="850"/>
      <c r="T74" s="844"/>
      <c r="U74" s="854"/>
      <c r="V74" s="850"/>
      <c r="W74" s="850"/>
      <c r="X74" s="850"/>
      <c r="Y74" s="850"/>
      <c r="Z74" s="855"/>
      <c r="AA74" s="856"/>
      <c r="AB74" s="856"/>
      <c r="AC74" s="856"/>
      <c r="AD74" s="856"/>
      <c r="AE74" s="857"/>
    </row>
    <row r="75" spans="1:31" x14ac:dyDescent="0.25">
      <c r="A75" s="399">
        <v>64</v>
      </c>
      <c r="B75" s="850"/>
      <c r="C75" s="850"/>
      <c r="D75" s="850"/>
      <c r="E75" s="850"/>
      <c r="F75" s="851"/>
      <c r="G75" s="850"/>
      <c r="H75" s="850"/>
      <c r="I75" s="850"/>
      <c r="J75" s="850"/>
      <c r="K75" s="852"/>
      <c r="L75" s="850"/>
      <c r="M75" s="850"/>
      <c r="N75" s="850"/>
      <c r="O75" s="850"/>
      <c r="P75" s="853"/>
      <c r="Q75" s="850"/>
      <c r="R75" s="850"/>
      <c r="S75" s="850"/>
      <c r="T75" s="844"/>
      <c r="U75" s="854"/>
      <c r="V75" s="850"/>
      <c r="W75" s="850"/>
      <c r="X75" s="850"/>
      <c r="Y75" s="850"/>
      <c r="Z75" s="855"/>
      <c r="AA75" s="856"/>
      <c r="AB75" s="856"/>
      <c r="AC75" s="856"/>
      <c r="AD75" s="856"/>
      <c r="AE75" s="857"/>
    </row>
    <row r="76" spans="1:31" x14ac:dyDescent="0.25">
      <c r="A76" s="399">
        <v>65</v>
      </c>
      <c r="B76" s="850"/>
      <c r="C76" s="850"/>
      <c r="D76" s="850"/>
      <c r="E76" s="850"/>
      <c r="F76" s="851"/>
      <c r="G76" s="850"/>
      <c r="H76" s="850"/>
      <c r="I76" s="850"/>
      <c r="J76" s="850"/>
      <c r="K76" s="852"/>
      <c r="L76" s="850"/>
      <c r="M76" s="850"/>
      <c r="N76" s="850"/>
      <c r="O76" s="850"/>
      <c r="P76" s="853"/>
      <c r="Q76" s="850"/>
      <c r="R76" s="850"/>
      <c r="S76" s="850"/>
      <c r="T76" s="844"/>
      <c r="U76" s="854"/>
      <c r="V76" s="850"/>
      <c r="W76" s="850"/>
      <c r="X76" s="850"/>
      <c r="Y76" s="850"/>
      <c r="Z76" s="855"/>
      <c r="AA76" s="856"/>
      <c r="AB76" s="856"/>
      <c r="AC76" s="856"/>
      <c r="AD76" s="856"/>
      <c r="AE76" s="857"/>
    </row>
    <row r="77" spans="1:31" x14ac:dyDescent="0.25">
      <c r="A77" s="399">
        <v>66</v>
      </c>
      <c r="B77" s="850"/>
      <c r="C77" s="850"/>
      <c r="D77" s="850"/>
      <c r="E77" s="850"/>
      <c r="F77" s="851"/>
      <c r="G77" s="850"/>
      <c r="H77" s="850"/>
      <c r="I77" s="850"/>
      <c r="J77" s="850"/>
      <c r="K77" s="852"/>
      <c r="L77" s="850"/>
      <c r="M77" s="850"/>
      <c r="N77" s="850"/>
      <c r="O77" s="850"/>
      <c r="P77" s="853"/>
      <c r="Q77" s="850"/>
      <c r="R77" s="850"/>
      <c r="S77" s="850"/>
      <c r="T77" s="844"/>
      <c r="U77" s="854"/>
      <c r="V77" s="850"/>
      <c r="W77" s="850"/>
      <c r="X77" s="850"/>
      <c r="Y77" s="850"/>
      <c r="Z77" s="855"/>
      <c r="AA77" s="856"/>
      <c r="AB77" s="856"/>
      <c r="AC77" s="856"/>
      <c r="AD77" s="856"/>
      <c r="AE77" s="857"/>
    </row>
    <row r="78" spans="1:31" x14ac:dyDescent="0.25">
      <c r="A78" s="399">
        <v>67</v>
      </c>
      <c r="B78" s="850"/>
      <c r="C78" s="850"/>
      <c r="D78" s="850"/>
      <c r="E78" s="850"/>
      <c r="F78" s="851"/>
      <c r="G78" s="850"/>
      <c r="H78" s="850"/>
      <c r="I78" s="850"/>
      <c r="J78" s="850"/>
      <c r="K78" s="852"/>
      <c r="L78" s="850"/>
      <c r="M78" s="850"/>
      <c r="N78" s="850"/>
      <c r="O78" s="850"/>
      <c r="P78" s="853"/>
      <c r="Q78" s="850"/>
      <c r="R78" s="850"/>
      <c r="S78" s="850"/>
      <c r="T78" s="844"/>
      <c r="U78" s="854"/>
      <c r="V78" s="850"/>
      <c r="W78" s="850"/>
      <c r="X78" s="850"/>
      <c r="Y78" s="850"/>
      <c r="Z78" s="855"/>
      <c r="AA78" s="856"/>
      <c r="AB78" s="856"/>
      <c r="AC78" s="856"/>
      <c r="AD78" s="856"/>
      <c r="AE78" s="857"/>
    </row>
    <row r="79" spans="1:31" x14ac:dyDescent="0.25">
      <c r="A79" s="399">
        <v>68</v>
      </c>
      <c r="B79" s="850"/>
      <c r="C79" s="850"/>
      <c r="D79" s="850"/>
      <c r="E79" s="850"/>
      <c r="F79" s="851"/>
      <c r="G79" s="850"/>
      <c r="H79" s="850"/>
      <c r="I79" s="850"/>
      <c r="J79" s="850"/>
      <c r="K79" s="852"/>
      <c r="L79" s="850"/>
      <c r="M79" s="850"/>
      <c r="N79" s="850"/>
      <c r="O79" s="850"/>
      <c r="P79" s="853"/>
      <c r="Q79" s="850"/>
      <c r="R79" s="850"/>
      <c r="S79" s="850"/>
      <c r="T79" s="844"/>
      <c r="U79" s="854"/>
      <c r="V79" s="850"/>
      <c r="W79" s="850"/>
      <c r="X79" s="850"/>
      <c r="Y79" s="850"/>
      <c r="Z79" s="855"/>
      <c r="AA79" s="856"/>
      <c r="AB79" s="856"/>
      <c r="AC79" s="856"/>
      <c r="AD79" s="856"/>
      <c r="AE79" s="857"/>
    </row>
    <row r="80" spans="1:31" x14ac:dyDescent="0.25">
      <c r="A80" s="399">
        <v>69</v>
      </c>
      <c r="B80" s="850"/>
      <c r="C80" s="850"/>
      <c r="D80" s="850"/>
      <c r="E80" s="850"/>
      <c r="F80" s="851"/>
      <c r="G80" s="850"/>
      <c r="H80" s="850"/>
      <c r="I80" s="850"/>
      <c r="J80" s="850"/>
      <c r="K80" s="852"/>
      <c r="L80" s="850"/>
      <c r="M80" s="850"/>
      <c r="N80" s="850"/>
      <c r="O80" s="850"/>
      <c r="P80" s="853"/>
      <c r="Q80" s="850"/>
      <c r="R80" s="850"/>
      <c r="S80" s="850"/>
      <c r="T80" s="844"/>
      <c r="U80" s="854"/>
      <c r="V80" s="850"/>
      <c r="W80" s="850"/>
      <c r="X80" s="850"/>
      <c r="Y80" s="850"/>
      <c r="Z80" s="855"/>
      <c r="AA80" s="856"/>
      <c r="AB80" s="856"/>
      <c r="AC80" s="856"/>
      <c r="AD80" s="856"/>
      <c r="AE80" s="857"/>
    </row>
    <row r="81" spans="1:31" x14ac:dyDescent="0.25">
      <c r="A81" s="399">
        <v>70</v>
      </c>
      <c r="B81" s="850"/>
      <c r="C81" s="850"/>
      <c r="D81" s="850"/>
      <c r="E81" s="850"/>
      <c r="F81" s="851"/>
      <c r="G81" s="850"/>
      <c r="H81" s="850"/>
      <c r="I81" s="850"/>
      <c r="J81" s="850"/>
      <c r="K81" s="852"/>
      <c r="L81" s="850"/>
      <c r="M81" s="850"/>
      <c r="N81" s="850"/>
      <c r="O81" s="850"/>
      <c r="P81" s="853"/>
      <c r="Q81" s="850"/>
      <c r="R81" s="850"/>
      <c r="S81" s="850"/>
      <c r="T81" s="844"/>
      <c r="U81" s="854"/>
      <c r="V81" s="850"/>
      <c r="W81" s="850"/>
      <c r="X81" s="850"/>
      <c r="Y81" s="850"/>
      <c r="Z81" s="855"/>
      <c r="AA81" s="856"/>
      <c r="AB81" s="856"/>
      <c r="AC81" s="856"/>
      <c r="AD81" s="856"/>
      <c r="AE81" s="857"/>
    </row>
    <row r="82" spans="1:31" x14ac:dyDescent="0.25">
      <c r="A82" s="399">
        <v>71</v>
      </c>
      <c r="B82" s="850"/>
      <c r="C82" s="850"/>
      <c r="D82" s="850"/>
      <c r="E82" s="850"/>
      <c r="F82" s="851"/>
      <c r="G82" s="850"/>
      <c r="H82" s="850"/>
      <c r="I82" s="850"/>
      <c r="J82" s="850"/>
      <c r="K82" s="852"/>
      <c r="L82" s="850"/>
      <c r="M82" s="850"/>
      <c r="N82" s="850"/>
      <c r="O82" s="850"/>
      <c r="P82" s="853"/>
      <c r="Q82" s="850"/>
      <c r="R82" s="850"/>
      <c r="S82" s="850"/>
      <c r="T82" s="844"/>
      <c r="U82" s="854"/>
      <c r="V82" s="850"/>
      <c r="W82" s="850"/>
      <c r="X82" s="850"/>
      <c r="Y82" s="850"/>
      <c r="Z82" s="855"/>
      <c r="AA82" s="856"/>
      <c r="AB82" s="856"/>
      <c r="AC82" s="856"/>
      <c r="AD82" s="856"/>
      <c r="AE82" s="857"/>
    </row>
    <row r="83" spans="1:31" x14ac:dyDescent="0.25">
      <c r="A83" s="399">
        <v>72</v>
      </c>
      <c r="B83" s="850"/>
      <c r="C83" s="850"/>
      <c r="D83" s="850"/>
      <c r="E83" s="850"/>
      <c r="F83" s="851"/>
      <c r="G83" s="850"/>
      <c r="H83" s="850"/>
      <c r="I83" s="850"/>
      <c r="J83" s="850"/>
      <c r="K83" s="852"/>
      <c r="L83" s="850"/>
      <c r="M83" s="850"/>
      <c r="N83" s="850"/>
      <c r="O83" s="850"/>
      <c r="P83" s="853"/>
      <c r="Q83" s="850"/>
      <c r="R83" s="850"/>
      <c r="S83" s="850"/>
      <c r="T83" s="844"/>
      <c r="U83" s="854"/>
      <c r="V83" s="850"/>
      <c r="W83" s="850"/>
      <c r="X83" s="850"/>
      <c r="Y83" s="850"/>
      <c r="Z83" s="855"/>
      <c r="AA83" s="856"/>
      <c r="AB83" s="856"/>
      <c r="AC83" s="856"/>
      <c r="AD83" s="856"/>
      <c r="AE83" s="857"/>
    </row>
    <row r="84" spans="1:31" x14ac:dyDescent="0.25">
      <c r="A84" s="399">
        <v>73</v>
      </c>
      <c r="B84" s="850"/>
      <c r="C84" s="850"/>
      <c r="D84" s="850"/>
      <c r="E84" s="850"/>
      <c r="F84" s="851"/>
      <c r="G84" s="850"/>
      <c r="H84" s="850"/>
      <c r="I84" s="850"/>
      <c r="J84" s="850"/>
      <c r="K84" s="852"/>
      <c r="L84" s="850"/>
      <c r="M84" s="850"/>
      <c r="N84" s="850"/>
      <c r="O84" s="850"/>
      <c r="P84" s="853"/>
      <c r="Q84" s="850"/>
      <c r="R84" s="850"/>
      <c r="S84" s="850"/>
      <c r="T84" s="844"/>
      <c r="U84" s="854"/>
      <c r="V84" s="850"/>
      <c r="W84" s="850"/>
      <c r="X84" s="850"/>
      <c r="Y84" s="850"/>
      <c r="Z84" s="855"/>
      <c r="AA84" s="856"/>
      <c r="AB84" s="856"/>
      <c r="AC84" s="856"/>
      <c r="AD84" s="856"/>
      <c r="AE84" s="857"/>
    </row>
    <row r="85" spans="1:31" x14ac:dyDescent="0.25">
      <c r="A85" s="399">
        <v>74</v>
      </c>
      <c r="B85" s="850"/>
      <c r="C85" s="850"/>
      <c r="D85" s="850"/>
      <c r="E85" s="850"/>
      <c r="F85" s="851"/>
      <c r="G85" s="850"/>
      <c r="H85" s="850"/>
      <c r="I85" s="850"/>
      <c r="J85" s="850"/>
      <c r="K85" s="852"/>
      <c r="L85" s="850"/>
      <c r="M85" s="850"/>
      <c r="N85" s="850"/>
      <c r="O85" s="850"/>
      <c r="P85" s="853"/>
      <c r="Q85" s="850"/>
      <c r="R85" s="850"/>
      <c r="S85" s="850"/>
      <c r="T85" s="844"/>
      <c r="U85" s="854"/>
      <c r="V85" s="850"/>
      <c r="W85" s="850"/>
      <c r="X85" s="850"/>
      <c r="Y85" s="850"/>
      <c r="Z85" s="855"/>
      <c r="AA85" s="856"/>
      <c r="AB85" s="856"/>
      <c r="AC85" s="856"/>
      <c r="AD85" s="856"/>
      <c r="AE85" s="857"/>
    </row>
    <row r="86" spans="1:31" x14ac:dyDescent="0.25">
      <c r="A86" s="399">
        <v>75</v>
      </c>
      <c r="B86" s="850"/>
      <c r="C86" s="850"/>
      <c r="D86" s="850"/>
      <c r="E86" s="850"/>
      <c r="F86" s="851"/>
      <c r="G86" s="850"/>
      <c r="H86" s="850"/>
      <c r="I86" s="850"/>
      <c r="J86" s="850"/>
      <c r="K86" s="852"/>
      <c r="L86" s="850"/>
      <c r="M86" s="850"/>
      <c r="N86" s="850"/>
      <c r="O86" s="850"/>
      <c r="P86" s="853"/>
      <c r="Q86" s="850"/>
      <c r="R86" s="850"/>
      <c r="S86" s="850"/>
      <c r="T86" s="844"/>
      <c r="U86" s="854"/>
      <c r="V86" s="850"/>
      <c r="W86" s="850"/>
      <c r="X86" s="850"/>
      <c r="Y86" s="850"/>
      <c r="Z86" s="855"/>
      <c r="AA86" s="856"/>
      <c r="AB86" s="856"/>
      <c r="AC86" s="856"/>
      <c r="AD86" s="856"/>
      <c r="AE86" s="857"/>
    </row>
    <row r="87" spans="1:31" x14ac:dyDescent="0.25">
      <c r="A87" s="399">
        <v>76</v>
      </c>
      <c r="B87" s="850"/>
      <c r="C87" s="850"/>
      <c r="D87" s="850"/>
      <c r="E87" s="850"/>
      <c r="F87" s="851"/>
      <c r="G87" s="850"/>
      <c r="H87" s="850"/>
      <c r="I87" s="850"/>
      <c r="J87" s="850"/>
      <c r="K87" s="852"/>
      <c r="L87" s="850"/>
      <c r="M87" s="850"/>
      <c r="N87" s="850"/>
      <c r="O87" s="850"/>
      <c r="P87" s="853"/>
      <c r="Q87" s="850"/>
      <c r="R87" s="850"/>
      <c r="S87" s="850"/>
      <c r="T87" s="844"/>
      <c r="U87" s="854"/>
      <c r="V87" s="850"/>
      <c r="W87" s="850"/>
      <c r="X87" s="850"/>
      <c r="Y87" s="850"/>
      <c r="Z87" s="855"/>
      <c r="AA87" s="856"/>
      <c r="AB87" s="856"/>
      <c r="AC87" s="856"/>
      <c r="AD87" s="856"/>
      <c r="AE87" s="857"/>
    </row>
    <row r="88" spans="1:31" x14ac:dyDescent="0.25">
      <c r="A88" s="399">
        <v>77</v>
      </c>
      <c r="B88" s="850"/>
      <c r="C88" s="850"/>
      <c r="D88" s="850"/>
      <c r="E88" s="850"/>
      <c r="F88" s="851"/>
      <c r="G88" s="850"/>
      <c r="H88" s="850"/>
      <c r="I88" s="850"/>
      <c r="J88" s="850"/>
      <c r="K88" s="852"/>
      <c r="L88" s="850"/>
      <c r="M88" s="850"/>
      <c r="N88" s="850"/>
      <c r="O88" s="850"/>
      <c r="P88" s="853"/>
      <c r="Q88" s="850"/>
      <c r="R88" s="850"/>
      <c r="S88" s="850"/>
      <c r="T88" s="844"/>
      <c r="U88" s="854"/>
      <c r="V88" s="850"/>
      <c r="W88" s="850"/>
      <c r="X88" s="850"/>
      <c r="Y88" s="850"/>
      <c r="Z88" s="855"/>
      <c r="AA88" s="856"/>
      <c r="AB88" s="856"/>
      <c r="AC88" s="856"/>
      <c r="AD88" s="856"/>
      <c r="AE88" s="857"/>
    </row>
    <row r="89" spans="1:31" x14ac:dyDescent="0.25">
      <c r="A89" s="399">
        <v>78</v>
      </c>
      <c r="B89" s="850"/>
      <c r="C89" s="850"/>
      <c r="D89" s="850"/>
      <c r="E89" s="850"/>
      <c r="F89" s="851"/>
      <c r="G89" s="850"/>
      <c r="H89" s="850"/>
      <c r="I89" s="850"/>
      <c r="J89" s="850"/>
      <c r="K89" s="852"/>
      <c r="L89" s="850"/>
      <c r="M89" s="850"/>
      <c r="N89" s="850"/>
      <c r="O89" s="850"/>
      <c r="P89" s="853"/>
      <c r="Q89" s="850"/>
      <c r="R89" s="850"/>
      <c r="S89" s="850"/>
      <c r="T89" s="844"/>
      <c r="U89" s="854"/>
      <c r="V89" s="850"/>
      <c r="W89" s="850"/>
      <c r="X89" s="850"/>
      <c r="Y89" s="850"/>
      <c r="Z89" s="855"/>
      <c r="AA89" s="856"/>
      <c r="AB89" s="856"/>
      <c r="AC89" s="856"/>
      <c r="AD89" s="856"/>
      <c r="AE89" s="857"/>
    </row>
    <row r="90" spans="1:31" x14ac:dyDescent="0.25">
      <c r="A90" s="399">
        <v>79</v>
      </c>
      <c r="B90" s="850"/>
      <c r="C90" s="850"/>
      <c r="D90" s="850"/>
      <c r="E90" s="850"/>
      <c r="F90" s="851"/>
      <c r="G90" s="850"/>
      <c r="H90" s="850"/>
      <c r="I90" s="850"/>
      <c r="J90" s="850"/>
      <c r="K90" s="852"/>
      <c r="L90" s="850"/>
      <c r="M90" s="850"/>
      <c r="N90" s="850"/>
      <c r="O90" s="850"/>
      <c r="P90" s="853"/>
      <c r="Q90" s="850"/>
      <c r="R90" s="850"/>
      <c r="S90" s="850"/>
      <c r="T90" s="844"/>
      <c r="U90" s="854"/>
      <c r="V90" s="850"/>
      <c r="W90" s="850"/>
      <c r="X90" s="850"/>
      <c r="Y90" s="850"/>
      <c r="Z90" s="855"/>
      <c r="AA90" s="856"/>
      <c r="AB90" s="856"/>
      <c r="AC90" s="856"/>
      <c r="AD90" s="856"/>
      <c r="AE90" s="857"/>
    </row>
    <row r="91" spans="1:31" x14ac:dyDescent="0.25">
      <c r="A91" s="399">
        <v>80</v>
      </c>
      <c r="B91" s="850"/>
      <c r="C91" s="850"/>
      <c r="D91" s="850"/>
      <c r="E91" s="850"/>
      <c r="F91" s="851"/>
      <c r="G91" s="850"/>
      <c r="H91" s="850"/>
      <c r="I91" s="850"/>
      <c r="J91" s="850"/>
      <c r="K91" s="852"/>
      <c r="L91" s="850"/>
      <c r="M91" s="850"/>
      <c r="N91" s="850"/>
      <c r="O91" s="850"/>
      <c r="P91" s="853"/>
      <c r="Q91" s="850"/>
      <c r="R91" s="850"/>
      <c r="S91" s="850"/>
      <c r="T91" s="844"/>
      <c r="U91" s="854"/>
      <c r="V91" s="850"/>
      <c r="W91" s="850"/>
      <c r="X91" s="850"/>
      <c r="Y91" s="850"/>
      <c r="Z91" s="855"/>
      <c r="AA91" s="856"/>
      <c r="AB91" s="856"/>
      <c r="AC91" s="856"/>
      <c r="AD91" s="856"/>
      <c r="AE91" s="857"/>
    </row>
    <row r="92" spans="1:31" x14ac:dyDescent="0.25">
      <c r="A92" s="399">
        <v>81</v>
      </c>
      <c r="B92" s="850"/>
      <c r="C92" s="850"/>
      <c r="D92" s="850"/>
      <c r="E92" s="850"/>
      <c r="F92" s="851"/>
      <c r="G92" s="850"/>
      <c r="H92" s="850"/>
      <c r="I92" s="850"/>
      <c r="J92" s="850"/>
      <c r="K92" s="852"/>
      <c r="L92" s="850"/>
      <c r="M92" s="850"/>
      <c r="N92" s="850"/>
      <c r="O92" s="850"/>
      <c r="P92" s="853"/>
      <c r="Q92" s="850"/>
      <c r="R92" s="850"/>
      <c r="S92" s="850"/>
      <c r="T92" s="844"/>
      <c r="U92" s="854"/>
      <c r="V92" s="850"/>
      <c r="W92" s="850"/>
      <c r="X92" s="850"/>
      <c r="Y92" s="850"/>
      <c r="Z92" s="855"/>
      <c r="AA92" s="856"/>
      <c r="AB92" s="856"/>
      <c r="AC92" s="856"/>
      <c r="AD92" s="856"/>
      <c r="AE92" s="857"/>
    </row>
    <row r="93" spans="1:31" x14ac:dyDescent="0.25">
      <c r="A93" s="399">
        <v>82</v>
      </c>
      <c r="B93" s="850"/>
      <c r="C93" s="850"/>
      <c r="D93" s="850"/>
      <c r="E93" s="850"/>
      <c r="F93" s="851"/>
      <c r="G93" s="850"/>
      <c r="H93" s="850"/>
      <c r="I93" s="850"/>
      <c r="J93" s="850"/>
      <c r="K93" s="852"/>
      <c r="L93" s="850"/>
      <c r="M93" s="850"/>
      <c r="N93" s="850"/>
      <c r="O93" s="850"/>
      <c r="P93" s="853"/>
      <c r="Q93" s="850"/>
      <c r="R93" s="850"/>
      <c r="S93" s="850"/>
      <c r="T93" s="844"/>
      <c r="U93" s="854"/>
      <c r="V93" s="850"/>
      <c r="W93" s="850"/>
      <c r="X93" s="850"/>
      <c r="Y93" s="850"/>
      <c r="Z93" s="855"/>
      <c r="AA93" s="856"/>
      <c r="AB93" s="856"/>
      <c r="AC93" s="856"/>
      <c r="AD93" s="856"/>
      <c r="AE93" s="857"/>
    </row>
    <row r="94" spans="1:31" x14ac:dyDescent="0.25">
      <c r="A94" s="399">
        <v>83</v>
      </c>
      <c r="B94" s="850"/>
      <c r="C94" s="850"/>
      <c r="D94" s="850"/>
      <c r="E94" s="850"/>
      <c r="F94" s="851"/>
      <c r="G94" s="850"/>
      <c r="H94" s="850"/>
      <c r="I94" s="850"/>
      <c r="J94" s="850"/>
      <c r="K94" s="852"/>
      <c r="L94" s="850"/>
      <c r="M94" s="850"/>
      <c r="N94" s="850"/>
      <c r="O94" s="850"/>
      <c r="P94" s="853"/>
      <c r="Q94" s="850"/>
      <c r="R94" s="850"/>
      <c r="S94" s="850"/>
      <c r="T94" s="844"/>
      <c r="U94" s="854"/>
      <c r="V94" s="850"/>
      <c r="W94" s="850"/>
      <c r="X94" s="850"/>
      <c r="Y94" s="850"/>
      <c r="Z94" s="855"/>
      <c r="AA94" s="856"/>
      <c r="AB94" s="856"/>
      <c r="AC94" s="856"/>
      <c r="AD94" s="856"/>
      <c r="AE94" s="857"/>
    </row>
    <row r="95" spans="1:31" x14ac:dyDescent="0.25">
      <c r="A95" s="399">
        <v>84</v>
      </c>
      <c r="B95" s="850"/>
      <c r="C95" s="850"/>
      <c r="D95" s="850"/>
      <c r="E95" s="850"/>
      <c r="F95" s="851"/>
      <c r="G95" s="850"/>
      <c r="H95" s="850"/>
      <c r="I95" s="850"/>
      <c r="J95" s="850"/>
      <c r="K95" s="852"/>
      <c r="L95" s="850"/>
      <c r="M95" s="850"/>
      <c r="N95" s="850"/>
      <c r="O95" s="850"/>
      <c r="P95" s="853"/>
      <c r="Q95" s="850"/>
      <c r="R95" s="850"/>
      <c r="S95" s="850"/>
      <c r="T95" s="844"/>
      <c r="U95" s="854"/>
      <c r="V95" s="850"/>
      <c r="W95" s="850"/>
      <c r="X95" s="850"/>
      <c r="Y95" s="850"/>
      <c r="Z95" s="855"/>
      <c r="AA95" s="856"/>
      <c r="AB95" s="856"/>
      <c r="AC95" s="856"/>
      <c r="AD95" s="856"/>
      <c r="AE95" s="857"/>
    </row>
    <row r="96" spans="1:31" x14ac:dyDescent="0.25">
      <c r="A96" s="399">
        <v>85</v>
      </c>
      <c r="B96" s="850"/>
      <c r="C96" s="850"/>
      <c r="D96" s="850"/>
      <c r="E96" s="850"/>
      <c r="F96" s="851"/>
      <c r="G96" s="850"/>
      <c r="H96" s="850"/>
      <c r="I96" s="850"/>
      <c r="J96" s="850"/>
      <c r="K96" s="852"/>
      <c r="L96" s="850"/>
      <c r="M96" s="850"/>
      <c r="N96" s="850"/>
      <c r="O96" s="850"/>
      <c r="P96" s="853"/>
      <c r="Q96" s="850"/>
      <c r="R96" s="850"/>
      <c r="S96" s="850"/>
      <c r="T96" s="844"/>
      <c r="U96" s="854"/>
      <c r="V96" s="850"/>
      <c r="W96" s="850"/>
      <c r="X96" s="850"/>
      <c r="Y96" s="850"/>
      <c r="Z96" s="855"/>
      <c r="AA96" s="856"/>
      <c r="AB96" s="856"/>
      <c r="AC96" s="856"/>
      <c r="AD96" s="856"/>
      <c r="AE96" s="857"/>
    </row>
    <row r="97" spans="1:31" x14ac:dyDescent="0.25">
      <c r="A97" s="399">
        <v>86</v>
      </c>
      <c r="B97" s="850"/>
      <c r="C97" s="850"/>
      <c r="D97" s="850"/>
      <c r="E97" s="850"/>
      <c r="F97" s="851"/>
      <c r="G97" s="850"/>
      <c r="H97" s="850"/>
      <c r="I97" s="850"/>
      <c r="J97" s="850"/>
      <c r="K97" s="852"/>
      <c r="L97" s="850"/>
      <c r="M97" s="850"/>
      <c r="N97" s="850"/>
      <c r="O97" s="850"/>
      <c r="P97" s="853"/>
      <c r="Q97" s="850"/>
      <c r="R97" s="850"/>
      <c r="S97" s="850"/>
      <c r="T97" s="844"/>
      <c r="U97" s="854"/>
      <c r="V97" s="850"/>
      <c r="W97" s="850"/>
      <c r="X97" s="850"/>
      <c r="Y97" s="850"/>
      <c r="Z97" s="855"/>
      <c r="AA97" s="856"/>
      <c r="AB97" s="856"/>
      <c r="AC97" s="856"/>
      <c r="AD97" s="856"/>
      <c r="AE97" s="857"/>
    </row>
    <row r="98" spans="1:31" x14ac:dyDescent="0.25">
      <c r="A98" s="399">
        <v>87</v>
      </c>
      <c r="B98" s="850"/>
      <c r="C98" s="850"/>
      <c r="D98" s="850"/>
      <c r="E98" s="850"/>
      <c r="F98" s="851"/>
      <c r="G98" s="850"/>
      <c r="H98" s="850"/>
      <c r="I98" s="850"/>
      <c r="J98" s="850"/>
      <c r="K98" s="852"/>
      <c r="L98" s="850"/>
      <c r="M98" s="850"/>
      <c r="N98" s="850"/>
      <c r="O98" s="850"/>
      <c r="P98" s="853"/>
      <c r="Q98" s="850"/>
      <c r="R98" s="850"/>
      <c r="S98" s="850"/>
      <c r="T98" s="844"/>
      <c r="U98" s="854"/>
      <c r="V98" s="850"/>
      <c r="W98" s="850"/>
      <c r="X98" s="850"/>
      <c r="Y98" s="850"/>
      <c r="Z98" s="855"/>
      <c r="AA98" s="856"/>
      <c r="AB98" s="856"/>
      <c r="AC98" s="856"/>
      <c r="AD98" s="856"/>
      <c r="AE98" s="857"/>
    </row>
    <row r="99" spans="1:31" x14ac:dyDescent="0.25">
      <c r="A99" s="399">
        <v>88</v>
      </c>
      <c r="B99" s="850"/>
      <c r="C99" s="850"/>
      <c r="D99" s="850"/>
      <c r="E99" s="850"/>
      <c r="F99" s="851"/>
      <c r="G99" s="850"/>
      <c r="H99" s="850"/>
      <c r="I99" s="850"/>
      <c r="J99" s="850"/>
      <c r="K99" s="852"/>
      <c r="L99" s="850"/>
      <c r="M99" s="850"/>
      <c r="N99" s="850"/>
      <c r="O99" s="850"/>
      <c r="P99" s="853"/>
      <c r="Q99" s="850"/>
      <c r="R99" s="850"/>
      <c r="S99" s="850"/>
      <c r="T99" s="844"/>
      <c r="U99" s="854"/>
      <c r="V99" s="850"/>
      <c r="W99" s="850"/>
      <c r="X99" s="850"/>
      <c r="Y99" s="850"/>
      <c r="Z99" s="855"/>
      <c r="AA99" s="856"/>
      <c r="AB99" s="856"/>
      <c r="AC99" s="856"/>
      <c r="AD99" s="856"/>
      <c r="AE99" s="857"/>
    </row>
    <row r="100" spans="1:31" x14ac:dyDescent="0.25">
      <c r="A100" s="399">
        <v>89</v>
      </c>
      <c r="B100" s="850"/>
      <c r="C100" s="850"/>
      <c r="D100" s="850"/>
      <c r="E100" s="850"/>
      <c r="F100" s="851"/>
      <c r="G100" s="850"/>
      <c r="H100" s="850"/>
      <c r="I100" s="850"/>
      <c r="J100" s="850"/>
      <c r="K100" s="852"/>
      <c r="L100" s="850"/>
      <c r="M100" s="850"/>
      <c r="N100" s="850"/>
      <c r="O100" s="850"/>
      <c r="P100" s="853"/>
      <c r="Q100" s="850"/>
      <c r="R100" s="850"/>
      <c r="S100" s="850"/>
      <c r="T100" s="844"/>
      <c r="U100" s="854"/>
      <c r="V100" s="850"/>
      <c r="W100" s="850"/>
      <c r="X100" s="850"/>
      <c r="Y100" s="850"/>
      <c r="Z100" s="855"/>
      <c r="AA100" s="856"/>
      <c r="AB100" s="856"/>
      <c r="AC100" s="856"/>
      <c r="AD100" s="856"/>
      <c r="AE100" s="857"/>
    </row>
    <row r="101" spans="1:31" x14ac:dyDescent="0.25">
      <c r="A101" s="399">
        <v>90</v>
      </c>
      <c r="B101" s="850"/>
      <c r="C101" s="850"/>
      <c r="D101" s="850"/>
      <c r="E101" s="850"/>
      <c r="F101" s="851"/>
      <c r="G101" s="850"/>
      <c r="H101" s="850"/>
      <c r="I101" s="850"/>
      <c r="J101" s="850"/>
      <c r="K101" s="852"/>
      <c r="L101" s="850"/>
      <c r="M101" s="850"/>
      <c r="N101" s="850"/>
      <c r="O101" s="850"/>
      <c r="P101" s="853"/>
      <c r="Q101" s="850"/>
      <c r="R101" s="850"/>
      <c r="S101" s="850"/>
      <c r="T101" s="844"/>
      <c r="U101" s="854"/>
      <c r="V101" s="850"/>
      <c r="W101" s="850"/>
      <c r="X101" s="850"/>
      <c r="Y101" s="850"/>
      <c r="Z101" s="855"/>
      <c r="AA101" s="856"/>
      <c r="AB101" s="856"/>
      <c r="AC101" s="856"/>
      <c r="AD101" s="856"/>
      <c r="AE101" s="857"/>
    </row>
    <row r="102" spans="1:31" x14ac:dyDescent="0.25">
      <c r="A102" s="399">
        <v>91</v>
      </c>
      <c r="B102" s="850"/>
      <c r="C102" s="850"/>
      <c r="D102" s="850"/>
      <c r="E102" s="850"/>
      <c r="F102" s="851"/>
      <c r="G102" s="850"/>
      <c r="H102" s="850"/>
      <c r="I102" s="850"/>
      <c r="J102" s="850"/>
      <c r="K102" s="852"/>
      <c r="L102" s="850"/>
      <c r="M102" s="850"/>
      <c r="N102" s="850"/>
      <c r="O102" s="850"/>
      <c r="P102" s="853"/>
      <c r="Q102" s="850"/>
      <c r="R102" s="850"/>
      <c r="S102" s="850"/>
      <c r="T102" s="844"/>
      <c r="U102" s="854"/>
      <c r="V102" s="850"/>
      <c r="W102" s="850"/>
      <c r="X102" s="850"/>
      <c r="Y102" s="850"/>
      <c r="Z102" s="855"/>
      <c r="AA102" s="856"/>
      <c r="AB102" s="856"/>
      <c r="AC102" s="856"/>
      <c r="AD102" s="856"/>
      <c r="AE102" s="857"/>
    </row>
    <row r="103" spans="1:31" x14ac:dyDescent="0.25">
      <c r="A103" s="399">
        <v>92</v>
      </c>
      <c r="B103" s="850"/>
      <c r="C103" s="850"/>
      <c r="D103" s="850"/>
      <c r="E103" s="850"/>
      <c r="F103" s="851"/>
      <c r="G103" s="850"/>
      <c r="H103" s="850"/>
      <c r="I103" s="850"/>
      <c r="J103" s="850"/>
      <c r="K103" s="852"/>
      <c r="L103" s="850"/>
      <c r="M103" s="850"/>
      <c r="N103" s="850"/>
      <c r="O103" s="850"/>
      <c r="P103" s="853"/>
      <c r="Q103" s="850"/>
      <c r="R103" s="850"/>
      <c r="S103" s="850"/>
      <c r="T103" s="844"/>
      <c r="U103" s="854"/>
      <c r="V103" s="850"/>
      <c r="W103" s="850"/>
      <c r="X103" s="850"/>
      <c r="Y103" s="850"/>
      <c r="Z103" s="855"/>
      <c r="AA103" s="856"/>
      <c r="AB103" s="856"/>
      <c r="AC103" s="856"/>
      <c r="AD103" s="856"/>
      <c r="AE103" s="857"/>
    </row>
    <row r="104" spans="1:31" x14ac:dyDescent="0.25">
      <c r="A104" s="399">
        <v>93</v>
      </c>
      <c r="B104" s="850"/>
      <c r="C104" s="850"/>
      <c r="D104" s="850"/>
      <c r="E104" s="850"/>
      <c r="F104" s="851"/>
      <c r="G104" s="850"/>
      <c r="H104" s="850"/>
      <c r="I104" s="850"/>
      <c r="J104" s="850"/>
      <c r="K104" s="852"/>
      <c r="L104" s="850"/>
      <c r="M104" s="850"/>
      <c r="N104" s="850"/>
      <c r="O104" s="850"/>
      <c r="P104" s="853"/>
      <c r="Q104" s="850"/>
      <c r="R104" s="850"/>
      <c r="S104" s="850"/>
      <c r="T104" s="844"/>
      <c r="U104" s="854"/>
      <c r="V104" s="850"/>
      <c r="W104" s="850"/>
      <c r="X104" s="850"/>
      <c r="Y104" s="850"/>
      <c r="Z104" s="855"/>
      <c r="AA104" s="856"/>
      <c r="AB104" s="856"/>
      <c r="AC104" s="856"/>
      <c r="AD104" s="856"/>
      <c r="AE104" s="857"/>
    </row>
    <row r="105" spans="1:31" x14ac:dyDescent="0.25">
      <c r="A105" s="399">
        <v>94</v>
      </c>
      <c r="B105" s="850"/>
      <c r="C105" s="850"/>
      <c r="D105" s="850"/>
      <c r="E105" s="850"/>
      <c r="F105" s="851"/>
      <c r="G105" s="850"/>
      <c r="H105" s="850"/>
      <c r="I105" s="850"/>
      <c r="J105" s="850"/>
      <c r="K105" s="852"/>
      <c r="L105" s="850"/>
      <c r="M105" s="850"/>
      <c r="N105" s="850"/>
      <c r="O105" s="850"/>
      <c r="P105" s="853"/>
      <c r="Q105" s="850"/>
      <c r="R105" s="850"/>
      <c r="S105" s="850"/>
      <c r="T105" s="844"/>
      <c r="U105" s="854"/>
      <c r="V105" s="850"/>
      <c r="W105" s="850"/>
      <c r="X105" s="850"/>
      <c r="Y105" s="850"/>
      <c r="Z105" s="855"/>
      <c r="AA105" s="856"/>
      <c r="AB105" s="856"/>
      <c r="AC105" s="856"/>
      <c r="AD105" s="856"/>
      <c r="AE105" s="857"/>
    </row>
    <row r="106" spans="1:31" x14ac:dyDescent="0.25">
      <c r="A106" s="399">
        <v>95</v>
      </c>
      <c r="B106" s="850"/>
      <c r="C106" s="850"/>
      <c r="D106" s="850"/>
      <c r="E106" s="850"/>
      <c r="F106" s="851"/>
      <c r="G106" s="850"/>
      <c r="H106" s="850"/>
      <c r="I106" s="850"/>
      <c r="J106" s="850"/>
      <c r="K106" s="852"/>
      <c r="L106" s="850"/>
      <c r="M106" s="850"/>
      <c r="N106" s="850"/>
      <c r="O106" s="850"/>
      <c r="P106" s="853"/>
      <c r="Q106" s="850"/>
      <c r="R106" s="850"/>
      <c r="S106" s="850"/>
      <c r="T106" s="844"/>
      <c r="U106" s="854"/>
      <c r="V106" s="850"/>
      <c r="W106" s="850"/>
      <c r="X106" s="850"/>
      <c r="Y106" s="850"/>
      <c r="Z106" s="855"/>
      <c r="AA106" s="856"/>
      <c r="AB106" s="856"/>
      <c r="AC106" s="856"/>
      <c r="AD106" s="856"/>
      <c r="AE106" s="857"/>
    </row>
    <row r="107" spans="1:31" x14ac:dyDescent="0.25">
      <c r="A107" s="399">
        <v>96</v>
      </c>
      <c r="B107" s="850"/>
      <c r="C107" s="850"/>
      <c r="D107" s="850"/>
      <c r="E107" s="850"/>
      <c r="F107" s="851"/>
      <c r="G107" s="850"/>
      <c r="H107" s="850"/>
      <c r="I107" s="850"/>
      <c r="J107" s="850"/>
      <c r="K107" s="852"/>
      <c r="L107" s="850"/>
      <c r="M107" s="850"/>
      <c r="N107" s="850"/>
      <c r="O107" s="850"/>
      <c r="P107" s="853"/>
      <c r="Q107" s="850"/>
      <c r="R107" s="850"/>
      <c r="S107" s="850"/>
      <c r="T107" s="844"/>
      <c r="U107" s="854"/>
      <c r="V107" s="850"/>
      <c r="W107" s="850"/>
      <c r="X107" s="850"/>
      <c r="Y107" s="850"/>
      <c r="Z107" s="855"/>
      <c r="AA107" s="856"/>
      <c r="AB107" s="856"/>
      <c r="AC107" s="856"/>
      <c r="AD107" s="856"/>
      <c r="AE107" s="857"/>
    </row>
    <row r="108" spans="1:31" x14ac:dyDescent="0.25">
      <c r="A108" s="399">
        <v>97</v>
      </c>
      <c r="B108" s="850"/>
      <c r="C108" s="850"/>
      <c r="D108" s="850"/>
      <c r="E108" s="850"/>
      <c r="F108" s="851"/>
      <c r="G108" s="850"/>
      <c r="H108" s="850"/>
      <c r="I108" s="850"/>
      <c r="J108" s="850"/>
      <c r="K108" s="852"/>
      <c r="L108" s="850"/>
      <c r="M108" s="850"/>
      <c r="N108" s="850"/>
      <c r="O108" s="850"/>
      <c r="P108" s="853"/>
      <c r="Q108" s="850"/>
      <c r="R108" s="850"/>
      <c r="S108" s="850"/>
      <c r="T108" s="844"/>
      <c r="U108" s="854"/>
      <c r="V108" s="850"/>
      <c r="W108" s="850"/>
      <c r="X108" s="850"/>
      <c r="Y108" s="850"/>
      <c r="Z108" s="855"/>
      <c r="AA108" s="856"/>
      <c r="AB108" s="856"/>
      <c r="AC108" s="856"/>
      <c r="AD108" s="856"/>
      <c r="AE108" s="857"/>
    </row>
    <row r="109" spans="1:31" x14ac:dyDescent="0.25">
      <c r="A109" s="399">
        <v>98</v>
      </c>
      <c r="B109" s="850"/>
      <c r="C109" s="850"/>
      <c r="D109" s="850"/>
      <c r="E109" s="850"/>
      <c r="F109" s="851"/>
      <c r="G109" s="850"/>
      <c r="H109" s="850"/>
      <c r="I109" s="850"/>
      <c r="J109" s="850"/>
      <c r="K109" s="852"/>
      <c r="L109" s="850"/>
      <c r="M109" s="850"/>
      <c r="N109" s="850"/>
      <c r="O109" s="850"/>
      <c r="P109" s="853"/>
      <c r="Q109" s="850"/>
      <c r="R109" s="850"/>
      <c r="S109" s="850"/>
      <c r="T109" s="844"/>
      <c r="U109" s="854"/>
      <c r="V109" s="850"/>
      <c r="W109" s="850"/>
      <c r="X109" s="850"/>
      <c r="Y109" s="850"/>
      <c r="Z109" s="855"/>
      <c r="AA109" s="856"/>
      <c r="AB109" s="856"/>
      <c r="AC109" s="856"/>
      <c r="AD109" s="856"/>
      <c r="AE109" s="857"/>
    </row>
    <row r="110" spans="1:31" x14ac:dyDescent="0.25">
      <c r="A110" s="399">
        <v>99</v>
      </c>
      <c r="B110" s="850"/>
      <c r="C110" s="850"/>
      <c r="D110" s="850"/>
      <c r="E110" s="850"/>
      <c r="F110" s="851"/>
      <c r="G110" s="850"/>
      <c r="H110" s="850"/>
      <c r="I110" s="850"/>
      <c r="J110" s="850"/>
      <c r="K110" s="852"/>
      <c r="L110" s="850"/>
      <c r="M110" s="850"/>
      <c r="N110" s="850"/>
      <c r="O110" s="850"/>
      <c r="P110" s="853"/>
      <c r="Q110" s="850"/>
      <c r="R110" s="850"/>
      <c r="S110" s="850"/>
      <c r="T110" s="844"/>
      <c r="U110" s="854"/>
      <c r="V110" s="850"/>
      <c r="W110" s="850"/>
      <c r="X110" s="850"/>
      <c r="Y110" s="850"/>
      <c r="Z110" s="855"/>
      <c r="AA110" s="856"/>
      <c r="AB110" s="856"/>
      <c r="AC110" s="856"/>
      <c r="AD110" s="856"/>
      <c r="AE110" s="857"/>
    </row>
    <row r="111" spans="1:31" x14ac:dyDescent="0.25">
      <c r="A111" s="399">
        <v>100</v>
      </c>
      <c r="B111" s="850"/>
      <c r="C111" s="850"/>
      <c r="D111" s="850"/>
      <c r="E111" s="850"/>
      <c r="F111" s="851"/>
      <c r="G111" s="850"/>
      <c r="H111" s="850"/>
      <c r="I111" s="850"/>
      <c r="J111" s="850"/>
      <c r="K111" s="852"/>
      <c r="L111" s="850"/>
      <c r="M111" s="850"/>
      <c r="N111" s="850"/>
      <c r="O111" s="850"/>
      <c r="P111" s="853"/>
      <c r="Q111" s="850"/>
      <c r="R111" s="850"/>
      <c r="S111" s="850"/>
      <c r="T111" s="844"/>
      <c r="U111" s="854"/>
      <c r="V111" s="850"/>
      <c r="W111" s="850"/>
      <c r="X111" s="850"/>
      <c r="Y111" s="850"/>
      <c r="Z111" s="855"/>
      <c r="AA111" s="856"/>
      <c r="AB111" s="856"/>
      <c r="AC111" s="856"/>
      <c r="AD111" s="856"/>
      <c r="AE111" s="857"/>
    </row>
    <row r="112" spans="1:31" x14ac:dyDescent="0.25">
      <c r="A112" s="399">
        <v>101</v>
      </c>
      <c r="B112" s="850"/>
      <c r="C112" s="850"/>
      <c r="D112" s="850"/>
      <c r="E112" s="850"/>
      <c r="F112" s="858"/>
      <c r="G112" s="850"/>
      <c r="H112" s="850"/>
      <c r="I112" s="850"/>
      <c r="J112" s="850"/>
      <c r="K112" s="852"/>
      <c r="L112" s="850"/>
      <c r="M112" s="850"/>
      <c r="N112" s="850"/>
      <c r="O112" s="850"/>
      <c r="P112" s="853"/>
      <c r="Q112" s="850"/>
      <c r="R112" s="850"/>
      <c r="S112" s="850"/>
      <c r="T112" s="844"/>
      <c r="U112" s="854"/>
      <c r="V112" s="850"/>
      <c r="W112" s="850"/>
      <c r="X112" s="850"/>
      <c r="Y112" s="850"/>
      <c r="Z112" s="855"/>
      <c r="AA112" s="856"/>
      <c r="AB112" s="856"/>
      <c r="AC112" s="856"/>
      <c r="AD112" s="856"/>
      <c r="AE112" s="857"/>
    </row>
    <row r="113" spans="1:31" x14ac:dyDescent="0.25">
      <c r="A113" s="399">
        <v>102</v>
      </c>
      <c r="B113" s="850"/>
      <c r="C113" s="850"/>
      <c r="D113" s="850"/>
      <c r="E113" s="850"/>
      <c r="F113" s="858"/>
      <c r="G113" s="850"/>
      <c r="H113" s="850"/>
      <c r="I113" s="850"/>
      <c r="J113" s="850"/>
      <c r="K113" s="852"/>
      <c r="L113" s="850"/>
      <c r="M113" s="850"/>
      <c r="N113" s="850"/>
      <c r="O113" s="850"/>
      <c r="P113" s="853"/>
      <c r="Q113" s="850"/>
      <c r="R113" s="850"/>
      <c r="S113" s="850"/>
      <c r="T113" s="844"/>
      <c r="U113" s="854"/>
      <c r="V113" s="850"/>
      <c r="W113" s="850"/>
      <c r="X113" s="850"/>
      <c r="Y113" s="850"/>
      <c r="Z113" s="855"/>
      <c r="AA113" s="856"/>
      <c r="AB113" s="856"/>
      <c r="AC113" s="856"/>
      <c r="AD113" s="856"/>
      <c r="AE113" s="857"/>
    </row>
    <row r="114" spans="1:31" x14ac:dyDescent="0.25">
      <c r="A114" s="399">
        <v>103</v>
      </c>
      <c r="B114" s="850"/>
      <c r="C114" s="850"/>
      <c r="D114" s="850"/>
      <c r="E114" s="850"/>
      <c r="F114" s="858"/>
      <c r="G114" s="850"/>
      <c r="H114" s="850"/>
      <c r="I114" s="850"/>
      <c r="J114" s="850"/>
      <c r="K114" s="852"/>
      <c r="L114" s="850"/>
      <c r="M114" s="850"/>
      <c r="N114" s="850"/>
      <c r="O114" s="850"/>
      <c r="P114" s="853"/>
      <c r="Q114" s="850"/>
      <c r="R114" s="850"/>
      <c r="S114" s="850"/>
      <c r="T114" s="844"/>
      <c r="U114" s="854"/>
      <c r="V114" s="850"/>
      <c r="W114" s="850"/>
      <c r="X114" s="850"/>
      <c r="Y114" s="850"/>
      <c r="Z114" s="855"/>
      <c r="AA114" s="856"/>
      <c r="AB114" s="856"/>
      <c r="AC114" s="856"/>
      <c r="AD114" s="856"/>
      <c r="AE114" s="857"/>
    </row>
    <row r="115" spans="1:31" x14ac:dyDescent="0.25">
      <c r="A115" s="399">
        <v>104</v>
      </c>
      <c r="B115" s="850"/>
      <c r="C115" s="850"/>
      <c r="D115" s="850"/>
      <c r="E115" s="850"/>
      <c r="F115" s="858"/>
      <c r="G115" s="850"/>
      <c r="H115" s="850"/>
      <c r="I115" s="850"/>
      <c r="J115" s="850"/>
      <c r="K115" s="852"/>
      <c r="L115" s="850"/>
      <c r="M115" s="850"/>
      <c r="N115" s="850"/>
      <c r="O115" s="850"/>
      <c r="P115" s="853"/>
      <c r="Q115" s="850"/>
      <c r="R115" s="850"/>
      <c r="S115" s="850"/>
      <c r="T115" s="844"/>
      <c r="U115" s="854"/>
      <c r="V115" s="850"/>
      <c r="W115" s="850"/>
      <c r="X115" s="850"/>
      <c r="Y115" s="850"/>
      <c r="Z115" s="855"/>
      <c r="AA115" s="856"/>
      <c r="AB115" s="856"/>
      <c r="AC115" s="856"/>
      <c r="AD115" s="856"/>
      <c r="AE115" s="857"/>
    </row>
    <row r="116" spans="1:31" x14ac:dyDescent="0.25">
      <c r="A116" s="399">
        <v>105</v>
      </c>
      <c r="B116" s="850"/>
      <c r="C116" s="850"/>
      <c r="D116" s="850"/>
      <c r="E116" s="850"/>
      <c r="F116" s="858"/>
      <c r="G116" s="850"/>
      <c r="H116" s="850"/>
      <c r="I116" s="850"/>
      <c r="J116" s="850"/>
      <c r="K116" s="852"/>
      <c r="L116" s="850"/>
      <c r="M116" s="850"/>
      <c r="N116" s="850"/>
      <c r="O116" s="850"/>
      <c r="P116" s="853"/>
      <c r="Q116" s="850"/>
      <c r="R116" s="850"/>
      <c r="S116" s="850"/>
      <c r="T116" s="844"/>
      <c r="U116" s="854"/>
      <c r="V116" s="850"/>
      <c r="W116" s="850"/>
      <c r="X116" s="850"/>
      <c r="Y116" s="850"/>
      <c r="Z116" s="855"/>
      <c r="AA116" s="856"/>
      <c r="AB116" s="856"/>
      <c r="AC116" s="856"/>
      <c r="AD116" s="856"/>
      <c r="AE116" s="857"/>
    </row>
    <row r="117" spans="1:31" x14ac:dyDescent="0.25">
      <c r="A117" s="399">
        <v>106</v>
      </c>
      <c r="B117" s="850"/>
      <c r="C117" s="850"/>
      <c r="D117" s="850"/>
      <c r="E117" s="850"/>
      <c r="F117" s="858"/>
      <c r="G117" s="850"/>
      <c r="H117" s="850"/>
      <c r="I117" s="850"/>
      <c r="J117" s="850"/>
      <c r="K117" s="852"/>
      <c r="L117" s="850"/>
      <c r="M117" s="850"/>
      <c r="N117" s="850"/>
      <c r="O117" s="850"/>
      <c r="P117" s="853"/>
      <c r="Q117" s="850"/>
      <c r="R117" s="850"/>
      <c r="S117" s="850"/>
      <c r="T117" s="844"/>
      <c r="U117" s="854"/>
      <c r="V117" s="850"/>
      <c r="W117" s="850"/>
      <c r="X117" s="850"/>
      <c r="Y117" s="850"/>
      <c r="Z117" s="855"/>
      <c r="AA117" s="856"/>
      <c r="AB117" s="856"/>
      <c r="AC117" s="856"/>
      <c r="AD117" s="856"/>
      <c r="AE117" s="857"/>
    </row>
    <row r="118" spans="1:31" x14ac:dyDescent="0.25">
      <c r="A118" s="399">
        <v>107</v>
      </c>
      <c r="B118" s="850"/>
      <c r="C118" s="850"/>
      <c r="D118" s="850"/>
      <c r="E118" s="850"/>
      <c r="F118" s="858"/>
      <c r="G118" s="850"/>
      <c r="H118" s="850"/>
      <c r="I118" s="850"/>
      <c r="J118" s="850"/>
      <c r="K118" s="852"/>
      <c r="L118" s="850"/>
      <c r="M118" s="850"/>
      <c r="N118" s="850"/>
      <c r="O118" s="850"/>
      <c r="P118" s="853"/>
      <c r="Q118" s="850"/>
      <c r="R118" s="850"/>
      <c r="S118" s="850"/>
      <c r="T118" s="844"/>
      <c r="U118" s="854"/>
      <c r="V118" s="850"/>
      <c r="W118" s="850"/>
      <c r="X118" s="850"/>
      <c r="Y118" s="850"/>
      <c r="Z118" s="855"/>
      <c r="AA118" s="856"/>
      <c r="AB118" s="856"/>
      <c r="AC118" s="856"/>
      <c r="AD118" s="856"/>
      <c r="AE118" s="857"/>
    </row>
    <row r="119" spans="1:31" x14ac:dyDescent="0.25">
      <c r="A119" s="399">
        <v>108</v>
      </c>
      <c r="B119" s="850"/>
      <c r="C119" s="850"/>
      <c r="D119" s="850"/>
      <c r="E119" s="850"/>
      <c r="F119" s="858"/>
      <c r="G119" s="850"/>
      <c r="H119" s="850"/>
      <c r="I119" s="850"/>
      <c r="J119" s="850"/>
      <c r="K119" s="852"/>
      <c r="L119" s="850"/>
      <c r="M119" s="850"/>
      <c r="N119" s="850"/>
      <c r="O119" s="850"/>
      <c r="P119" s="853"/>
      <c r="Q119" s="850"/>
      <c r="R119" s="850"/>
      <c r="S119" s="850"/>
      <c r="T119" s="844"/>
      <c r="U119" s="854"/>
      <c r="V119" s="850"/>
      <c r="W119" s="850"/>
      <c r="X119" s="850"/>
      <c r="Y119" s="850"/>
      <c r="Z119" s="855"/>
      <c r="AA119" s="856"/>
      <c r="AB119" s="856"/>
      <c r="AC119" s="856"/>
      <c r="AD119" s="856"/>
      <c r="AE119" s="857"/>
    </row>
    <row r="120" spans="1:31" x14ac:dyDescent="0.25">
      <c r="A120" s="399">
        <v>109</v>
      </c>
      <c r="B120" s="850"/>
      <c r="C120" s="850"/>
      <c r="D120" s="850"/>
      <c r="E120" s="850"/>
      <c r="F120" s="858"/>
      <c r="G120" s="850"/>
      <c r="H120" s="850"/>
      <c r="I120" s="850"/>
      <c r="J120" s="850"/>
      <c r="K120" s="852"/>
      <c r="L120" s="850"/>
      <c r="M120" s="850"/>
      <c r="N120" s="850"/>
      <c r="O120" s="850"/>
      <c r="P120" s="853"/>
      <c r="Q120" s="850"/>
      <c r="R120" s="850"/>
      <c r="S120" s="850"/>
      <c r="T120" s="844"/>
      <c r="U120" s="854"/>
      <c r="V120" s="850"/>
      <c r="W120" s="850"/>
      <c r="X120" s="850"/>
      <c r="Y120" s="850"/>
      <c r="Z120" s="855"/>
      <c r="AA120" s="856"/>
      <c r="AB120" s="856"/>
      <c r="AC120" s="856"/>
      <c r="AD120" s="856"/>
      <c r="AE120" s="857"/>
    </row>
    <row r="121" spans="1:31" x14ac:dyDescent="0.25">
      <c r="A121" s="399">
        <v>110</v>
      </c>
      <c r="B121" s="850"/>
      <c r="C121" s="850"/>
      <c r="D121" s="850"/>
      <c r="E121" s="850"/>
      <c r="F121" s="858"/>
      <c r="G121" s="850"/>
      <c r="H121" s="850"/>
      <c r="I121" s="850"/>
      <c r="J121" s="850"/>
      <c r="K121" s="852"/>
      <c r="L121" s="850"/>
      <c r="M121" s="850"/>
      <c r="N121" s="850"/>
      <c r="O121" s="850"/>
      <c r="P121" s="853"/>
      <c r="Q121" s="850"/>
      <c r="R121" s="850"/>
      <c r="S121" s="850"/>
      <c r="T121" s="844"/>
      <c r="U121" s="854"/>
      <c r="V121" s="850"/>
      <c r="W121" s="850"/>
      <c r="X121" s="850"/>
      <c r="Y121" s="850"/>
      <c r="Z121" s="855"/>
      <c r="AA121" s="856"/>
      <c r="AB121" s="856"/>
      <c r="AC121" s="856"/>
      <c r="AD121" s="856"/>
      <c r="AE121" s="857"/>
    </row>
    <row r="122" spans="1:31" x14ac:dyDescent="0.25">
      <c r="A122" s="399">
        <v>111</v>
      </c>
      <c r="B122" s="850"/>
      <c r="C122" s="850"/>
      <c r="D122" s="850"/>
      <c r="E122" s="850"/>
      <c r="F122" s="858"/>
      <c r="G122" s="850"/>
      <c r="H122" s="850"/>
      <c r="I122" s="850"/>
      <c r="J122" s="850"/>
      <c r="K122" s="852"/>
      <c r="L122" s="850"/>
      <c r="M122" s="850"/>
      <c r="N122" s="850"/>
      <c r="O122" s="850"/>
      <c r="P122" s="853"/>
      <c r="Q122" s="850"/>
      <c r="R122" s="850"/>
      <c r="S122" s="850"/>
      <c r="T122" s="844"/>
      <c r="U122" s="854"/>
      <c r="V122" s="850"/>
      <c r="W122" s="850"/>
      <c r="X122" s="850"/>
      <c r="Y122" s="850"/>
      <c r="Z122" s="855"/>
      <c r="AA122" s="856"/>
      <c r="AB122" s="856"/>
      <c r="AC122" s="856"/>
      <c r="AD122" s="856"/>
      <c r="AE122" s="857"/>
    </row>
    <row r="123" spans="1:31" x14ac:dyDescent="0.25">
      <c r="A123" s="399">
        <v>112</v>
      </c>
      <c r="B123" s="850"/>
      <c r="C123" s="850"/>
      <c r="D123" s="850"/>
      <c r="E123" s="850"/>
      <c r="F123" s="858"/>
      <c r="G123" s="850"/>
      <c r="H123" s="850"/>
      <c r="I123" s="850"/>
      <c r="J123" s="850"/>
      <c r="K123" s="852"/>
      <c r="L123" s="850"/>
      <c r="M123" s="850"/>
      <c r="N123" s="850"/>
      <c r="O123" s="850"/>
      <c r="P123" s="853"/>
      <c r="Q123" s="850"/>
      <c r="R123" s="850"/>
      <c r="S123" s="850"/>
      <c r="T123" s="844"/>
      <c r="U123" s="854"/>
      <c r="V123" s="850"/>
      <c r="W123" s="850"/>
      <c r="X123" s="850"/>
      <c r="Y123" s="850"/>
      <c r="Z123" s="855"/>
      <c r="AA123" s="856"/>
      <c r="AB123" s="856"/>
      <c r="AC123" s="856"/>
      <c r="AD123" s="856"/>
      <c r="AE123" s="857"/>
    </row>
    <row r="124" spans="1:31" x14ac:dyDescent="0.25">
      <c r="A124" s="399">
        <v>113</v>
      </c>
      <c r="B124" s="850"/>
      <c r="C124" s="850"/>
      <c r="D124" s="850"/>
      <c r="E124" s="850"/>
      <c r="F124" s="858"/>
      <c r="G124" s="850"/>
      <c r="H124" s="850"/>
      <c r="I124" s="850"/>
      <c r="J124" s="850"/>
      <c r="K124" s="852"/>
      <c r="L124" s="850"/>
      <c r="M124" s="850"/>
      <c r="N124" s="850"/>
      <c r="O124" s="850"/>
      <c r="P124" s="853"/>
      <c r="Q124" s="850"/>
      <c r="R124" s="850"/>
      <c r="S124" s="850"/>
      <c r="T124" s="844"/>
      <c r="U124" s="854"/>
      <c r="V124" s="850"/>
      <c r="W124" s="850"/>
      <c r="X124" s="850"/>
      <c r="Y124" s="850"/>
      <c r="Z124" s="855"/>
      <c r="AA124" s="856"/>
      <c r="AB124" s="856"/>
      <c r="AC124" s="856"/>
      <c r="AD124" s="856"/>
      <c r="AE124" s="857"/>
    </row>
    <row r="125" spans="1:31" x14ac:dyDescent="0.25">
      <c r="A125" s="399">
        <v>114</v>
      </c>
      <c r="B125" s="850"/>
      <c r="C125" s="850"/>
      <c r="D125" s="850"/>
      <c r="E125" s="850"/>
      <c r="F125" s="858"/>
      <c r="G125" s="850"/>
      <c r="H125" s="850"/>
      <c r="I125" s="850"/>
      <c r="J125" s="850"/>
      <c r="K125" s="852"/>
      <c r="L125" s="850"/>
      <c r="M125" s="850"/>
      <c r="N125" s="850"/>
      <c r="O125" s="850"/>
      <c r="P125" s="853"/>
      <c r="Q125" s="850"/>
      <c r="R125" s="850"/>
      <c r="S125" s="850"/>
      <c r="T125" s="844"/>
      <c r="U125" s="854"/>
      <c r="V125" s="850"/>
      <c r="W125" s="850"/>
      <c r="X125" s="850"/>
      <c r="Y125" s="850"/>
      <c r="Z125" s="855"/>
      <c r="AA125" s="856"/>
      <c r="AB125" s="856"/>
      <c r="AC125" s="856"/>
      <c r="AD125" s="856"/>
      <c r="AE125" s="857"/>
    </row>
    <row r="126" spans="1:31" x14ac:dyDescent="0.25">
      <c r="A126" s="399">
        <v>115</v>
      </c>
      <c r="B126" s="850"/>
      <c r="C126" s="850"/>
      <c r="D126" s="850"/>
      <c r="E126" s="850"/>
      <c r="F126" s="858"/>
      <c r="G126" s="850"/>
      <c r="H126" s="850"/>
      <c r="I126" s="850"/>
      <c r="J126" s="850"/>
      <c r="K126" s="852"/>
      <c r="L126" s="850"/>
      <c r="M126" s="850"/>
      <c r="N126" s="850"/>
      <c r="O126" s="850"/>
      <c r="P126" s="853"/>
      <c r="Q126" s="850"/>
      <c r="R126" s="850"/>
      <c r="S126" s="850"/>
      <c r="T126" s="844"/>
      <c r="U126" s="854"/>
      <c r="V126" s="850"/>
      <c r="W126" s="850"/>
      <c r="X126" s="850"/>
      <c r="Y126" s="850"/>
      <c r="Z126" s="855"/>
      <c r="AA126" s="856"/>
      <c r="AB126" s="856"/>
      <c r="AC126" s="856"/>
      <c r="AD126" s="856"/>
      <c r="AE126" s="857"/>
    </row>
    <row r="127" spans="1:31" x14ac:dyDescent="0.25">
      <c r="A127" s="399">
        <v>116</v>
      </c>
      <c r="B127" s="850"/>
      <c r="C127" s="850"/>
      <c r="D127" s="850"/>
      <c r="E127" s="850"/>
      <c r="F127" s="858"/>
      <c r="G127" s="850"/>
      <c r="H127" s="850"/>
      <c r="I127" s="850"/>
      <c r="J127" s="850"/>
      <c r="K127" s="852"/>
      <c r="L127" s="850"/>
      <c r="M127" s="850"/>
      <c r="N127" s="850"/>
      <c r="O127" s="850"/>
      <c r="P127" s="853"/>
      <c r="Q127" s="850"/>
      <c r="R127" s="850"/>
      <c r="S127" s="850"/>
      <c r="T127" s="844"/>
      <c r="U127" s="854"/>
      <c r="V127" s="850"/>
      <c r="W127" s="850"/>
      <c r="X127" s="850"/>
      <c r="Y127" s="850"/>
      <c r="Z127" s="855"/>
      <c r="AA127" s="856"/>
      <c r="AB127" s="856"/>
      <c r="AC127" s="856"/>
      <c r="AD127" s="856"/>
      <c r="AE127" s="857"/>
    </row>
    <row r="128" spans="1:31" x14ac:dyDescent="0.25">
      <c r="A128" s="399">
        <v>117</v>
      </c>
      <c r="B128" s="850"/>
      <c r="C128" s="850"/>
      <c r="D128" s="850"/>
      <c r="E128" s="850"/>
      <c r="F128" s="858"/>
      <c r="G128" s="850"/>
      <c r="H128" s="850"/>
      <c r="I128" s="850"/>
      <c r="J128" s="850"/>
      <c r="K128" s="852"/>
      <c r="L128" s="850"/>
      <c r="M128" s="850"/>
      <c r="N128" s="850"/>
      <c r="O128" s="850"/>
      <c r="P128" s="853"/>
      <c r="Q128" s="850"/>
      <c r="R128" s="850"/>
      <c r="S128" s="850"/>
      <c r="T128" s="844"/>
      <c r="U128" s="854"/>
      <c r="V128" s="850"/>
      <c r="W128" s="850"/>
      <c r="X128" s="850"/>
      <c r="Y128" s="850"/>
      <c r="Z128" s="855"/>
      <c r="AA128" s="856"/>
      <c r="AB128" s="856"/>
      <c r="AC128" s="856"/>
      <c r="AD128" s="856"/>
      <c r="AE128" s="857"/>
    </row>
    <row r="129" spans="1:31" x14ac:dyDescent="0.25">
      <c r="A129" s="399">
        <v>118</v>
      </c>
      <c r="B129" s="850"/>
      <c r="C129" s="850"/>
      <c r="D129" s="850"/>
      <c r="E129" s="850"/>
      <c r="F129" s="858"/>
      <c r="G129" s="850"/>
      <c r="H129" s="850"/>
      <c r="I129" s="850"/>
      <c r="J129" s="850"/>
      <c r="K129" s="852"/>
      <c r="L129" s="850"/>
      <c r="M129" s="850"/>
      <c r="N129" s="850"/>
      <c r="O129" s="850"/>
      <c r="P129" s="853"/>
      <c r="Q129" s="850"/>
      <c r="R129" s="850"/>
      <c r="S129" s="850"/>
      <c r="T129" s="844"/>
      <c r="U129" s="854"/>
      <c r="V129" s="850"/>
      <c r="W129" s="850"/>
      <c r="X129" s="850"/>
      <c r="Y129" s="850"/>
      <c r="Z129" s="855"/>
      <c r="AA129" s="856"/>
      <c r="AB129" s="856"/>
      <c r="AC129" s="856"/>
      <c r="AD129" s="856"/>
      <c r="AE129" s="857"/>
    </row>
    <row r="130" spans="1:31" x14ac:dyDescent="0.25">
      <c r="A130" s="399">
        <v>119</v>
      </c>
      <c r="B130" s="850"/>
      <c r="C130" s="850"/>
      <c r="D130" s="850"/>
      <c r="E130" s="850"/>
      <c r="F130" s="858"/>
      <c r="G130" s="850"/>
      <c r="H130" s="850"/>
      <c r="I130" s="850"/>
      <c r="J130" s="850"/>
      <c r="K130" s="852"/>
      <c r="L130" s="850"/>
      <c r="M130" s="850"/>
      <c r="N130" s="850"/>
      <c r="O130" s="850"/>
      <c r="P130" s="853"/>
      <c r="Q130" s="850"/>
      <c r="R130" s="850"/>
      <c r="S130" s="850"/>
      <c r="T130" s="844"/>
      <c r="U130" s="854"/>
      <c r="V130" s="850"/>
      <c r="W130" s="850"/>
      <c r="X130" s="850"/>
      <c r="Y130" s="850"/>
      <c r="Z130" s="855"/>
      <c r="AA130" s="856"/>
      <c r="AB130" s="856"/>
      <c r="AC130" s="856"/>
      <c r="AD130" s="856"/>
      <c r="AE130" s="857"/>
    </row>
    <row r="131" spans="1:31" x14ac:dyDescent="0.25">
      <c r="A131" s="399">
        <v>120</v>
      </c>
      <c r="B131" s="850"/>
      <c r="C131" s="850"/>
      <c r="D131" s="850"/>
      <c r="E131" s="850"/>
      <c r="F131" s="858"/>
      <c r="G131" s="850"/>
      <c r="H131" s="850"/>
      <c r="I131" s="850"/>
      <c r="J131" s="850"/>
      <c r="K131" s="852"/>
      <c r="L131" s="850"/>
      <c r="M131" s="850"/>
      <c r="N131" s="850"/>
      <c r="O131" s="850"/>
      <c r="P131" s="853"/>
      <c r="Q131" s="850"/>
      <c r="R131" s="850"/>
      <c r="S131" s="850"/>
      <c r="T131" s="844"/>
      <c r="U131" s="854"/>
      <c r="V131" s="850"/>
      <c r="W131" s="850"/>
      <c r="X131" s="850"/>
      <c r="Y131" s="850"/>
      <c r="Z131" s="855"/>
      <c r="AA131" s="856"/>
      <c r="AB131" s="856"/>
      <c r="AC131" s="856"/>
      <c r="AD131" s="856"/>
      <c r="AE131" s="857"/>
    </row>
    <row r="132" spans="1:31" x14ac:dyDescent="0.25">
      <c r="A132" s="399">
        <v>121</v>
      </c>
      <c r="B132" s="850"/>
      <c r="C132" s="850"/>
      <c r="D132" s="850"/>
      <c r="E132" s="850"/>
      <c r="F132" s="858"/>
      <c r="G132" s="850"/>
      <c r="H132" s="850"/>
      <c r="I132" s="850"/>
      <c r="J132" s="850"/>
      <c r="K132" s="852"/>
      <c r="L132" s="850"/>
      <c r="M132" s="850"/>
      <c r="N132" s="850"/>
      <c r="O132" s="850"/>
      <c r="P132" s="853"/>
      <c r="Q132" s="850"/>
      <c r="R132" s="850"/>
      <c r="S132" s="850"/>
      <c r="T132" s="844"/>
      <c r="U132" s="854"/>
      <c r="V132" s="850"/>
      <c r="W132" s="850"/>
      <c r="X132" s="850"/>
      <c r="Y132" s="850"/>
      <c r="Z132" s="855"/>
      <c r="AA132" s="856"/>
      <c r="AB132" s="856"/>
      <c r="AC132" s="856"/>
      <c r="AD132" s="856"/>
      <c r="AE132" s="857"/>
    </row>
    <row r="133" spans="1:31" x14ac:dyDescent="0.25">
      <c r="A133" s="399">
        <v>122</v>
      </c>
      <c r="B133" s="850"/>
      <c r="C133" s="850"/>
      <c r="D133" s="850"/>
      <c r="E133" s="850"/>
      <c r="F133" s="858"/>
      <c r="G133" s="850"/>
      <c r="H133" s="850"/>
      <c r="I133" s="850"/>
      <c r="J133" s="850"/>
      <c r="K133" s="852"/>
      <c r="L133" s="850"/>
      <c r="M133" s="850"/>
      <c r="N133" s="850"/>
      <c r="O133" s="850"/>
      <c r="P133" s="853"/>
      <c r="Q133" s="850"/>
      <c r="R133" s="850"/>
      <c r="S133" s="850"/>
      <c r="T133" s="844"/>
      <c r="U133" s="854"/>
      <c r="V133" s="850"/>
      <c r="W133" s="850"/>
      <c r="X133" s="850"/>
      <c r="Y133" s="850"/>
      <c r="Z133" s="855"/>
      <c r="AA133" s="856"/>
      <c r="AB133" s="856"/>
      <c r="AC133" s="856"/>
      <c r="AD133" s="856"/>
      <c r="AE133" s="857"/>
    </row>
    <row r="134" spans="1:31" x14ac:dyDescent="0.25">
      <c r="A134" s="399">
        <v>123</v>
      </c>
      <c r="B134" s="850"/>
      <c r="C134" s="850"/>
      <c r="D134" s="850"/>
      <c r="E134" s="850"/>
      <c r="F134" s="858"/>
      <c r="G134" s="850"/>
      <c r="H134" s="850"/>
      <c r="I134" s="850"/>
      <c r="J134" s="850"/>
      <c r="K134" s="852"/>
      <c r="L134" s="850"/>
      <c r="M134" s="850"/>
      <c r="N134" s="850"/>
      <c r="O134" s="850"/>
      <c r="P134" s="853"/>
      <c r="Q134" s="850"/>
      <c r="R134" s="850"/>
      <c r="S134" s="850"/>
      <c r="T134" s="844"/>
      <c r="U134" s="854"/>
      <c r="V134" s="850"/>
      <c r="W134" s="850"/>
      <c r="X134" s="850"/>
      <c r="Y134" s="850"/>
      <c r="Z134" s="855"/>
      <c r="AA134" s="856"/>
      <c r="AB134" s="856"/>
      <c r="AC134" s="856"/>
      <c r="AD134" s="856"/>
      <c r="AE134" s="857"/>
    </row>
    <row r="135" spans="1:31" x14ac:dyDescent="0.25">
      <c r="A135" s="399">
        <v>124</v>
      </c>
      <c r="B135" s="850"/>
      <c r="C135" s="850"/>
      <c r="D135" s="850"/>
      <c r="E135" s="850"/>
      <c r="F135" s="858"/>
      <c r="G135" s="850"/>
      <c r="H135" s="850"/>
      <c r="I135" s="850"/>
      <c r="J135" s="850"/>
      <c r="K135" s="852"/>
      <c r="L135" s="850"/>
      <c r="M135" s="850"/>
      <c r="N135" s="850"/>
      <c r="O135" s="850"/>
      <c r="P135" s="853"/>
      <c r="Q135" s="850"/>
      <c r="R135" s="850"/>
      <c r="S135" s="850"/>
      <c r="T135" s="844"/>
      <c r="U135" s="854"/>
      <c r="V135" s="850"/>
      <c r="W135" s="850"/>
      <c r="X135" s="850"/>
      <c r="Y135" s="850"/>
      <c r="Z135" s="855"/>
      <c r="AA135" s="856"/>
      <c r="AB135" s="856"/>
      <c r="AC135" s="856"/>
      <c r="AD135" s="856"/>
      <c r="AE135" s="857"/>
    </row>
    <row r="136" spans="1:31" x14ac:dyDescent="0.25">
      <c r="A136" s="399">
        <v>125</v>
      </c>
      <c r="B136" s="850"/>
      <c r="C136" s="850"/>
      <c r="D136" s="850"/>
      <c r="E136" s="850"/>
      <c r="F136" s="858"/>
      <c r="G136" s="850"/>
      <c r="H136" s="850"/>
      <c r="I136" s="850"/>
      <c r="J136" s="850"/>
      <c r="K136" s="852"/>
      <c r="L136" s="850"/>
      <c r="M136" s="850"/>
      <c r="N136" s="850"/>
      <c r="O136" s="850"/>
      <c r="P136" s="853"/>
      <c r="Q136" s="850"/>
      <c r="R136" s="850"/>
      <c r="S136" s="850"/>
      <c r="T136" s="844"/>
      <c r="U136" s="854"/>
      <c r="V136" s="850"/>
      <c r="W136" s="850"/>
      <c r="X136" s="850"/>
      <c r="Y136" s="850"/>
      <c r="Z136" s="855"/>
      <c r="AA136" s="856"/>
      <c r="AB136" s="856"/>
      <c r="AC136" s="856"/>
      <c r="AD136" s="856"/>
      <c r="AE136" s="857"/>
    </row>
    <row r="137" spans="1:31" x14ac:dyDescent="0.25">
      <c r="A137" s="399">
        <v>126</v>
      </c>
      <c r="B137" s="850"/>
      <c r="C137" s="850"/>
      <c r="D137" s="850"/>
      <c r="E137" s="850"/>
      <c r="F137" s="858"/>
      <c r="G137" s="850"/>
      <c r="H137" s="850"/>
      <c r="I137" s="850"/>
      <c r="J137" s="850"/>
      <c r="K137" s="852"/>
      <c r="L137" s="850"/>
      <c r="M137" s="850"/>
      <c r="N137" s="850"/>
      <c r="O137" s="850"/>
      <c r="P137" s="853"/>
      <c r="Q137" s="850"/>
      <c r="R137" s="850"/>
      <c r="S137" s="850"/>
      <c r="T137" s="850"/>
      <c r="U137" s="854"/>
      <c r="V137" s="850"/>
      <c r="W137" s="850"/>
      <c r="X137" s="850"/>
      <c r="Y137" s="850"/>
      <c r="Z137" s="855"/>
      <c r="AA137" s="856"/>
      <c r="AB137" s="856"/>
      <c r="AC137" s="856"/>
      <c r="AD137" s="856"/>
      <c r="AE137" s="857"/>
    </row>
    <row r="138" spans="1:31" x14ac:dyDescent="0.25">
      <c r="A138" s="399">
        <v>127</v>
      </c>
      <c r="B138" s="850"/>
      <c r="C138" s="850"/>
      <c r="D138" s="850"/>
      <c r="E138" s="850"/>
      <c r="F138" s="858"/>
      <c r="G138" s="850"/>
      <c r="H138" s="850"/>
      <c r="I138" s="850"/>
      <c r="J138" s="850"/>
      <c r="K138" s="852"/>
      <c r="L138" s="850"/>
      <c r="M138" s="850"/>
      <c r="N138" s="850"/>
      <c r="O138" s="850"/>
      <c r="P138" s="853"/>
      <c r="Q138" s="850"/>
      <c r="R138" s="850"/>
      <c r="S138" s="850"/>
      <c r="T138" s="850"/>
      <c r="U138" s="854"/>
      <c r="V138" s="850"/>
      <c r="W138" s="850"/>
      <c r="X138" s="850"/>
      <c r="Y138" s="850"/>
      <c r="Z138" s="855"/>
      <c r="AA138" s="856"/>
      <c r="AB138" s="856"/>
      <c r="AC138" s="856"/>
      <c r="AD138" s="856"/>
      <c r="AE138" s="857"/>
    </row>
    <row r="139" spans="1:31" x14ac:dyDescent="0.25">
      <c r="A139" s="399">
        <v>128</v>
      </c>
      <c r="B139" s="850"/>
      <c r="C139" s="850"/>
      <c r="D139" s="850"/>
      <c r="E139" s="850"/>
      <c r="F139" s="858"/>
      <c r="G139" s="850"/>
      <c r="H139" s="850"/>
      <c r="I139" s="850"/>
      <c r="J139" s="850"/>
      <c r="K139" s="852"/>
      <c r="L139" s="850"/>
      <c r="M139" s="850"/>
      <c r="N139" s="850"/>
      <c r="O139" s="850"/>
      <c r="P139" s="853"/>
      <c r="Q139" s="850"/>
      <c r="R139" s="850"/>
      <c r="S139" s="850"/>
      <c r="T139" s="850"/>
      <c r="U139" s="854"/>
      <c r="V139" s="850"/>
      <c r="W139" s="850"/>
      <c r="X139" s="850"/>
      <c r="Y139" s="850"/>
      <c r="Z139" s="855"/>
      <c r="AA139" s="856"/>
      <c r="AB139" s="856"/>
      <c r="AC139" s="856"/>
      <c r="AD139" s="856"/>
      <c r="AE139" s="857"/>
    </row>
    <row r="140" spans="1:31" x14ac:dyDescent="0.25">
      <c r="A140" s="399">
        <v>129</v>
      </c>
      <c r="B140" s="850"/>
      <c r="C140" s="850"/>
      <c r="D140" s="850"/>
      <c r="E140" s="850"/>
      <c r="F140" s="858"/>
      <c r="G140" s="850"/>
      <c r="H140" s="850"/>
      <c r="I140" s="850"/>
      <c r="J140" s="850"/>
      <c r="K140" s="852"/>
      <c r="L140" s="850"/>
      <c r="M140" s="850"/>
      <c r="N140" s="850"/>
      <c r="O140" s="850"/>
      <c r="P140" s="853"/>
      <c r="Q140" s="850"/>
      <c r="R140" s="850"/>
      <c r="S140" s="850"/>
      <c r="T140" s="850"/>
      <c r="U140" s="854"/>
      <c r="V140" s="850"/>
      <c r="W140" s="850"/>
      <c r="X140" s="850"/>
      <c r="Y140" s="850"/>
      <c r="Z140" s="855"/>
      <c r="AA140" s="856"/>
      <c r="AB140" s="856"/>
      <c r="AC140" s="856"/>
      <c r="AD140" s="856"/>
      <c r="AE140" s="857"/>
    </row>
    <row r="141" spans="1:31" x14ac:dyDescent="0.25">
      <c r="A141" s="399">
        <v>130</v>
      </c>
      <c r="B141" s="850"/>
      <c r="C141" s="850"/>
      <c r="D141" s="850"/>
      <c r="E141" s="850"/>
      <c r="F141" s="858"/>
      <c r="G141" s="850"/>
      <c r="H141" s="850"/>
      <c r="I141" s="850"/>
      <c r="J141" s="850"/>
      <c r="K141" s="852"/>
      <c r="L141" s="850"/>
      <c r="M141" s="850"/>
      <c r="N141" s="850"/>
      <c r="O141" s="850"/>
      <c r="P141" s="853"/>
      <c r="Q141" s="850"/>
      <c r="R141" s="850"/>
      <c r="S141" s="850"/>
      <c r="T141" s="850"/>
      <c r="U141" s="854"/>
      <c r="V141" s="850"/>
      <c r="W141" s="850"/>
      <c r="X141" s="850"/>
      <c r="Y141" s="850"/>
      <c r="Z141" s="855"/>
      <c r="AA141" s="856"/>
      <c r="AB141" s="856"/>
      <c r="AC141" s="856"/>
      <c r="AD141" s="856"/>
      <c r="AE141" s="857"/>
    </row>
    <row r="142" spans="1:31" x14ac:dyDescent="0.25">
      <c r="A142" s="399">
        <v>131</v>
      </c>
      <c r="B142" s="850"/>
      <c r="C142" s="850"/>
      <c r="D142" s="850"/>
      <c r="E142" s="850"/>
      <c r="F142" s="858"/>
      <c r="G142" s="850"/>
      <c r="H142" s="850"/>
      <c r="I142" s="850"/>
      <c r="J142" s="850"/>
      <c r="K142" s="852"/>
      <c r="L142" s="850"/>
      <c r="M142" s="850"/>
      <c r="N142" s="850"/>
      <c r="O142" s="850"/>
      <c r="P142" s="853"/>
      <c r="Q142" s="850"/>
      <c r="R142" s="850"/>
      <c r="S142" s="850"/>
      <c r="T142" s="850"/>
      <c r="U142" s="854"/>
      <c r="V142" s="850"/>
      <c r="W142" s="850"/>
      <c r="X142" s="850"/>
      <c r="Y142" s="850"/>
      <c r="Z142" s="855"/>
      <c r="AA142" s="856"/>
      <c r="AB142" s="856"/>
      <c r="AC142" s="856"/>
      <c r="AD142" s="856"/>
      <c r="AE142" s="857"/>
    </row>
    <row r="143" spans="1:31" x14ac:dyDescent="0.25">
      <c r="A143" s="399">
        <v>132</v>
      </c>
      <c r="B143" s="850"/>
      <c r="C143" s="850"/>
      <c r="D143" s="850"/>
      <c r="E143" s="850"/>
      <c r="F143" s="858"/>
      <c r="G143" s="850"/>
      <c r="H143" s="850"/>
      <c r="I143" s="850"/>
      <c r="J143" s="850"/>
      <c r="K143" s="852"/>
      <c r="L143" s="850"/>
      <c r="M143" s="850"/>
      <c r="N143" s="850"/>
      <c r="O143" s="850"/>
      <c r="P143" s="853"/>
      <c r="Q143" s="850"/>
      <c r="R143" s="850"/>
      <c r="S143" s="850"/>
      <c r="T143" s="850"/>
      <c r="U143" s="854"/>
      <c r="V143" s="850"/>
      <c r="W143" s="850"/>
      <c r="X143" s="850"/>
      <c r="Y143" s="850"/>
      <c r="Z143" s="855"/>
      <c r="AA143" s="856"/>
      <c r="AB143" s="856"/>
      <c r="AC143" s="856"/>
      <c r="AD143" s="856"/>
      <c r="AE143" s="857"/>
    </row>
    <row r="144" spans="1:31" x14ac:dyDescent="0.25">
      <c r="A144" s="399">
        <v>133</v>
      </c>
      <c r="B144" s="850"/>
      <c r="C144" s="850"/>
      <c r="D144" s="850"/>
      <c r="E144" s="850"/>
      <c r="F144" s="858"/>
      <c r="G144" s="850"/>
      <c r="H144" s="850"/>
      <c r="I144" s="850"/>
      <c r="J144" s="850"/>
      <c r="K144" s="852"/>
      <c r="L144" s="850"/>
      <c r="M144" s="850"/>
      <c r="N144" s="850"/>
      <c r="O144" s="850"/>
      <c r="P144" s="853"/>
      <c r="Q144" s="850"/>
      <c r="R144" s="850"/>
      <c r="S144" s="850"/>
      <c r="T144" s="850"/>
      <c r="U144" s="854"/>
      <c r="V144" s="850"/>
      <c r="W144" s="850"/>
      <c r="X144" s="850"/>
      <c r="Y144" s="850"/>
      <c r="Z144" s="855"/>
      <c r="AA144" s="856"/>
      <c r="AB144" s="856"/>
      <c r="AC144" s="856"/>
      <c r="AD144" s="856"/>
      <c r="AE144" s="857"/>
    </row>
    <row r="145" spans="1:31" x14ac:dyDescent="0.25">
      <c r="A145" s="399">
        <v>134</v>
      </c>
      <c r="B145" s="850"/>
      <c r="C145" s="850"/>
      <c r="D145" s="850"/>
      <c r="E145" s="850"/>
      <c r="F145" s="858"/>
      <c r="G145" s="850"/>
      <c r="H145" s="850"/>
      <c r="I145" s="850"/>
      <c r="J145" s="850"/>
      <c r="K145" s="852"/>
      <c r="L145" s="850"/>
      <c r="M145" s="850"/>
      <c r="N145" s="850"/>
      <c r="O145" s="850"/>
      <c r="P145" s="853"/>
      <c r="Q145" s="850"/>
      <c r="R145" s="850"/>
      <c r="S145" s="850"/>
      <c r="T145" s="850"/>
      <c r="U145" s="854"/>
      <c r="V145" s="850"/>
      <c r="W145" s="850"/>
      <c r="X145" s="850"/>
      <c r="Y145" s="850"/>
      <c r="Z145" s="855"/>
      <c r="AA145" s="856"/>
      <c r="AB145" s="856"/>
      <c r="AC145" s="856"/>
      <c r="AD145" s="856"/>
      <c r="AE145" s="857"/>
    </row>
    <row r="146" spans="1:31" x14ac:dyDescent="0.25">
      <c r="A146" s="399">
        <v>135</v>
      </c>
      <c r="B146" s="850"/>
      <c r="C146" s="850"/>
      <c r="D146" s="850"/>
      <c r="E146" s="850"/>
      <c r="F146" s="858"/>
      <c r="G146" s="850"/>
      <c r="H146" s="850"/>
      <c r="I146" s="850"/>
      <c r="J146" s="850"/>
      <c r="K146" s="852"/>
      <c r="L146" s="850"/>
      <c r="M146" s="850"/>
      <c r="N146" s="850"/>
      <c r="O146" s="850"/>
      <c r="P146" s="853"/>
      <c r="Q146" s="850"/>
      <c r="R146" s="850"/>
      <c r="S146" s="850"/>
      <c r="T146" s="850"/>
      <c r="U146" s="854"/>
      <c r="V146" s="850"/>
      <c r="W146" s="850"/>
      <c r="X146" s="850"/>
      <c r="Y146" s="850"/>
      <c r="Z146" s="855"/>
      <c r="AA146" s="856"/>
      <c r="AB146" s="856"/>
      <c r="AC146" s="856"/>
      <c r="AD146" s="856"/>
      <c r="AE146" s="857"/>
    </row>
    <row r="147" spans="1:31" x14ac:dyDescent="0.25">
      <c r="A147" s="399">
        <v>136</v>
      </c>
      <c r="B147" s="850"/>
      <c r="C147" s="850"/>
      <c r="D147" s="850"/>
      <c r="E147" s="850"/>
      <c r="F147" s="858"/>
      <c r="G147" s="850"/>
      <c r="H147" s="850"/>
      <c r="I147" s="850"/>
      <c r="J147" s="850"/>
      <c r="K147" s="852"/>
      <c r="L147" s="850"/>
      <c r="M147" s="850"/>
      <c r="N147" s="850"/>
      <c r="O147" s="850"/>
      <c r="P147" s="853"/>
      <c r="Q147" s="850"/>
      <c r="R147" s="850"/>
      <c r="S147" s="850"/>
      <c r="T147" s="850"/>
      <c r="U147" s="854"/>
      <c r="V147" s="850"/>
      <c r="W147" s="850"/>
      <c r="X147" s="850"/>
      <c r="Y147" s="850"/>
      <c r="Z147" s="855"/>
      <c r="AA147" s="856"/>
      <c r="AB147" s="856"/>
      <c r="AC147" s="856"/>
      <c r="AD147" s="856"/>
      <c r="AE147" s="857"/>
    </row>
    <row r="148" spans="1:31" x14ac:dyDescent="0.25">
      <c r="A148" s="399">
        <v>137</v>
      </c>
      <c r="B148" s="850"/>
      <c r="C148" s="850"/>
      <c r="D148" s="850"/>
      <c r="E148" s="850"/>
      <c r="F148" s="858"/>
      <c r="G148" s="850"/>
      <c r="H148" s="850"/>
      <c r="I148" s="850"/>
      <c r="J148" s="850"/>
      <c r="K148" s="852"/>
      <c r="L148" s="850"/>
      <c r="M148" s="850"/>
      <c r="N148" s="850"/>
      <c r="O148" s="850"/>
      <c r="P148" s="853"/>
      <c r="Q148" s="850"/>
      <c r="R148" s="850"/>
      <c r="S148" s="850"/>
      <c r="T148" s="850"/>
      <c r="U148" s="854"/>
      <c r="V148" s="850"/>
      <c r="W148" s="850"/>
      <c r="X148" s="850"/>
      <c r="Y148" s="850"/>
      <c r="Z148" s="855"/>
      <c r="AA148" s="856"/>
      <c r="AB148" s="856"/>
      <c r="AC148" s="856"/>
      <c r="AD148" s="856"/>
      <c r="AE148" s="857"/>
    </row>
    <row r="149" spans="1:31" x14ac:dyDescent="0.25">
      <c r="A149" s="399">
        <v>138</v>
      </c>
      <c r="B149" s="850"/>
      <c r="C149" s="850"/>
      <c r="D149" s="850"/>
      <c r="E149" s="850"/>
      <c r="F149" s="858"/>
      <c r="G149" s="850"/>
      <c r="H149" s="850"/>
      <c r="I149" s="850"/>
      <c r="J149" s="850"/>
      <c r="K149" s="852"/>
      <c r="L149" s="850"/>
      <c r="M149" s="850"/>
      <c r="N149" s="850"/>
      <c r="O149" s="850"/>
      <c r="P149" s="853"/>
      <c r="Q149" s="850"/>
      <c r="R149" s="850"/>
      <c r="S149" s="850"/>
      <c r="T149" s="850"/>
      <c r="U149" s="854"/>
      <c r="V149" s="850"/>
      <c r="W149" s="850"/>
      <c r="X149" s="850"/>
      <c r="Y149" s="850"/>
      <c r="Z149" s="855"/>
      <c r="AA149" s="856"/>
      <c r="AB149" s="856"/>
      <c r="AC149" s="856"/>
      <c r="AD149" s="856"/>
      <c r="AE149" s="857"/>
    </row>
    <row r="150" spans="1:31" x14ac:dyDescent="0.25">
      <c r="A150" s="399">
        <v>139</v>
      </c>
      <c r="B150" s="850"/>
      <c r="C150" s="850"/>
      <c r="D150" s="850"/>
      <c r="E150" s="850"/>
      <c r="F150" s="858"/>
      <c r="G150" s="850"/>
      <c r="H150" s="850"/>
      <c r="I150" s="850"/>
      <c r="J150" s="850"/>
      <c r="K150" s="852"/>
      <c r="L150" s="850"/>
      <c r="M150" s="850"/>
      <c r="N150" s="850"/>
      <c r="O150" s="850"/>
      <c r="P150" s="853"/>
      <c r="Q150" s="850"/>
      <c r="R150" s="850"/>
      <c r="S150" s="850"/>
      <c r="T150" s="850"/>
      <c r="U150" s="854"/>
      <c r="V150" s="850"/>
      <c r="W150" s="850"/>
      <c r="X150" s="850"/>
      <c r="Y150" s="850"/>
      <c r="Z150" s="855"/>
      <c r="AA150" s="856"/>
      <c r="AB150" s="856"/>
      <c r="AC150" s="856"/>
      <c r="AD150" s="856"/>
      <c r="AE150" s="857"/>
    </row>
    <row r="151" spans="1:31" x14ac:dyDescent="0.25">
      <c r="A151" s="399">
        <v>140</v>
      </c>
      <c r="B151" s="850"/>
      <c r="C151" s="850"/>
      <c r="D151" s="850"/>
      <c r="E151" s="850"/>
      <c r="F151" s="858"/>
      <c r="G151" s="850"/>
      <c r="H151" s="850"/>
      <c r="I151" s="850"/>
      <c r="J151" s="850"/>
      <c r="K151" s="852"/>
      <c r="L151" s="850"/>
      <c r="M151" s="850"/>
      <c r="N151" s="850"/>
      <c r="O151" s="850"/>
      <c r="P151" s="853"/>
      <c r="Q151" s="850"/>
      <c r="R151" s="850"/>
      <c r="S151" s="850"/>
      <c r="T151" s="850"/>
      <c r="U151" s="854"/>
      <c r="V151" s="850"/>
      <c r="W151" s="850"/>
      <c r="X151" s="850"/>
      <c r="Y151" s="850"/>
      <c r="Z151" s="855"/>
      <c r="AA151" s="856"/>
      <c r="AB151" s="856"/>
      <c r="AC151" s="856"/>
      <c r="AD151" s="856"/>
      <c r="AE151" s="857"/>
    </row>
    <row r="152" spans="1:31" x14ac:dyDescent="0.25">
      <c r="A152" s="399">
        <v>141</v>
      </c>
      <c r="B152" s="850"/>
      <c r="C152" s="850"/>
      <c r="D152" s="850"/>
      <c r="E152" s="850"/>
      <c r="F152" s="858"/>
      <c r="G152" s="850"/>
      <c r="H152" s="850"/>
      <c r="I152" s="850"/>
      <c r="J152" s="850"/>
      <c r="K152" s="852"/>
      <c r="L152" s="850"/>
      <c r="M152" s="850"/>
      <c r="N152" s="850"/>
      <c r="O152" s="850"/>
      <c r="P152" s="853"/>
      <c r="Q152" s="850"/>
      <c r="R152" s="850"/>
      <c r="S152" s="850"/>
      <c r="T152" s="850"/>
      <c r="U152" s="854"/>
      <c r="V152" s="850"/>
      <c r="W152" s="850"/>
      <c r="X152" s="850"/>
      <c r="Y152" s="850"/>
      <c r="Z152" s="855"/>
      <c r="AA152" s="856"/>
      <c r="AB152" s="856"/>
      <c r="AC152" s="856"/>
      <c r="AD152" s="856"/>
      <c r="AE152" s="857"/>
    </row>
    <row r="153" spans="1:31" x14ac:dyDescent="0.25">
      <c r="A153" s="399">
        <v>142</v>
      </c>
      <c r="B153" s="850"/>
      <c r="C153" s="850"/>
      <c r="D153" s="850"/>
      <c r="E153" s="850"/>
      <c r="F153" s="858"/>
      <c r="G153" s="850"/>
      <c r="H153" s="850"/>
      <c r="I153" s="850"/>
      <c r="J153" s="850"/>
      <c r="K153" s="852"/>
      <c r="L153" s="850"/>
      <c r="M153" s="850"/>
      <c r="N153" s="850"/>
      <c r="O153" s="850"/>
      <c r="P153" s="853"/>
      <c r="Q153" s="850"/>
      <c r="R153" s="850"/>
      <c r="S153" s="850"/>
      <c r="T153" s="850"/>
      <c r="U153" s="854"/>
      <c r="V153" s="850"/>
      <c r="W153" s="850"/>
      <c r="X153" s="850"/>
      <c r="Y153" s="850"/>
      <c r="Z153" s="855"/>
      <c r="AA153" s="856"/>
      <c r="AB153" s="856"/>
      <c r="AC153" s="856"/>
      <c r="AD153" s="856"/>
      <c r="AE153" s="857"/>
    </row>
    <row r="154" spans="1:31" x14ac:dyDescent="0.25">
      <c r="A154" s="399">
        <v>143</v>
      </c>
      <c r="B154" s="850"/>
      <c r="C154" s="850"/>
      <c r="D154" s="850"/>
      <c r="E154" s="850"/>
      <c r="F154" s="858"/>
      <c r="G154" s="850"/>
      <c r="H154" s="850"/>
      <c r="I154" s="850"/>
      <c r="J154" s="850"/>
      <c r="K154" s="852"/>
      <c r="L154" s="850"/>
      <c r="M154" s="850"/>
      <c r="N154" s="850"/>
      <c r="O154" s="850"/>
      <c r="P154" s="853"/>
      <c r="Q154" s="850"/>
      <c r="R154" s="850"/>
      <c r="S154" s="850"/>
      <c r="T154" s="850"/>
      <c r="U154" s="854"/>
      <c r="V154" s="850"/>
      <c r="W154" s="850"/>
      <c r="X154" s="850"/>
      <c r="Y154" s="850"/>
      <c r="Z154" s="855"/>
      <c r="AA154" s="856"/>
      <c r="AB154" s="856"/>
      <c r="AC154" s="856"/>
      <c r="AD154" s="856"/>
      <c r="AE154" s="857"/>
    </row>
    <row r="155" spans="1:31" x14ac:dyDescent="0.25">
      <c r="A155" s="399">
        <v>144</v>
      </c>
      <c r="B155" s="850"/>
      <c r="C155" s="850"/>
      <c r="D155" s="850"/>
      <c r="E155" s="850"/>
      <c r="F155" s="858"/>
      <c r="G155" s="850"/>
      <c r="H155" s="850"/>
      <c r="I155" s="850"/>
      <c r="J155" s="850"/>
      <c r="K155" s="852"/>
      <c r="L155" s="850"/>
      <c r="M155" s="850"/>
      <c r="N155" s="850"/>
      <c r="O155" s="850"/>
      <c r="P155" s="853"/>
      <c r="Q155" s="850"/>
      <c r="R155" s="850"/>
      <c r="S155" s="850"/>
      <c r="T155" s="850"/>
      <c r="U155" s="854"/>
      <c r="V155" s="850"/>
      <c r="W155" s="850"/>
      <c r="X155" s="850"/>
      <c r="Y155" s="850"/>
      <c r="Z155" s="855"/>
      <c r="AA155" s="856"/>
      <c r="AB155" s="856"/>
      <c r="AC155" s="856"/>
      <c r="AD155" s="856"/>
      <c r="AE155" s="857"/>
    </row>
    <row r="156" spans="1:31" x14ac:dyDescent="0.25">
      <c r="A156" s="399">
        <v>145</v>
      </c>
      <c r="B156" s="850"/>
      <c r="C156" s="850"/>
      <c r="D156" s="850"/>
      <c r="E156" s="850"/>
      <c r="F156" s="858"/>
      <c r="G156" s="850"/>
      <c r="H156" s="850"/>
      <c r="I156" s="850"/>
      <c r="J156" s="850"/>
      <c r="K156" s="852"/>
      <c r="L156" s="850"/>
      <c r="M156" s="850"/>
      <c r="N156" s="850"/>
      <c r="O156" s="850"/>
      <c r="P156" s="853"/>
      <c r="Q156" s="850"/>
      <c r="R156" s="850"/>
      <c r="S156" s="850"/>
      <c r="T156" s="850"/>
      <c r="U156" s="854"/>
      <c r="V156" s="850"/>
      <c r="W156" s="850"/>
      <c r="X156" s="850"/>
      <c r="Y156" s="850"/>
      <c r="Z156" s="855"/>
      <c r="AA156" s="856"/>
      <c r="AB156" s="856"/>
      <c r="AC156" s="856"/>
      <c r="AD156" s="856"/>
      <c r="AE156" s="857"/>
    </row>
    <row r="157" spans="1:31" x14ac:dyDescent="0.25">
      <c r="A157" s="399">
        <v>146</v>
      </c>
      <c r="B157" s="850"/>
      <c r="C157" s="850"/>
      <c r="D157" s="850"/>
      <c r="E157" s="850"/>
      <c r="F157" s="858"/>
      <c r="G157" s="850"/>
      <c r="H157" s="850"/>
      <c r="I157" s="850"/>
      <c r="J157" s="850"/>
      <c r="K157" s="852"/>
      <c r="L157" s="850"/>
      <c r="M157" s="850"/>
      <c r="N157" s="850"/>
      <c r="O157" s="850"/>
      <c r="P157" s="853"/>
      <c r="Q157" s="850"/>
      <c r="R157" s="850"/>
      <c r="S157" s="850"/>
      <c r="T157" s="850"/>
      <c r="U157" s="854"/>
      <c r="V157" s="850"/>
      <c r="W157" s="850"/>
      <c r="X157" s="850"/>
      <c r="Y157" s="850"/>
      <c r="Z157" s="855"/>
      <c r="AA157" s="856"/>
      <c r="AB157" s="856"/>
      <c r="AC157" s="856"/>
      <c r="AD157" s="856"/>
      <c r="AE157" s="857"/>
    </row>
    <row r="158" spans="1:31" x14ac:dyDescent="0.25">
      <c r="A158" s="399">
        <v>147</v>
      </c>
      <c r="B158" s="850"/>
      <c r="C158" s="850"/>
      <c r="D158" s="850"/>
      <c r="E158" s="850"/>
      <c r="F158" s="858"/>
      <c r="G158" s="850"/>
      <c r="H158" s="850"/>
      <c r="I158" s="850"/>
      <c r="J158" s="850"/>
      <c r="K158" s="852"/>
      <c r="L158" s="850"/>
      <c r="M158" s="850"/>
      <c r="N158" s="850"/>
      <c r="O158" s="850"/>
      <c r="P158" s="853"/>
      <c r="Q158" s="850"/>
      <c r="R158" s="850"/>
      <c r="S158" s="850"/>
      <c r="T158" s="850"/>
      <c r="U158" s="854"/>
      <c r="V158" s="850"/>
      <c r="W158" s="850"/>
      <c r="X158" s="850"/>
      <c r="Y158" s="850"/>
      <c r="Z158" s="855"/>
      <c r="AA158" s="856"/>
      <c r="AB158" s="856"/>
      <c r="AC158" s="856"/>
      <c r="AD158" s="856"/>
      <c r="AE158" s="857"/>
    </row>
    <row r="159" spans="1:31" x14ac:dyDescent="0.25">
      <c r="A159" s="399">
        <v>148</v>
      </c>
      <c r="B159" s="850"/>
      <c r="C159" s="850"/>
      <c r="D159" s="850"/>
      <c r="E159" s="850"/>
      <c r="F159" s="858"/>
      <c r="G159" s="850"/>
      <c r="H159" s="850"/>
      <c r="I159" s="850"/>
      <c r="J159" s="850"/>
      <c r="K159" s="852"/>
      <c r="L159" s="850"/>
      <c r="M159" s="850"/>
      <c r="N159" s="850"/>
      <c r="O159" s="850"/>
      <c r="P159" s="853"/>
      <c r="Q159" s="850"/>
      <c r="R159" s="850"/>
      <c r="S159" s="850"/>
      <c r="T159" s="850"/>
      <c r="U159" s="854"/>
      <c r="V159" s="850"/>
      <c r="W159" s="850"/>
      <c r="X159" s="850"/>
      <c r="Y159" s="850"/>
      <c r="Z159" s="855"/>
      <c r="AA159" s="856"/>
      <c r="AB159" s="856"/>
      <c r="AC159" s="856"/>
      <c r="AD159" s="856"/>
      <c r="AE159" s="857"/>
    </row>
    <row r="160" spans="1:31" x14ac:dyDescent="0.25">
      <c r="A160" s="399">
        <v>149</v>
      </c>
      <c r="B160" s="850"/>
      <c r="C160" s="850"/>
      <c r="D160" s="850"/>
      <c r="E160" s="850"/>
      <c r="F160" s="858"/>
      <c r="G160" s="850"/>
      <c r="H160" s="850"/>
      <c r="I160" s="850"/>
      <c r="J160" s="850"/>
      <c r="K160" s="852"/>
      <c r="L160" s="850"/>
      <c r="M160" s="850"/>
      <c r="N160" s="850"/>
      <c r="O160" s="850"/>
      <c r="P160" s="853"/>
      <c r="Q160" s="850"/>
      <c r="R160" s="850"/>
      <c r="S160" s="850"/>
      <c r="T160" s="850"/>
      <c r="U160" s="854"/>
      <c r="V160" s="850"/>
      <c r="W160" s="850"/>
      <c r="X160" s="850"/>
      <c r="Y160" s="850"/>
      <c r="Z160" s="855"/>
      <c r="AA160" s="856"/>
      <c r="AB160" s="856"/>
      <c r="AC160" s="856"/>
      <c r="AD160" s="856"/>
      <c r="AE160" s="857"/>
    </row>
    <row r="161" spans="1:31" x14ac:dyDescent="0.25">
      <c r="A161" s="399">
        <v>150</v>
      </c>
      <c r="B161" s="850"/>
      <c r="C161" s="850"/>
      <c r="D161" s="850"/>
      <c r="E161" s="850"/>
      <c r="F161" s="858"/>
      <c r="G161" s="850"/>
      <c r="H161" s="850"/>
      <c r="I161" s="850"/>
      <c r="J161" s="850"/>
      <c r="K161" s="852"/>
      <c r="L161" s="850"/>
      <c r="M161" s="850"/>
      <c r="N161" s="850"/>
      <c r="O161" s="850"/>
      <c r="P161" s="853"/>
      <c r="Q161" s="850"/>
      <c r="R161" s="850"/>
      <c r="S161" s="850"/>
      <c r="T161" s="850"/>
      <c r="U161" s="854"/>
      <c r="V161" s="850"/>
      <c r="W161" s="850"/>
      <c r="X161" s="850"/>
      <c r="Y161" s="850"/>
      <c r="Z161" s="855"/>
      <c r="AA161" s="856"/>
      <c r="AB161" s="856"/>
      <c r="AC161" s="856"/>
      <c r="AD161" s="856"/>
      <c r="AE161" s="857"/>
    </row>
    <row r="162" spans="1:31" x14ac:dyDescent="0.25">
      <c r="A162" s="399">
        <v>151</v>
      </c>
      <c r="B162" s="850"/>
      <c r="C162" s="850"/>
      <c r="D162" s="850"/>
      <c r="E162" s="850"/>
      <c r="F162" s="858"/>
      <c r="G162" s="850"/>
      <c r="H162" s="850"/>
      <c r="I162" s="850"/>
      <c r="J162" s="850"/>
      <c r="K162" s="852"/>
      <c r="L162" s="850"/>
      <c r="M162" s="850"/>
      <c r="N162" s="850"/>
      <c r="O162" s="850"/>
      <c r="P162" s="853"/>
      <c r="Q162" s="850"/>
      <c r="R162" s="850"/>
      <c r="S162" s="850"/>
      <c r="T162" s="850"/>
      <c r="U162" s="854"/>
      <c r="V162" s="850"/>
      <c r="W162" s="850"/>
      <c r="X162" s="850"/>
      <c r="Y162" s="850"/>
      <c r="Z162" s="855"/>
      <c r="AA162" s="856"/>
      <c r="AB162" s="856"/>
      <c r="AC162" s="856"/>
      <c r="AD162" s="856"/>
      <c r="AE162" s="857"/>
    </row>
    <row r="163" spans="1:31" x14ac:dyDescent="0.25">
      <c r="A163" s="399">
        <v>152</v>
      </c>
      <c r="B163" s="850"/>
      <c r="C163" s="850"/>
      <c r="D163" s="850"/>
      <c r="E163" s="850"/>
      <c r="F163" s="858"/>
      <c r="G163" s="850"/>
      <c r="H163" s="850"/>
      <c r="I163" s="850"/>
      <c r="J163" s="850"/>
      <c r="K163" s="852"/>
      <c r="L163" s="850"/>
      <c r="M163" s="850"/>
      <c r="N163" s="850"/>
      <c r="O163" s="850"/>
      <c r="P163" s="853"/>
      <c r="Q163" s="850"/>
      <c r="R163" s="850"/>
      <c r="S163" s="850"/>
      <c r="T163" s="850"/>
      <c r="U163" s="854"/>
      <c r="V163" s="850"/>
      <c r="W163" s="850"/>
      <c r="X163" s="850"/>
      <c r="Y163" s="850"/>
      <c r="Z163" s="855"/>
      <c r="AA163" s="856"/>
      <c r="AB163" s="856"/>
      <c r="AC163" s="856"/>
      <c r="AD163" s="856"/>
      <c r="AE163" s="857"/>
    </row>
    <row r="164" spans="1:31" x14ac:dyDescent="0.25">
      <c r="A164" s="399">
        <v>153</v>
      </c>
      <c r="B164" s="850"/>
      <c r="C164" s="850"/>
      <c r="D164" s="850"/>
      <c r="E164" s="850"/>
      <c r="F164" s="858"/>
      <c r="G164" s="850"/>
      <c r="H164" s="850"/>
      <c r="I164" s="850"/>
      <c r="J164" s="850"/>
      <c r="K164" s="852"/>
      <c r="L164" s="850"/>
      <c r="M164" s="850"/>
      <c r="N164" s="850"/>
      <c r="O164" s="850"/>
      <c r="P164" s="853"/>
      <c r="Q164" s="850"/>
      <c r="R164" s="850"/>
      <c r="S164" s="850"/>
      <c r="T164" s="850"/>
      <c r="U164" s="854"/>
      <c r="V164" s="850"/>
      <c r="W164" s="850"/>
      <c r="X164" s="850"/>
      <c r="Y164" s="850"/>
      <c r="Z164" s="855"/>
      <c r="AA164" s="856"/>
      <c r="AB164" s="856"/>
      <c r="AC164" s="856"/>
      <c r="AD164" s="856"/>
      <c r="AE164" s="857"/>
    </row>
    <row r="165" spans="1:31" x14ac:dyDescent="0.25">
      <c r="A165" s="399">
        <v>154</v>
      </c>
      <c r="B165" s="850"/>
      <c r="C165" s="850"/>
      <c r="D165" s="850"/>
      <c r="E165" s="850"/>
      <c r="F165" s="858"/>
      <c r="G165" s="850"/>
      <c r="H165" s="850"/>
      <c r="I165" s="850"/>
      <c r="J165" s="850"/>
      <c r="K165" s="852"/>
      <c r="L165" s="850"/>
      <c r="M165" s="850"/>
      <c r="N165" s="850"/>
      <c r="O165" s="850"/>
      <c r="P165" s="853"/>
      <c r="Q165" s="850"/>
      <c r="R165" s="850"/>
      <c r="S165" s="850"/>
      <c r="T165" s="850"/>
      <c r="U165" s="854"/>
      <c r="V165" s="850"/>
      <c r="W165" s="850"/>
      <c r="X165" s="850"/>
      <c r="Y165" s="850"/>
      <c r="Z165" s="855"/>
      <c r="AA165" s="856"/>
      <c r="AB165" s="856"/>
      <c r="AC165" s="856"/>
      <c r="AD165" s="856"/>
      <c r="AE165" s="857"/>
    </row>
    <row r="166" spans="1:31" x14ac:dyDescent="0.25">
      <c r="A166" s="399">
        <v>155</v>
      </c>
      <c r="B166" s="850"/>
      <c r="C166" s="850"/>
      <c r="D166" s="850"/>
      <c r="E166" s="850"/>
      <c r="F166" s="858"/>
      <c r="G166" s="850"/>
      <c r="H166" s="850"/>
      <c r="I166" s="850"/>
      <c r="J166" s="850"/>
      <c r="K166" s="852"/>
      <c r="L166" s="850"/>
      <c r="M166" s="850"/>
      <c r="N166" s="850"/>
      <c r="O166" s="850"/>
      <c r="P166" s="853"/>
      <c r="Q166" s="850"/>
      <c r="R166" s="850"/>
      <c r="S166" s="850"/>
      <c r="T166" s="850"/>
      <c r="U166" s="854"/>
      <c r="V166" s="850"/>
      <c r="W166" s="850"/>
      <c r="X166" s="850"/>
      <c r="Y166" s="850"/>
      <c r="Z166" s="855"/>
      <c r="AA166" s="856"/>
      <c r="AB166" s="856"/>
      <c r="AC166" s="856"/>
      <c r="AD166" s="856"/>
      <c r="AE166" s="857"/>
    </row>
    <row r="167" spans="1:31" x14ac:dyDescent="0.25">
      <c r="A167" s="399">
        <v>156</v>
      </c>
      <c r="B167" s="850"/>
      <c r="C167" s="850"/>
      <c r="D167" s="850"/>
      <c r="E167" s="850"/>
      <c r="F167" s="858"/>
      <c r="G167" s="850"/>
      <c r="H167" s="850"/>
      <c r="I167" s="850"/>
      <c r="J167" s="850"/>
      <c r="K167" s="852"/>
      <c r="L167" s="850"/>
      <c r="M167" s="850"/>
      <c r="N167" s="850"/>
      <c r="O167" s="850"/>
      <c r="P167" s="853"/>
      <c r="Q167" s="850"/>
      <c r="R167" s="850"/>
      <c r="S167" s="850"/>
      <c r="T167" s="850"/>
      <c r="U167" s="854"/>
      <c r="V167" s="850"/>
      <c r="W167" s="850"/>
      <c r="X167" s="850"/>
      <c r="Y167" s="850"/>
      <c r="Z167" s="855"/>
      <c r="AA167" s="856"/>
      <c r="AB167" s="856"/>
      <c r="AC167" s="856"/>
      <c r="AD167" s="856"/>
      <c r="AE167" s="857"/>
    </row>
    <row r="168" spans="1:31" x14ac:dyDescent="0.25">
      <c r="A168" s="399">
        <v>157</v>
      </c>
      <c r="B168" s="850"/>
      <c r="C168" s="850"/>
      <c r="D168" s="850"/>
      <c r="E168" s="850"/>
      <c r="F168" s="858"/>
      <c r="G168" s="850"/>
      <c r="H168" s="850"/>
      <c r="I168" s="850"/>
      <c r="J168" s="850"/>
      <c r="K168" s="852"/>
      <c r="L168" s="850"/>
      <c r="M168" s="850"/>
      <c r="N168" s="850"/>
      <c r="O168" s="850"/>
      <c r="P168" s="853"/>
      <c r="Q168" s="850"/>
      <c r="R168" s="850"/>
      <c r="S168" s="850"/>
      <c r="T168" s="850"/>
      <c r="U168" s="854"/>
      <c r="V168" s="850"/>
      <c r="W168" s="850"/>
      <c r="X168" s="850"/>
      <c r="Y168" s="850"/>
      <c r="Z168" s="855"/>
      <c r="AA168" s="856"/>
      <c r="AB168" s="856"/>
      <c r="AC168" s="856"/>
      <c r="AD168" s="856"/>
      <c r="AE168" s="857"/>
    </row>
    <row r="169" spans="1:31" x14ac:dyDescent="0.25">
      <c r="A169" s="399">
        <v>158</v>
      </c>
      <c r="B169" s="850"/>
      <c r="C169" s="850"/>
      <c r="D169" s="850"/>
      <c r="E169" s="850"/>
      <c r="F169" s="858"/>
      <c r="G169" s="850"/>
      <c r="H169" s="850"/>
      <c r="I169" s="850"/>
      <c r="J169" s="850"/>
      <c r="K169" s="852"/>
      <c r="L169" s="850"/>
      <c r="M169" s="850"/>
      <c r="N169" s="850"/>
      <c r="O169" s="850"/>
      <c r="P169" s="853"/>
      <c r="Q169" s="850"/>
      <c r="R169" s="850"/>
      <c r="S169" s="850"/>
      <c r="T169" s="850"/>
      <c r="U169" s="854"/>
      <c r="V169" s="850"/>
      <c r="W169" s="850"/>
      <c r="X169" s="850"/>
      <c r="Y169" s="850"/>
      <c r="Z169" s="855"/>
      <c r="AA169" s="856"/>
      <c r="AB169" s="856"/>
      <c r="AC169" s="856"/>
      <c r="AD169" s="856"/>
      <c r="AE169" s="857"/>
    </row>
    <row r="170" spans="1:31" x14ac:dyDescent="0.25">
      <c r="A170" s="399">
        <v>159</v>
      </c>
      <c r="B170" s="850"/>
      <c r="C170" s="850"/>
      <c r="D170" s="850"/>
      <c r="E170" s="850"/>
      <c r="F170" s="858"/>
      <c r="G170" s="850"/>
      <c r="H170" s="850"/>
      <c r="I170" s="850"/>
      <c r="J170" s="850"/>
      <c r="K170" s="852"/>
      <c r="L170" s="850"/>
      <c r="M170" s="850"/>
      <c r="N170" s="850"/>
      <c r="O170" s="850"/>
      <c r="P170" s="853"/>
      <c r="Q170" s="850"/>
      <c r="R170" s="850"/>
      <c r="S170" s="850"/>
      <c r="T170" s="850"/>
      <c r="U170" s="854"/>
      <c r="V170" s="850"/>
      <c r="W170" s="850"/>
      <c r="X170" s="850"/>
      <c r="Y170" s="850"/>
      <c r="Z170" s="855"/>
      <c r="AA170" s="856"/>
      <c r="AB170" s="856"/>
      <c r="AC170" s="856"/>
      <c r="AD170" s="856"/>
      <c r="AE170" s="857"/>
    </row>
    <row r="171" spans="1:31" x14ac:dyDescent="0.25">
      <c r="A171" s="399">
        <v>160</v>
      </c>
      <c r="B171" s="850"/>
      <c r="C171" s="850"/>
      <c r="D171" s="850"/>
      <c r="E171" s="850"/>
      <c r="F171" s="858"/>
      <c r="G171" s="850"/>
      <c r="H171" s="850"/>
      <c r="I171" s="850"/>
      <c r="J171" s="850"/>
      <c r="K171" s="852"/>
      <c r="L171" s="850"/>
      <c r="M171" s="850"/>
      <c r="N171" s="850"/>
      <c r="O171" s="850"/>
      <c r="P171" s="853"/>
      <c r="Q171" s="850"/>
      <c r="R171" s="850"/>
      <c r="S171" s="850"/>
      <c r="T171" s="850"/>
      <c r="U171" s="854"/>
      <c r="V171" s="850"/>
      <c r="W171" s="850"/>
      <c r="X171" s="850"/>
      <c r="Y171" s="850"/>
      <c r="Z171" s="855"/>
      <c r="AA171" s="856"/>
      <c r="AB171" s="856"/>
      <c r="AC171" s="856"/>
      <c r="AD171" s="856"/>
      <c r="AE171" s="857"/>
    </row>
    <row r="172" spans="1:31" x14ac:dyDescent="0.25">
      <c r="A172" s="399">
        <v>161</v>
      </c>
      <c r="B172" s="850"/>
      <c r="C172" s="850"/>
      <c r="D172" s="850"/>
      <c r="E172" s="850"/>
      <c r="F172" s="858"/>
      <c r="G172" s="850"/>
      <c r="H172" s="850"/>
      <c r="I172" s="850"/>
      <c r="J172" s="850"/>
      <c r="K172" s="852"/>
      <c r="L172" s="850"/>
      <c r="M172" s="850"/>
      <c r="N172" s="850"/>
      <c r="O172" s="850"/>
      <c r="P172" s="853"/>
      <c r="Q172" s="850"/>
      <c r="R172" s="850"/>
      <c r="S172" s="850"/>
      <c r="T172" s="850"/>
      <c r="U172" s="854"/>
      <c r="V172" s="850"/>
      <c r="W172" s="850"/>
      <c r="X172" s="850"/>
      <c r="Y172" s="850"/>
      <c r="Z172" s="855"/>
      <c r="AA172" s="856"/>
      <c r="AB172" s="856"/>
      <c r="AC172" s="856"/>
      <c r="AD172" s="856"/>
      <c r="AE172" s="857"/>
    </row>
    <row r="173" spans="1:31" x14ac:dyDescent="0.25">
      <c r="A173" s="399">
        <v>162</v>
      </c>
      <c r="B173" s="850"/>
      <c r="C173" s="850"/>
      <c r="D173" s="850"/>
      <c r="E173" s="850"/>
      <c r="F173" s="858"/>
      <c r="G173" s="850"/>
      <c r="H173" s="850"/>
      <c r="I173" s="850"/>
      <c r="J173" s="850"/>
      <c r="K173" s="852"/>
      <c r="L173" s="850"/>
      <c r="M173" s="850"/>
      <c r="N173" s="850"/>
      <c r="O173" s="850"/>
      <c r="P173" s="853"/>
      <c r="Q173" s="850"/>
      <c r="R173" s="850"/>
      <c r="S173" s="850"/>
      <c r="T173" s="850"/>
      <c r="U173" s="854"/>
      <c r="V173" s="850"/>
      <c r="W173" s="850"/>
      <c r="X173" s="850"/>
      <c r="Y173" s="850"/>
      <c r="Z173" s="855"/>
      <c r="AA173" s="856"/>
      <c r="AB173" s="856"/>
      <c r="AC173" s="856"/>
      <c r="AD173" s="856"/>
      <c r="AE173" s="857"/>
    </row>
    <row r="174" spans="1:31" x14ac:dyDescent="0.25">
      <c r="A174" s="399">
        <v>163</v>
      </c>
      <c r="B174" s="850"/>
      <c r="C174" s="850"/>
      <c r="D174" s="850"/>
      <c r="E174" s="850"/>
      <c r="F174" s="858"/>
      <c r="G174" s="850"/>
      <c r="H174" s="850"/>
      <c r="I174" s="850"/>
      <c r="J174" s="850"/>
      <c r="K174" s="852"/>
      <c r="L174" s="850"/>
      <c r="M174" s="850"/>
      <c r="N174" s="850"/>
      <c r="O174" s="850"/>
      <c r="P174" s="853"/>
      <c r="Q174" s="850"/>
      <c r="R174" s="850"/>
      <c r="S174" s="850"/>
      <c r="T174" s="850"/>
      <c r="U174" s="854"/>
      <c r="V174" s="850"/>
      <c r="W174" s="850"/>
      <c r="X174" s="850"/>
      <c r="Y174" s="850"/>
      <c r="Z174" s="855"/>
      <c r="AA174" s="856"/>
      <c r="AB174" s="856"/>
      <c r="AC174" s="856"/>
      <c r="AD174" s="856"/>
      <c r="AE174" s="857"/>
    </row>
    <row r="175" spans="1:31" x14ac:dyDescent="0.25">
      <c r="A175" s="399">
        <v>164</v>
      </c>
      <c r="B175" s="850"/>
      <c r="C175" s="850"/>
      <c r="D175" s="850"/>
      <c r="E175" s="850"/>
      <c r="F175" s="858"/>
      <c r="G175" s="850"/>
      <c r="H175" s="850"/>
      <c r="I175" s="850"/>
      <c r="J175" s="850"/>
      <c r="K175" s="852"/>
      <c r="L175" s="850"/>
      <c r="M175" s="850"/>
      <c r="N175" s="850"/>
      <c r="O175" s="850"/>
      <c r="P175" s="853"/>
      <c r="Q175" s="850"/>
      <c r="R175" s="850"/>
      <c r="S175" s="850"/>
      <c r="T175" s="850"/>
      <c r="U175" s="854"/>
      <c r="V175" s="850"/>
      <c r="W175" s="850"/>
      <c r="X175" s="850"/>
      <c r="Y175" s="850"/>
      <c r="Z175" s="855"/>
      <c r="AA175" s="856"/>
      <c r="AB175" s="856"/>
      <c r="AC175" s="856"/>
      <c r="AD175" s="856"/>
      <c r="AE175" s="857"/>
    </row>
    <row r="176" spans="1:31" x14ac:dyDescent="0.25">
      <c r="A176" s="399">
        <v>165</v>
      </c>
      <c r="B176" s="850"/>
      <c r="C176" s="850"/>
      <c r="D176" s="850"/>
      <c r="E176" s="850"/>
      <c r="F176" s="858"/>
      <c r="G176" s="850"/>
      <c r="H176" s="850"/>
      <c r="I176" s="850"/>
      <c r="J176" s="850"/>
      <c r="K176" s="852"/>
      <c r="L176" s="850"/>
      <c r="M176" s="850"/>
      <c r="N176" s="850"/>
      <c r="O176" s="850"/>
      <c r="P176" s="853"/>
      <c r="Q176" s="850"/>
      <c r="R176" s="850"/>
      <c r="S176" s="850"/>
      <c r="T176" s="850"/>
      <c r="U176" s="854"/>
      <c r="V176" s="850"/>
      <c r="W176" s="850"/>
      <c r="X176" s="850"/>
      <c r="Y176" s="850"/>
      <c r="Z176" s="855"/>
      <c r="AA176" s="856"/>
      <c r="AB176" s="856"/>
      <c r="AC176" s="856"/>
      <c r="AD176" s="856"/>
      <c r="AE176" s="857"/>
    </row>
    <row r="177" spans="1:31" x14ac:dyDescent="0.25">
      <c r="A177" s="399">
        <v>166</v>
      </c>
      <c r="B177" s="850"/>
      <c r="C177" s="850"/>
      <c r="D177" s="850"/>
      <c r="E177" s="850"/>
      <c r="F177" s="858"/>
      <c r="G177" s="850"/>
      <c r="H177" s="850"/>
      <c r="I177" s="850"/>
      <c r="J177" s="850"/>
      <c r="K177" s="852"/>
      <c r="L177" s="850"/>
      <c r="M177" s="850"/>
      <c r="N177" s="850"/>
      <c r="O177" s="850"/>
      <c r="P177" s="853"/>
      <c r="Q177" s="850"/>
      <c r="R177" s="850"/>
      <c r="S177" s="850"/>
      <c r="T177" s="850"/>
      <c r="U177" s="854"/>
      <c r="V177" s="850"/>
      <c r="W177" s="850"/>
      <c r="X177" s="850"/>
      <c r="Y177" s="850"/>
      <c r="Z177" s="855"/>
      <c r="AA177" s="856"/>
      <c r="AB177" s="856"/>
      <c r="AC177" s="856"/>
      <c r="AD177" s="856"/>
      <c r="AE177" s="857"/>
    </row>
    <row r="178" spans="1:31" x14ac:dyDescent="0.25">
      <c r="A178" s="399">
        <v>167</v>
      </c>
      <c r="B178" s="850"/>
      <c r="C178" s="850"/>
      <c r="D178" s="850"/>
      <c r="E178" s="850"/>
      <c r="F178" s="858"/>
      <c r="G178" s="850"/>
      <c r="H178" s="850"/>
      <c r="I178" s="850"/>
      <c r="J178" s="850"/>
      <c r="K178" s="852"/>
      <c r="L178" s="850"/>
      <c r="M178" s="850"/>
      <c r="N178" s="850"/>
      <c r="O178" s="850"/>
      <c r="P178" s="853"/>
      <c r="Q178" s="850"/>
      <c r="R178" s="850"/>
      <c r="S178" s="850"/>
      <c r="T178" s="850"/>
      <c r="U178" s="854"/>
      <c r="V178" s="850"/>
      <c r="W178" s="850"/>
      <c r="X178" s="850"/>
      <c r="Y178" s="850"/>
      <c r="Z178" s="855"/>
      <c r="AA178" s="856"/>
      <c r="AB178" s="856"/>
      <c r="AC178" s="856"/>
      <c r="AD178" s="856"/>
      <c r="AE178" s="857"/>
    </row>
    <row r="179" spans="1:31" x14ac:dyDescent="0.25">
      <c r="A179" s="399">
        <v>168</v>
      </c>
      <c r="B179" s="850"/>
      <c r="C179" s="850"/>
      <c r="D179" s="850"/>
      <c r="E179" s="850"/>
      <c r="F179" s="858"/>
      <c r="G179" s="850"/>
      <c r="H179" s="850"/>
      <c r="I179" s="850"/>
      <c r="J179" s="850"/>
      <c r="K179" s="852"/>
      <c r="L179" s="850"/>
      <c r="M179" s="850"/>
      <c r="N179" s="850"/>
      <c r="O179" s="850"/>
      <c r="P179" s="853"/>
      <c r="Q179" s="850"/>
      <c r="R179" s="850"/>
      <c r="S179" s="850"/>
      <c r="T179" s="850"/>
      <c r="U179" s="854"/>
      <c r="V179" s="850"/>
      <c r="W179" s="850"/>
      <c r="X179" s="850"/>
      <c r="Y179" s="850"/>
      <c r="Z179" s="855"/>
      <c r="AA179" s="856"/>
      <c r="AB179" s="856"/>
      <c r="AC179" s="856"/>
      <c r="AD179" s="856"/>
      <c r="AE179" s="857"/>
    </row>
    <row r="180" spans="1:31" x14ac:dyDescent="0.25">
      <c r="A180" s="399">
        <v>169</v>
      </c>
      <c r="B180" s="850"/>
      <c r="C180" s="850"/>
      <c r="D180" s="850"/>
      <c r="E180" s="850"/>
      <c r="F180" s="858"/>
      <c r="G180" s="850"/>
      <c r="H180" s="850"/>
      <c r="I180" s="850"/>
      <c r="J180" s="850"/>
      <c r="K180" s="852"/>
      <c r="L180" s="850"/>
      <c r="M180" s="850"/>
      <c r="N180" s="850"/>
      <c r="O180" s="850"/>
      <c r="P180" s="853"/>
      <c r="Q180" s="850"/>
      <c r="R180" s="850"/>
      <c r="S180" s="850"/>
      <c r="T180" s="850"/>
      <c r="U180" s="854"/>
      <c r="V180" s="850"/>
      <c r="W180" s="850"/>
      <c r="X180" s="850"/>
      <c r="Y180" s="850"/>
      <c r="Z180" s="855"/>
      <c r="AA180" s="856"/>
      <c r="AB180" s="856"/>
      <c r="AC180" s="856"/>
      <c r="AD180" s="856"/>
      <c r="AE180" s="857"/>
    </row>
    <row r="181" spans="1:31" x14ac:dyDescent="0.25">
      <c r="A181" s="399">
        <v>170</v>
      </c>
      <c r="B181" s="850"/>
      <c r="C181" s="850"/>
      <c r="D181" s="850"/>
      <c r="E181" s="850"/>
      <c r="F181" s="858"/>
      <c r="G181" s="850"/>
      <c r="H181" s="850"/>
      <c r="I181" s="850"/>
      <c r="J181" s="850"/>
      <c r="K181" s="852"/>
      <c r="L181" s="850"/>
      <c r="M181" s="850"/>
      <c r="N181" s="850"/>
      <c r="O181" s="850"/>
      <c r="P181" s="853"/>
      <c r="Q181" s="850"/>
      <c r="R181" s="850"/>
      <c r="S181" s="850"/>
      <c r="T181" s="850"/>
      <c r="U181" s="854"/>
      <c r="V181" s="850"/>
      <c r="W181" s="850"/>
      <c r="X181" s="850"/>
      <c r="Y181" s="850"/>
      <c r="Z181" s="855"/>
      <c r="AA181" s="856"/>
      <c r="AB181" s="856"/>
      <c r="AC181" s="856"/>
      <c r="AD181" s="856"/>
      <c r="AE181" s="857"/>
    </row>
    <row r="182" spans="1:31" x14ac:dyDescent="0.25">
      <c r="A182" s="399">
        <v>171</v>
      </c>
      <c r="B182" s="850"/>
      <c r="C182" s="850"/>
      <c r="D182" s="850"/>
      <c r="E182" s="850"/>
      <c r="F182" s="858"/>
      <c r="G182" s="850"/>
      <c r="H182" s="850"/>
      <c r="I182" s="850"/>
      <c r="J182" s="850"/>
      <c r="K182" s="852"/>
      <c r="L182" s="850"/>
      <c r="M182" s="850"/>
      <c r="N182" s="850"/>
      <c r="O182" s="850"/>
      <c r="P182" s="853"/>
      <c r="Q182" s="850"/>
      <c r="R182" s="850"/>
      <c r="S182" s="850"/>
      <c r="T182" s="850"/>
      <c r="U182" s="854"/>
      <c r="V182" s="850"/>
      <c r="W182" s="850"/>
      <c r="X182" s="850"/>
      <c r="Y182" s="850"/>
      <c r="Z182" s="855"/>
      <c r="AA182" s="856"/>
      <c r="AB182" s="856"/>
      <c r="AC182" s="856"/>
      <c r="AD182" s="856"/>
      <c r="AE182" s="857"/>
    </row>
    <row r="183" spans="1:31" x14ac:dyDescent="0.25">
      <c r="A183" s="399">
        <v>172</v>
      </c>
      <c r="B183" s="850"/>
      <c r="C183" s="850"/>
      <c r="D183" s="850"/>
      <c r="E183" s="850"/>
      <c r="F183" s="858"/>
      <c r="G183" s="850"/>
      <c r="H183" s="850"/>
      <c r="I183" s="850"/>
      <c r="J183" s="850"/>
      <c r="K183" s="852"/>
      <c r="L183" s="850"/>
      <c r="M183" s="850"/>
      <c r="N183" s="850"/>
      <c r="O183" s="850"/>
      <c r="P183" s="853"/>
      <c r="Q183" s="850"/>
      <c r="R183" s="850"/>
      <c r="S183" s="850"/>
      <c r="T183" s="850"/>
      <c r="U183" s="854"/>
      <c r="V183" s="850"/>
      <c r="W183" s="850"/>
      <c r="X183" s="850"/>
      <c r="Y183" s="850"/>
      <c r="Z183" s="855"/>
      <c r="AA183" s="856"/>
      <c r="AB183" s="856"/>
      <c r="AC183" s="856"/>
      <c r="AD183" s="856"/>
      <c r="AE183" s="857"/>
    </row>
    <row r="184" spans="1:31" x14ac:dyDescent="0.25">
      <c r="A184" s="399">
        <v>173</v>
      </c>
      <c r="B184" s="850"/>
      <c r="C184" s="850"/>
      <c r="D184" s="850"/>
      <c r="E184" s="850"/>
      <c r="F184" s="858"/>
      <c r="G184" s="850"/>
      <c r="H184" s="850"/>
      <c r="I184" s="850"/>
      <c r="J184" s="850"/>
      <c r="K184" s="852"/>
      <c r="L184" s="850"/>
      <c r="M184" s="850"/>
      <c r="N184" s="850"/>
      <c r="O184" s="850"/>
      <c r="P184" s="853"/>
      <c r="Q184" s="850"/>
      <c r="R184" s="850"/>
      <c r="S184" s="850"/>
      <c r="T184" s="850"/>
      <c r="U184" s="854"/>
      <c r="V184" s="850"/>
      <c r="W184" s="850"/>
      <c r="X184" s="850"/>
      <c r="Y184" s="850"/>
      <c r="Z184" s="855"/>
      <c r="AA184" s="856"/>
      <c r="AB184" s="856"/>
      <c r="AC184" s="856"/>
      <c r="AD184" s="856"/>
      <c r="AE184" s="857"/>
    </row>
    <row r="185" spans="1:31" x14ac:dyDescent="0.25">
      <c r="A185" s="399">
        <v>174</v>
      </c>
      <c r="B185" s="850"/>
      <c r="C185" s="850"/>
      <c r="D185" s="850"/>
      <c r="E185" s="850"/>
      <c r="F185" s="858"/>
      <c r="G185" s="850"/>
      <c r="H185" s="850"/>
      <c r="I185" s="850"/>
      <c r="J185" s="850"/>
      <c r="K185" s="852"/>
      <c r="L185" s="850"/>
      <c r="M185" s="850"/>
      <c r="N185" s="850"/>
      <c r="O185" s="850"/>
      <c r="P185" s="853"/>
      <c r="Q185" s="850"/>
      <c r="R185" s="850"/>
      <c r="S185" s="850"/>
      <c r="T185" s="850"/>
      <c r="U185" s="854"/>
      <c r="V185" s="850"/>
      <c r="W185" s="850"/>
      <c r="X185" s="850"/>
      <c r="Y185" s="850"/>
      <c r="Z185" s="855"/>
      <c r="AA185" s="856"/>
      <c r="AB185" s="856"/>
      <c r="AC185" s="856"/>
      <c r="AD185" s="856"/>
      <c r="AE185" s="857"/>
    </row>
    <row r="186" spans="1:31" x14ac:dyDescent="0.25">
      <c r="A186" s="399">
        <v>175</v>
      </c>
      <c r="B186" s="850"/>
      <c r="C186" s="850"/>
      <c r="D186" s="850"/>
      <c r="E186" s="850"/>
      <c r="F186" s="858"/>
      <c r="G186" s="850"/>
      <c r="H186" s="850"/>
      <c r="I186" s="850"/>
      <c r="J186" s="850"/>
      <c r="K186" s="852"/>
      <c r="L186" s="850"/>
      <c r="M186" s="850"/>
      <c r="N186" s="850"/>
      <c r="O186" s="850"/>
      <c r="P186" s="853"/>
      <c r="Q186" s="850"/>
      <c r="R186" s="850"/>
      <c r="S186" s="850"/>
      <c r="T186" s="850"/>
      <c r="U186" s="854"/>
      <c r="V186" s="850"/>
      <c r="W186" s="850"/>
      <c r="X186" s="850"/>
      <c r="Y186" s="850"/>
      <c r="Z186" s="855"/>
      <c r="AA186" s="856"/>
      <c r="AB186" s="856"/>
      <c r="AC186" s="856"/>
      <c r="AD186" s="856"/>
      <c r="AE186" s="857"/>
    </row>
    <row r="187" spans="1:31" x14ac:dyDescent="0.25">
      <c r="A187" s="399">
        <v>176</v>
      </c>
      <c r="B187" s="850"/>
      <c r="C187" s="850"/>
      <c r="D187" s="850"/>
      <c r="E187" s="850"/>
      <c r="F187" s="858"/>
      <c r="G187" s="850"/>
      <c r="H187" s="850"/>
      <c r="I187" s="850"/>
      <c r="J187" s="850"/>
      <c r="K187" s="852"/>
      <c r="L187" s="850"/>
      <c r="M187" s="850"/>
      <c r="N187" s="850"/>
      <c r="O187" s="850"/>
      <c r="P187" s="853"/>
      <c r="Q187" s="850"/>
      <c r="R187" s="850"/>
      <c r="S187" s="850"/>
      <c r="T187" s="850"/>
      <c r="U187" s="854"/>
      <c r="V187" s="850"/>
      <c r="W187" s="850"/>
      <c r="X187" s="850"/>
      <c r="Y187" s="850"/>
      <c r="Z187" s="855"/>
      <c r="AA187" s="856"/>
      <c r="AB187" s="856"/>
      <c r="AC187" s="856"/>
      <c r="AD187" s="856"/>
      <c r="AE187" s="857"/>
    </row>
    <row r="188" spans="1:31" x14ac:dyDescent="0.25">
      <c r="A188" s="399">
        <v>177</v>
      </c>
      <c r="B188" s="850"/>
      <c r="C188" s="850"/>
      <c r="D188" s="850"/>
      <c r="E188" s="850"/>
      <c r="F188" s="858"/>
      <c r="G188" s="850"/>
      <c r="H188" s="850"/>
      <c r="I188" s="850"/>
      <c r="J188" s="850"/>
      <c r="K188" s="852"/>
      <c r="L188" s="850"/>
      <c r="M188" s="850"/>
      <c r="N188" s="850"/>
      <c r="O188" s="850"/>
      <c r="P188" s="853"/>
      <c r="Q188" s="850"/>
      <c r="R188" s="850"/>
      <c r="S188" s="850"/>
      <c r="T188" s="850"/>
      <c r="U188" s="854"/>
      <c r="V188" s="850"/>
      <c r="W188" s="850"/>
      <c r="X188" s="850"/>
      <c r="Y188" s="850"/>
      <c r="Z188" s="855"/>
      <c r="AA188" s="856"/>
      <c r="AB188" s="856"/>
      <c r="AC188" s="856"/>
      <c r="AD188" s="856"/>
      <c r="AE188" s="857"/>
    </row>
    <row r="189" spans="1:31" x14ac:dyDescent="0.25">
      <c r="A189" s="399">
        <v>178</v>
      </c>
      <c r="B189" s="850"/>
      <c r="C189" s="850"/>
      <c r="D189" s="850"/>
      <c r="E189" s="850"/>
      <c r="F189" s="858"/>
      <c r="G189" s="850"/>
      <c r="H189" s="850"/>
      <c r="I189" s="850"/>
      <c r="J189" s="850"/>
      <c r="K189" s="852"/>
      <c r="L189" s="850"/>
      <c r="M189" s="850"/>
      <c r="N189" s="850"/>
      <c r="O189" s="850"/>
      <c r="P189" s="853"/>
      <c r="Q189" s="850"/>
      <c r="R189" s="850"/>
      <c r="S189" s="850"/>
      <c r="T189" s="850"/>
      <c r="U189" s="854"/>
      <c r="V189" s="850"/>
      <c r="W189" s="850"/>
      <c r="X189" s="850"/>
      <c r="Y189" s="850"/>
      <c r="Z189" s="855"/>
      <c r="AA189" s="856"/>
      <c r="AB189" s="856"/>
      <c r="AC189" s="856"/>
      <c r="AD189" s="856"/>
      <c r="AE189" s="857"/>
    </row>
    <row r="190" spans="1:31" x14ac:dyDescent="0.25">
      <c r="A190" s="399">
        <v>179</v>
      </c>
      <c r="B190" s="850"/>
      <c r="C190" s="850"/>
      <c r="D190" s="850"/>
      <c r="E190" s="850"/>
      <c r="F190" s="858"/>
      <c r="G190" s="850"/>
      <c r="H190" s="850"/>
      <c r="I190" s="850"/>
      <c r="J190" s="850"/>
      <c r="K190" s="852"/>
      <c r="L190" s="850"/>
      <c r="M190" s="850"/>
      <c r="N190" s="850"/>
      <c r="O190" s="850"/>
      <c r="P190" s="853"/>
      <c r="Q190" s="850"/>
      <c r="R190" s="850"/>
      <c r="S190" s="850"/>
      <c r="T190" s="850"/>
      <c r="U190" s="854"/>
      <c r="V190" s="850"/>
      <c r="W190" s="850"/>
      <c r="X190" s="850"/>
      <c r="Y190" s="850"/>
      <c r="Z190" s="855"/>
      <c r="AA190" s="856"/>
      <c r="AB190" s="856"/>
      <c r="AC190" s="856"/>
      <c r="AD190" s="856"/>
      <c r="AE190" s="857"/>
    </row>
    <row r="191" spans="1:31" x14ac:dyDescent="0.25">
      <c r="A191" s="399">
        <v>180</v>
      </c>
      <c r="B191" s="850"/>
      <c r="C191" s="850"/>
      <c r="D191" s="850"/>
      <c r="E191" s="850"/>
      <c r="F191" s="858"/>
      <c r="G191" s="850"/>
      <c r="H191" s="850"/>
      <c r="I191" s="850"/>
      <c r="J191" s="850"/>
      <c r="K191" s="852"/>
      <c r="L191" s="850"/>
      <c r="M191" s="850"/>
      <c r="N191" s="850"/>
      <c r="O191" s="850"/>
      <c r="P191" s="853"/>
      <c r="Q191" s="850"/>
      <c r="R191" s="850"/>
      <c r="S191" s="850"/>
      <c r="T191" s="850"/>
      <c r="U191" s="854"/>
      <c r="V191" s="850"/>
      <c r="W191" s="850"/>
      <c r="X191" s="850"/>
      <c r="Y191" s="850"/>
      <c r="Z191" s="855"/>
      <c r="AA191" s="856"/>
      <c r="AB191" s="856"/>
      <c r="AC191" s="856"/>
      <c r="AD191" s="856"/>
      <c r="AE191" s="857"/>
    </row>
    <row r="192" spans="1:31" x14ac:dyDescent="0.25">
      <c r="A192" s="399">
        <v>181</v>
      </c>
      <c r="B192" s="850"/>
      <c r="C192" s="850"/>
      <c r="D192" s="850"/>
      <c r="E192" s="850"/>
      <c r="F192" s="858"/>
      <c r="G192" s="850"/>
      <c r="H192" s="850"/>
      <c r="I192" s="850"/>
      <c r="J192" s="850"/>
      <c r="K192" s="852"/>
      <c r="L192" s="850"/>
      <c r="M192" s="850"/>
      <c r="N192" s="850"/>
      <c r="O192" s="850"/>
      <c r="P192" s="853"/>
      <c r="Q192" s="850"/>
      <c r="R192" s="850"/>
      <c r="S192" s="850"/>
      <c r="T192" s="850"/>
      <c r="U192" s="854"/>
      <c r="V192" s="850"/>
      <c r="W192" s="850"/>
      <c r="X192" s="850"/>
      <c r="Y192" s="850"/>
      <c r="Z192" s="855"/>
      <c r="AA192" s="856"/>
      <c r="AB192" s="856"/>
      <c r="AC192" s="856"/>
      <c r="AD192" s="856"/>
      <c r="AE192" s="857"/>
    </row>
    <row r="193" spans="1:31" x14ac:dyDescent="0.25">
      <c r="A193" s="399">
        <v>182</v>
      </c>
      <c r="B193" s="850"/>
      <c r="C193" s="850"/>
      <c r="D193" s="850"/>
      <c r="E193" s="850"/>
      <c r="F193" s="858"/>
      <c r="G193" s="850"/>
      <c r="H193" s="850"/>
      <c r="I193" s="850"/>
      <c r="J193" s="850"/>
      <c r="K193" s="852"/>
      <c r="L193" s="850"/>
      <c r="M193" s="850"/>
      <c r="N193" s="850"/>
      <c r="O193" s="850"/>
      <c r="P193" s="853"/>
      <c r="Q193" s="850"/>
      <c r="R193" s="850"/>
      <c r="S193" s="850"/>
      <c r="T193" s="850"/>
      <c r="U193" s="854"/>
      <c r="V193" s="850"/>
      <c r="W193" s="850"/>
      <c r="X193" s="850"/>
      <c r="Y193" s="850"/>
      <c r="Z193" s="855"/>
      <c r="AA193" s="856"/>
      <c r="AB193" s="856"/>
      <c r="AC193" s="856"/>
      <c r="AD193" s="856"/>
      <c r="AE193" s="857"/>
    </row>
    <row r="194" spans="1:31" x14ac:dyDescent="0.25">
      <c r="A194" s="399">
        <v>183</v>
      </c>
      <c r="B194" s="850"/>
      <c r="C194" s="850"/>
      <c r="D194" s="850"/>
      <c r="E194" s="850"/>
      <c r="F194" s="858"/>
      <c r="G194" s="850"/>
      <c r="H194" s="850"/>
      <c r="I194" s="850"/>
      <c r="J194" s="850"/>
      <c r="K194" s="852"/>
      <c r="L194" s="850"/>
      <c r="M194" s="850"/>
      <c r="N194" s="850"/>
      <c r="O194" s="850"/>
      <c r="P194" s="853"/>
      <c r="Q194" s="850"/>
      <c r="R194" s="850"/>
      <c r="S194" s="850"/>
      <c r="T194" s="850"/>
      <c r="U194" s="854"/>
      <c r="V194" s="850"/>
      <c r="W194" s="850"/>
      <c r="X194" s="850"/>
      <c r="Y194" s="850"/>
      <c r="Z194" s="855"/>
      <c r="AA194" s="856"/>
      <c r="AB194" s="856"/>
      <c r="AC194" s="856"/>
      <c r="AD194" s="856"/>
      <c r="AE194" s="857"/>
    </row>
    <row r="195" spans="1:31" x14ac:dyDescent="0.25">
      <c r="A195" s="399">
        <v>184</v>
      </c>
      <c r="B195" s="850"/>
      <c r="C195" s="850"/>
      <c r="D195" s="850"/>
      <c r="E195" s="850"/>
      <c r="F195" s="858"/>
      <c r="G195" s="850"/>
      <c r="H195" s="850"/>
      <c r="I195" s="850"/>
      <c r="J195" s="850"/>
      <c r="K195" s="852"/>
      <c r="L195" s="850"/>
      <c r="M195" s="850"/>
      <c r="N195" s="850"/>
      <c r="O195" s="850"/>
      <c r="P195" s="853"/>
      <c r="Q195" s="850"/>
      <c r="R195" s="850"/>
      <c r="S195" s="850"/>
      <c r="T195" s="850"/>
      <c r="U195" s="854"/>
      <c r="V195" s="850"/>
      <c r="W195" s="850"/>
      <c r="X195" s="850"/>
      <c r="Y195" s="850"/>
      <c r="Z195" s="855"/>
      <c r="AA195" s="856"/>
      <c r="AB195" s="856"/>
      <c r="AC195" s="856"/>
      <c r="AD195" s="856"/>
      <c r="AE195" s="857"/>
    </row>
    <row r="196" spans="1:31" x14ac:dyDescent="0.25">
      <c r="A196" s="399">
        <v>185</v>
      </c>
      <c r="B196" s="850"/>
      <c r="C196" s="850"/>
      <c r="D196" s="850"/>
      <c r="E196" s="850"/>
      <c r="F196" s="858"/>
      <c r="G196" s="850"/>
      <c r="H196" s="850"/>
      <c r="I196" s="850"/>
      <c r="J196" s="850"/>
      <c r="K196" s="852"/>
      <c r="L196" s="850"/>
      <c r="M196" s="850"/>
      <c r="N196" s="850"/>
      <c r="O196" s="850"/>
      <c r="P196" s="853"/>
      <c r="Q196" s="850"/>
      <c r="R196" s="850"/>
      <c r="S196" s="850"/>
      <c r="T196" s="850"/>
      <c r="U196" s="854"/>
      <c r="V196" s="850"/>
      <c r="W196" s="850"/>
      <c r="X196" s="850"/>
      <c r="Y196" s="850"/>
      <c r="Z196" s="855"/>
      <c r="AA196" s="856"/>
      <c r="AB196" s="856"/>
      <c r="AC196" s="856"/>
      <c r="AD196" s="856"/>
      <c r="AE196" s="857"/>
    </row>
    <row r="197" spans="1:31" x14ac:dyDescent="0.25">
      <c r="A197" s="399">
        <v>186</v>
      </c>
      <c r="B197" s="850"/>
      <c r="C197" s="850"/>
      <c r="D197" s="850"/>
      <c r="E197" s="850"/>
      <c r="F197" s="858"/>
      <c r="G197" s="850"/>
      <c r="H197" s="850"/>
      <c r="I197" s="850"/>
      <c r="J197" s="850"/>
      <c r="K197" s="852"/>
      <c r="L197" s="850"/>
      <c r="M197" s="850"/>
      <c r="N197" s="850"/>
      <c r="O197" s="850"/>
      <c r="P197" s="853"/>
      <c r="Q197" s="850"/>
      <c r="R197" s="850"/>
      <c r="S197" s="850"/>
      <c r="T197" s="850"/>
      <c r="U197" s="854"/>
      <c r="V197" s="850"/>
      <c r="W197" s="850"/>
      <c r="X197" s="850"/>
      <c r="Y197" s="850"/>
      <c r="Z197" s="855"/>
      <c r="AA197" s="856"/>
      <c r="AB197" s="856"/>
      <c r="AC197" s="856"/>
      <c r="AD197" s="856"/>
      <c r="AE197" s="857"/>
    </row>
    <row r="198" spans="1:31" x14ac:dyDescent="0.25">
      <c r="A198" s="399">
        <v>187</v>
      </c>
      <c r="B198" s="850"/>
      <c r="C198" s="850"/>
      <c r="D198" s="850"/>
      <c r="E198" s="850"/>
      <c r="F198" s="858"/>
      <c r="G198" s="850"/>
      <c r="H198" s="850"/>
      <c r="I198" s="850"/>
      <c r="J198" s="850"/>
      <c r="K198" s="852"/>
      <c r="L198" s="850"/>
      <c r="M198" s="850"/>
      <c r="N198" s="850"/>
      <c r="O198" s="850"/>
      <c r="P198" s="853"/>
      <c r="Q198" s="850"/>
      <c r="R198" s="850"/>
      <c r="S198" s="850"/>
      <c r="T198" s="850"/>
      <c r="U198" s="854"/>
      <c r="V198" s="850"/>
      <c r="W198" s="850"/>
      <c r="X198" s="850"/>
      <c r="Y198" s="850"/>
      <c r="Z198" s="855"/>
      <c r="AA198" s="856"/>
      <c r="AB198" s="856"/>
      <c r="AC198" s="856"/>
      <c r="AD198" s="856"/>
      <c r="AE198" s="857"/>
    </row>
    <row r="199" spans="1:31" x14ac:dyDescent="0.25">
      <c r="A199" s="399">
        <v>188</v>
      </c>
      <c r="B199" s="850"/>
      <c r="C199" s="850"/>
      <c r="D199" s="850"/>
      <c r="E199" s="850"/>
      <c r="F199" s="858"/>
      <c r="G199" s="850"/>
      <c r="H199" s="850"/>
      <c r="I199" s="850"/>
      <c r="J199" s="850"/>
      <c r="K199" s="852"/>
      <c r="L199" s="850"/>
      <c r="M199" s="850"/>
      <c r="N199" s="850"/>
      <c r="O199" s="850"/>
      <c r="P199" s="853"/>
      <c r="Q199" s="850"/>
      <c r="R199" s="850"/>
      <c r="S199" s="850"/>
      <c r="T199" s="850"/>
      <c r="U199" s="854"/>
      <c r="V199" s="850"/>
      <c r="W199" s="850"/>
      <c r="X199" s="850"/>
      <c r="Y199" s="850"/>
      <c r="Z199" s="855"/>
      <c r="AA199" s="856"/>
      <c r="AB199" s="856"/>
      <c r="AC199" s="856"/>
      <c r="AD199" s="856"/>
      <c r="AE199" s="857"/>
    </row>
    <row r="200" spans="1:31" x14ac:dyDescent="0.25">
      <c r="A200" s="399">
        <v>189</v>
      </c>
      <c r="B200" s="850"/>
      <c r="C200" s="850"/>
      <c r="D200" s="850"/>
      <c r="E200" s="850"/>
      <c r="F200" s="858"/>
      <c r="G200" s="850"/>
      <c r="H200" s="850"/>
      <c r="I200" s="850"/>
      <c r="J200" s="850"/>
      <c r="K200" s="852"/>
      <c r="L200" s="850"/>
      <c r="M200" s="850"/>
      <c r="N200" s="850"/>
      <c r="O200" s="850"/>
      <c r="P200" s="853"/>
      <c r="Q200" s="850"/>
      <c r="R200" s="850"/>
      <c r="S200" s="850"/>
      <c r="T200" s="850"/>
      <c r="U200" s="854"/>
      <c r="V200" s="850"/>
      <c r="W200" s="850"/>
      <c r="X200" s="850"/>
      <c r="Y200" s="850"/>
      <c r="Z200" s="855"/>
      <c r="AA200" s="856"/>
      <c r="AB200" s="856"/>
      <c r="AC200" s="856"/>
      <c r="AD200" s="856"/>
      <c r="AE200" s="857"/>
    </row>
    <row r="201" spans="1:31" x14ac:dyDescent="0.25">
      <c r="A201" s="399">
        <v>190</v>
      </c>
      <c r="B201" s="850"/>
      <c r="C201" s="850"/>
      <c r="D201" s="850"/>
      <c r="E201" s="850"/>
      <c r="F201" s="858"/>
      <c r="G201" s="850"/>
      <c r="H201" s="850"/>
      <c r="I201" s="850"/>
      <c r="J201" s="850"/>
      <c r="K201" s="852"/>
      <c r="L201" s="850"/>
      <c r="M201" s="850"/>
      <c r="N201" s="850"/>
      <c r="O201" s="850"/>
      <c r="P201" s="853"/>
      <c r="Q201" s="850"/>
      <c r="R201" s="850"/>
      <c r="S201" s="850"/>
      <c r="T201" s="850"/>
      <c r="U201" s="854"/>
      <c r="V201" s="850"/>
      <c r="W201" s="850"/>
      <c r="X201" s="850"/>
      <c r="Y201" s="850"/>
      <c r="Z201" s="855"/>
      <c r="AA201" s="856"/>
      <c r="AB201" s="856"/>
      <c r="AC201" s="856"/>
      <c r="AD201" s="856"/>
      <c r="AE201" s="857"/>
    </row>
    <row r="202" spans="1:31" x14ac:dyDescent="0.25">
      <c r="A202" s="399">
        <v>191</v>
      </c>
      <c r="B202" s="850"/>
      <c r="C202" s="850"/>
      <c r="D202" s="850"/>
      <c r="E202" s="850"/>
      <c r="F202" s="858"/>
      <c r="G202" s="850"/>
      <c r="H202" s="850"/>
      <c r="I202" s="850"/>
      <c r="J202" s="850"/>
      <c r="K202" s="852"/>
      <c r="L202" s="850"/>
      <c r="M202" s="850"/>
      <c r="N202" s="850"/>
      <c r="O202" s="850"/>
      <c r="P202" s="853"/>
      <c r="Q202" s="850"/>
      <c r="R202" s="850"/>
      <c r="S202" s="850"/>
      <c r="T202" s="850"/>
      <c r="U202" s="854"/>
      <c r="V202" s="850"/>
      <c r="W202" s="850"/>
      <c r="X202" s="850"/>
      <c r="Y202" s="850"/>
      <c r="Z202" s="855"/>
      <c r="AA202" s="856"/>
      <c r="AB202" s="856"/>
      <c r="AC202" s="856"/>
      <c r="AD202" s="856"/>
      <c r="AE202" s="857"/>
    </row>
    <row r="203" spans="1:31" x14ac:dyDescent="0.25">
      <c r="A203" s="399">
        <v>192</v>
      </c>
      <c r="B203" s="850"/>
      <c r="C203" s="850"/>
      <c r="D203" s="850"/>
      <c r="E203" s="850"/>
      <c r="F203" s="858"/>
      <c r="G203" s="850"/>
      <c r="H203" s="850"/>
      <c r="I203" s="850"/>
      <c r="J203" s="850"/>
      <c r="K203" s="852"/>
      <c r="L203" s="850"/>
      <c r="M203" s="850"/>
      <c r="N203" s="850"/>
      <c r="O203" s="850"/>
      <c r="P203" s="853"/>
      <c r="Q203" s="850"/>
      <c r="R203" s="850"/>
      <c r="S203" s="850"/>
      <c r="T203" s="850"/>
      <c r="U203" s="854"/>
      <c r="V203" s="850"/>
      <c r="W203" s="850"/>
      <c r="X203" s="850"/>
      <c r="Y203" s="850"/>
      <c r="Z203" s="855"/>
      <c r="AA203" s="856"/>
      <c r="AB203" s="856"/>
      <c r="AC203" s="856"/>
      <c r="AD203" s="856"/>
      <c r="AE203" s="857"/>
    </row>
    <row r="204" spans="1:31" x14ac:dyDescent="0.25">
      <c r="A204" s="399">
        <v>193</v>
      </c>
      <c r="B204" s="850"/>
      <c r="C204" s="850"/>
      <c r="D204" s="850"/>
      <c r="E204" s="850"/>
      <c r="F204" s="858"/>
      <c r="G204" s="850"/>
      <c r="H204" s="850"/>
      <c r="I204" s="850"/>
      <c r="J204" s="850"/>
      <c r="K204" s="852"/>
      <c r="L204" s="850"/>
      <c r="M204" s="850"/>
      <c r="N204" s="850"/>
      <c r="O204" s="850"/>
      <c r="P204" s="853"/>
      <c r="Q204" s="850"/>
      <c r="R204" s="850"/>
      <c r="S204" s="850"/>
      <c r="T204" s="850"/>
      <c r="U204" s="854"/>
      <c r="V204" s="850"/>
      <c r="W204" s="850"/>
      <c r="X204" s="850"/>
      <c r="Y204" s="850"/>
      <c r="Z204" s="855"/>
      <c r="AA204" s="856"/>
      <c r="AB204" s="856"/>
      <c r="AC204" s="856"/>
      <c r="AD204" s="856"/>
      <c r="AE204" s="857"/>
    </row>
    <row r="205" spans="1:31" x14ac:dyDescent="0.25">
      <c r="A205" s="399">
        <v>194</v>
      </c>
      <c r="B205" s="850"/>
      <c r="C205" s="850"/>
      <c r="D205" s="850"/>
      <c r="E205" s="850"/>
      <c r="F205" s="858"/>
      <c r="G205" s="850"/>
      <c r="H205" s="850"/>
      <c r="I205" s="850"/>
      <c r="J205" s="850"/>
      <c r="K205" s="852"/>
      <c r="L205" s="850"/>
      <c r="M205" s="850"/>
      <c r="N205" s="850"/>
      <c r="O205" s="850"/>
      <c r="P205" s="853"/>
      <c r="Q205" s="850"/>
      <c r="R205" s="850"/>
      <c r="S205" s="850"/>
      <c r="T205" s="850"/>
      <c r="U205" s="854"/>
      <c r="V205" s="850"/>
      <c r="W205" s="850"/>
      <c r="X205" s="850"/>
      <c r="Y205" s="850"/>
      <c r="Z205" s="855"/>
      <c r="AA205" s="856"/>
      <c r="AB205" s="856"/>
      <c r="AC205" s="856"/>
      <c r="AD205" s="856"/>
      <c r="AE205" s="857"/>
    </row>
    <row r="206" spans="1:31" x14ac:dyDescent="0.25">
      <c r="A206" s="399">
        <v>195</v>
      </c>
      <c r="B206" s="850"/>
      <c r="C206" s="850"/>
      <c r="D206" s="850"/>
      <c r="E206" s="850"/>
      <c r="F206" s="858"/>
      <c r="G206" s="850"/>
      <c r="H206" s="850"/>
      <c r="I206" s="850"/>
      <c r="J206" s="850"/>
      <c r="K206" s="852"/>
      <c r="L206" s="850"/>
      <c r="M206" s="850"/>
      <c r="N206" s="850"/>
      <c r="O206" s="850"/>
      <c r="P206" s="853"/>
      <c r="Q206" s="850"/>
      <c r="R206" s="850"/>
      <c r="S206" s="850"/>
      <c r="T206" s="850"/>
      <c r="U206" s="854"/>
      <c r="V206" s="850"/>
      <c r="W206" s="850"/>
      <c r="X206" s="850"/>
      <c r="Y206" s="850"/>
      <c r="Z206" s="855"/>
      <c r="AA206" s="856"/>
      <c r="AB206" s="856"/>
      <c r="AC206" s="856"/>
      <c r="AD206" s="856"/>
      <c r="AE206" s="857"/>
    </row>
    <row r="207" spans="1:31" x14ac:dyDescent="0.25">
      <c r="A207" s="399">
        <v>196</v>
      </c>
      <c r="B207" s="850"/>
      <c r="C207" s="850"/>
      <c r="D207" s="850"/>
      <c r="E207" s="850"/>
      <c r="F207" s="858"/>
      <c r="G207" s="850"/>
      <c r="H207" s="850"/>
      <c r="I207" s="850"/>
      <c r="J207" s="850"/>
      <c r="K207" s="852"/>
      <c r="L207" s="850"/>
      <c r="M207" s="850"/>
      <c r="N207" s="850"/>
      <c r="O207" s="850"/>
      <c r="P207" s="853"/>
      <c r="Q207" s="850"/>
      <c r="R207" s="850"/>
      <c r="S207" s="850"/>
      <c r="T207" s="850"/>
      <c r="U207" s="854"/>
      <c r="V207" s="850"/>
      <c r="W207" s="850"/>
      <c r="X207" s="850"/>
      <c r="Y207" s="850"/>
      <c r="Z207" s="855"/>
      <c r="AA207" s="856"/>
      <c r="AB207" s="856"/>
      <c r="AC207" s="856"/>
      <c r="AD207" s="856"/>
      <c r="AE207" s="857"/>
    </row>
    <row r="208" spans="1:31" x14ac:dyDescent="0.25">
      <c r="A208" s="399">
        <v>197</v>
      </c>
      <c r="B208" s="850"/>
      <c r="C208" s="850"/>
      <c r="D208" s="850"/>
      <c r="E208" s="850"/>
      <c r="F208" s="858"/>
      <c r="G208" s="850"/>
      <c r="H208" s="850"/>
      <c r="I208" s="850"/>
      <c r="J208" s="850"/>
      <c r="K208" s="852"/>
      <c r="L208" s="850"/>
      <c r="M208" s="850"/>
      <c r="N208" s="850"/>
      <c r="O208" s="850"/>
      <c r="P208" s="853"/>
      <c r="Q208" s="850"/>
      <c r="R208" s="850"/>
      <c r="S208" s="850"/>
      <c r="T208" s="850"/>
      <c r="U208" s="854"/>
      <c r="V208" s="850"/>
      <c r="W208" s="850"/>
      <c r="X208" s="850"/>
      <c r="Y208" s="850"/>
      <c r="Z208" s="855"/>
      <c r="AA208" s="856"/>
      <c r="AB208" s="856"/>
      <c r="AC208" s="856"/>
      <c r="AD208" s="856"/>
      <c r="AE208" s="857"/>
    </row>
    <row r="209" spans="1:31" x14ac:dyDescent="0.25">
      <c r="A209" s="399">
        <v>198</v>
      </c>
      <c r="B209" s="850"/>
      <c r="C209" s="850"/>
      <c r="D209" s="850"/>
      <c r="E209" s="850"/>
      <c r="F209" s="858"/>
      <c r="G209" s="850"/>
      <c r="H209" s="850"/>
      <c r="I209" s="850"/>
      <c r="J209" s="850"/>
      <c r="K209" s="852"/>
      <c r="L209" s="850"/>
      <c r="M209" s="850"/>
      <c r="N209" s="850"/>
      <c r="O209" s="850"/>
      <c r="P209" s="853"/>
      <c r="Q209" s="850"/>
      <c r="R209" s="850"/>
      <c r="S209" s="850"/>
      <c r="T209" s="850"/>
      <c r="U209" s="854"/>
      <c r="V209" s="850"/>
      <c r="W209" s="850"/>
      <c r="X209" s="850"/>
      <c r="Y209" s="850"/>
      <c r="Z209" s="855"/>
      <c r="AA209" s="856"/>
      <c r="AB209" s="856"/>
      <c r="AC209" s="856"/>
      <c r="AD209" s="856"/>
      <c r="AE209" s="857"/>
    </row>
    <row r="210" spans="1:31" x14ac:dyDescent="0.25">
      <c r="A210" s="399">
        <v>199</v>
      </c>
      <c r="B210" s="850"/>
      <c r="C210" s="850"/>
      <c r="D210" s="850"/>
      <c r="E210" s="850"/>
      <c r="F210" s="858"/>
      <c r="G210" s="850"/>
      <c r="H210" s="850"/>
      <c r="I210" s="850"/>
      <c r="J210" s="850"/>
      <c r="K210" s="852"/>
      <c r="L210" s="850"/>
      <c r="M210" s="850"/>
      <c r="N210" s="850"/>
      <c r="O210" s="850"/>
      <c r="P210" s="853"/>
      <c r="Q210" s="850"/>
      <c r="R210" s="850"/>
      <c r="S210" s="850"/>
      <c r="T210" s="850"/>
      <c r="U210" s="854"/>
      <c r="V210" s="850"/>
      <c r="W210" s="850"/>
      <c r="X210" s="850"/>
      <c r="Y210" s="850"/>
      <c r="Z210" s="855"/>
      <c r="AA210" s="856"/>
      <c r="AB210" s="856"/>
      <c r="AC210" s="856"/>
      <c r="AD210" s="856"/>
      <c r="AE210" s="857"/>
    </row>
    <row r="211" spans="1:31" x14ac:dyDescent="0.25">
      <c r="A211" s="399">
        <v>200</v>
      </c>
      <c r="B211" s="850"/>
      <c r="C211" s="850"/>
      <c r="D211" s="850"/>
      <c r="E211" s="850"/>
      <c r="F211" s="858"/>
      <c r="G211" s="850"/>
      <c r="H211" s="850"/>
      <c r="I211" s="850"/>
      <c r="J211" s="850"/>
      <c r="K211" s="852"/>
      <c r="L211" s="850"/>
      <c r="M211" s="850"/>
      <c r="N211" s="850"/>
      <c r="O211" s="850"/>
      <c r="P211" s="853"/>
      <c r="Q211" s="850"/>
      <c r="R211" s="850"/>
      <c r="S211" s="850"/>
      <c r="T211" s="850"/>
      <c r="U211" s="854"/>
      <c r="V211" s="850"/>
      <c r="W211" s="850"/>
      <c r="X211" s="850"/>
      <c r="Y211" s="850"/>
      <c r="Z211" s="855"/>
      <c r="AA211" s="856"/>
      <c r="AB211" s="856"/>
      <c r="AC211" s="856"/>
      <c r="AD211" s="856"/>
      <c r="AE211" s="857"/>
    </row>
    <row r="212" spans="1:31" x14ac:dyDescent="0.25">
      <c r="A212" s="399">
        <v>201</v>
      </c>
      <c r="B212" s="850"/>
      <c r="C212" s="850"/>
      <c r="D212" s="850"/>
      <c r="E212" s="850"/>
      <c r="F212" s="858"/>
      <c r="G212" s="850"/>
      <c r="H212" s="850"/>
      <c r="I212" s="850"/>
      <c r="J212" s="850"/>
      <c r="K212" s="852"/>
      <c r="L212" s="850"/>
      <c r="M212" s="850"/>
      <c r="N212" s="850"/>
      <c r="O212" s="850"/>
      <c r="P212" s="853"/>
      <c r="Q212" s="850"/>
      <c r="R212" s="850"/>
      <c r="S212" s="850"/>
      <c r="T212" s="850"/>
      <c r="U212" s="854"/>
      <c r="V212" s="850"/>
      <c r="W212" s="850"/>
      <c r="X212" s="850"/>
      <c r="Y212" s="850"/>
      <c r="Z212" s="855"/>
      <c r="AA212" s="856"/>
      <c r="AB212" s="856"/>
      <c r="AC212" s="856"/>
      <c r="AD212" s="856"/>
      <c r="AE212" s="857"/>
    </row>
    <row r="213" spans="1:31" x14ac:dyDescent="0.25">
      <c r="A213" s="399">
        <v>202</v>
      </c>
      <c r="B213" s="850"/>
      <c r="C213" s="850"/>
      <c r="D213" s="850"/>
      <c r="E213" s="850"/>
      <c r="F213" s="858"/>
      <c r="G213" s="850"/>
      <c r="H213" s="850"/>
      <c r="I213" s="850"/>
      <c r="J213" s="850"/>
      <c r="K213" s="852"/>
      <c r="L213" s="850"/>
      <c r="M213" s="850"/>
      <c r="N213" s="850"/>
      <c r="O213" s="850"/>
      <c r="P213" s="853"/>
      <c r="Q213" s="850"/>
      <c r="R213" s="850"/>
      <c r="S213" s="850"/>
      <c r="T213" s="850"/>
      <c r="U213" s="854"/>
      <c r="V213" s="850"/>
      <c r="W213" s="850"/>
      <c r="X213" s="850"/>
      <c r="Y213" s="850"/>
      <c r="Z213" s="855"/>
      <c r="AA213" s="856"/>
      <c r="AB213" s="856"/>
      <c r="AC213" s="856"/>
      <c r="AD213" s="856"/>
      <c r="AE213" s="857"/>
    </row>
    <row r="214" spans="1:31" x14ac:dyDescent="0.25">
      <c r="A214" s="399">
        <v>203</v>
      </c>
      <c r="B214" s="850"/>
      <c r="C214" s="850"/>
      <c r="D214" s="850"/>
      <c r="E214" s="850"/>
      <c r="F214" s="858"/>
      <c r="G214" s="850"/>
      <c r="H214" s="850"/>
      <c r="I214" s="850"/>
      <c r="J214" s="850"/>
      <c r="K214" s="852"/>
      <c r="L214" s="850"/>
      <c r="M214" s="850"/>
      <c r="N214" s="850"/>
      <c r="O214" s="850"/>
      <c r="P214" s="853"/>
      <c r="Q214" s="850"/>
      <c r="R214" s="850"/>
      <c r="S214" s="850"/>
      <c r="T214" s="850"/>
      <c r="U214" s="854"/>
      <c r="V214" s="850"/>
      <c r="W214" s="850"/>
      <c r="X214" s="850"/>
      <c r="Y214" s="850"/>
      <c r="Z214" s="855"/>
      <c r="AA214" s="856"/>
      <c r="AB214" s="856"/>
      <c r="AC214" s="856"/>
      <c r="AD214" s="856"/>
      <c r="AE214" s="857"/>
    </row>
    <row r="215" spans="1:31" x14ac:dyDescent="0.25">
      <c r="A215" s="399">
        <v>204</v>
      </c>
      <c r="B215" s="850"/>
      <c r="C215" s="850"/>
      <c r="D215" s="850"/>
      <c r="E215" s="850"/>
      <c r="F215" s="858"/>
      <c r="G215" s="850"/>
      <c r="H215" s="850"/>
      <c r="I215" s="850"/>
      <c r="J215" s="850"/>
      <c r="K215" s="852"/>
      <c r="L215" s="850"/>
      <c r="M215" s="850"/>
      <c r="N215" s="850"/>
      <c r="O215" s="850"/>
      <c r="P215" s="853"/>
      <c r="Q215" s="850"/>
      <c r="R215" s="850"/>
      <c r="S215" s="850"/>
      <c r="T215" s="850"/>
      <c r="U215" s="854"/>
      <c r="V215" s="850"/>
      <c r="W215" s="850"/>
      <c r="X215" s="850"/>
      <c r="Y215" s="850"/>
      <c r="Z215" s="855"/>
      <c r="AA215" s="856"/>
      <c r="AB215" s="856"/>
      <c r="AC215" s="856"/>
      <c r="AD215" s="856"/>
      <c r="AE215" s="857"/>
    </row>
    <row r="216" spans="1:31" x14ac:dyDescent="0.25">
      <c r="A216" s="399">
        <v>205</v>
      </c>
      <c r="B216" s="850"/>
      <c r="C216" s="850"/>
      <c r="D216" s="850"/>
      <c r="E216" s="850"/>
      <c r="F216" s="858"/>
      <c r="G216" s="850"/>
      <c r="H216" s="850"/>
      <c r="I216" s="850"/>
      <c r="J216" s="850"/>
      <c r="K216" s="852"/>
      <c r="L216" s="850"/>
      <c r="M216" s="850"/>
      <c r="N216" s="850"/>
      <c r="O216" s="850"/>
      <c r="P216" s="853"/>
      <c r="Q216" s="850"/>
      <c r="R216" s="850"/>
      <c r="S216" s="850"/>
      <c r="T216" s="850"/>
      <c r="U216" s="854"/>
      <c r="V216" s="850"/>
      <c r="W216" s="850"/>
      <c r="X216" s="850"/>
      <c r="Y216" s="850"/>
      <c r="Z216" s="855"/>
      <c r="AA216" s="856"/>
      <c r="AB216" s="856"/>
      <c r="AC216" s="856"/>
      <c r="AD216" s="856"/>
      <c r="AE216" s="857"/>
    </row>
    <row r="217" spans="1:31" x14ac:dyDescent="0.25">
      <c r="A217" s="399">
        <v>206</v>
      </c>
      <c r="B217" s="850"/>
      <c r="C217" s="850"/>
      <c r="D217" s="850"/>
      <c r="E217" s="850"/>
      <c r="F217" s="858"/>
      <c r="G217" s="850"/>
      <c r="H217" s="850"/>
      <c r="I217" s="850"/>
      <c r="J217" s="850"/>
      <c r="K217" s="852"/>
      <c r="L217" s="850"/>
      <c r="M217" s="850"/>
      <c r="N217" s="850"/>
      <c r="O217" s="850"/>
      <c r="P217" s="853"/>
      <c r="Q217" s="850"/>
      <c r="R217" s="850"/>
      <c r="S217" s="850"/>
      <c r="T217" s="850"/>
      <c r="U217" s="854"/>
      <c r="V217" s="850"/>
      <c r="W217" s="850"/>
      <c r="X217" s="850"/>
      <c r="Y217" s="850"/>
      <c r="Z217" s="855"/>
      <c r="AA217" s="856"/>
      <c r="AB217" s="856"/>
      <c r="AC217" s="856"/>
      <c r="AD217" s="856"/>
      <c r="AE217" s="857"/>
    </row>
    <row r="218" spans="1:31" x14ac:dyDescent="0.25">
      <c r="A218" s="399">
        <v>207</v>
      </c>
      <c r="B218" s="850"/>
      <c r="C218" s="850"/>
      <c r="D218" s="850"/>
      <c r="E218" s="850"/>
      <c r="F218" s="858"/>
      <c r="G218" s="850"/>
      <c r="H218" s="850"/>
      <c r="I218" s="850"/>
      <c r="J218" s="850"/>
      <c r="K218" s="852"/>
      <c r="L218" s="850"/>
      <c r="M218" s="850"/>
      <c r="N218" s="850"/>
      <c r="O218" s="850"/>
      <c r="P218" s="853"/>
      <c r="Q218" s="850"/>
      <c r="R218" s="850"/>
      <c r="S218" s="850"/>
      <c r="T218" s="850"/>
      <c r="U218" s="854"/>
      <c r="V218" s="850"/>
      <c r="W218" s="850"/>
      <c r="X218" s="850"/>
      <c r="Y218" s="850"/>
      <c r="Z218" s="855"/>
      <c r="AA218" s="856"/>
      <c r="AB218" s="856"/>
      <c r="AC218" s="856"/>
      <c r="AD218" s="856"/>
      <c r="AE218" s="857"/>
    </row>
    <row r="219" spans="1:31" x14ac:dyDescent="0.25">
      <c r="A219" s="399">
        <v>208</v>
      </c>
      <c r="B219" s="850"/>
      <c r="C219" s="850"/>
      <c r="D219" s="850"/>
      <c r="E219" s="850"/>
      <c r="F219" s="858"/>
      <c r="G219" s="850"/>
      <c r="H219" s="850"/>
      <c r="I219" s="850"/>
      <c r="J219" s="850"/>
      <c r="K219" s="852"/>
      <c r="L219" s="850"/>
      <c r="M219" s="850"/>
      <c r="N219" s="850"/>
      <c r="O219" s="850"/>
      <c r="P219" s="853"/>
      <c r="Q219" s="850"/>
      <c r="R219" s="850"/>
      <c r="S219" s="850"/>
      <c r="T219" s="850"/>
      <c r="U219" s="854"/>
      <c r="V219" s="850"/>
      <c r="W219" s="850"/>
      <c r="X219" s="850"/>
      <c r="Y219" s="850"/>
      <c r="Z219" s="855"/>
      <c r="AA219" s="856"/>
      <c r="AB219" s="856"/>
      <c r="AC219" s="856"/>
      <c r="AD219" s="856"/>
      <c r="AE219" s="857"/>
    </row>
    <row r="220" spans="1:31" x14ac:dyDescent="0.25">
      <c r="A220" s="399">
        <v>209</v>
      </c>
      <c r="B220" s="850"/>
      <c r="C220" s="850"/>
      <c r="D220" s="850"/>
      <c r="E220" s="850"/>
      <c r="F220" s="858"/>
      <c r="G220" s="850"/>
      <c r="H220" s="850"/>
      <c r="I220" s="850"/>
      <c r="J220" s="850"/>
      <c r="K220" s="852"/>
      <c r="L220" s="850"/>
      <c r="M220" s="850"/>
      <c r="N220" s="850"/>
      <c r="O220" s="850"/>
      <c r="P220" s="853"/>
      <c r="Q220" s="850"/>
      <c r="R220" s="850"/>
      <c r="S220" s="850"/>
      <c r="T220" s="850"/>
      <c r="U220" s="854"/>
      <c r="V220" s="850"/>
      <c r="W220" s="850"/>
      <c r="X220" s="850"/>
      <c r="Y220" s="850"/>
      <c r="Z220" s="855"/>
      <c r="AA220" s="856"/>
      <c r="AB220" s="856"/>
      <c r="AC220" s="856"/>
      <c r="AD220" s="856"/>
      <c r="AE220" s="857"/>
    </row>
    <row r="221" spans="1:31" x14ac:dyDescent="0.25">
      <c r="A221" s="399">
        <v>210</v>
      </c>
      <c r="B221" s="850"/>
      <c r="C221" s="850"/>
      <c r="D221" s="850"/>
      <c r="E221" s="850"/>
      <c r="F221" s="858"/>
      <c r="G221" s="850"/>
      <c r="H221" s="850"/>
      <c r="I221" s="850"/>
      <c r="J221" s="850"/>
      <c r="K221" s="852"/>
      <c r="L221" s="850"/>
      <c r="M221" s="850"/>
      <c r="N221" s="850"/>
      <c r="O221" s="850"/>
      <c r="P221" s="853"/>
      <c r="Q221" s="850"/>
      <c r="R221" s="850"/>
      <c r="S221" s="850"/>
      <c r="T221" s="850"/>
      <c r="U221" s="854"/>
      <c r="V221" s="850"/>
      <c r="W221" s="850"/>
      <c r="X221" s="850"/>
      <c r="Y221" s="850"/>
      <c r="Z221" s="855"/>
      <c r="AA221" s="856"/>
      <c r="AB221" s="856"/>
      <c r="AC221" s="856"/>
      <c r="AD221" s="856"/>
      <c r="AE221" s="857"/>
    </row>
    <row r="222" spans="1:31" x14ac:dyDescent="0.25">
      <c r="A222" s="399">
        <v>211</v>
      </c>
      <c r="B222" s="850"/>
      <c r="C222" s="850"/>
      <c r="D222" s="850"/>
      <c r="E222" s="850"/>
      <c r="F222" s="858"/>
      <c r="G222" s="850"/>
      <c r="H222" s="850"/>
      <c r="I222" s="850"/>
      <c r="J222" s="850"/>
      <c r="K222" s="852"/>
      <c r="L222" s="850"/>
      <c r="M222" s="850"/>
      <c r="N222" s="850"/>
      <c r="O222" s="850"/>
      <c r="P222" s="853"/>
      <c r="Q222" s="850"/>
      <c r="R222" s="850"/>
      <c r="S222" s="850"/>
      <c r="T222" s="850"/>
      <c r="U222" s="854"/>
      <c r="V222" s="850"/>
      <c r="W222" s="850"/>
      <c r="X222" s="850"/>
      <c r="Y222" s="850"/>
      <c r="Z222" s="855"/>
      <c r="AA222" s="856"/>
      <c r="AB222" s="856"/>
      <c r="AC222" s="856"/>
      <c r="AD222" s="856"/>
      <c r="AE222" s="857"/>
    </row>
    <row r="223" spans="1:31" x14ac:dyDescent="0.25">
      <c r="A223" s="399">
        <v>212</v>
      </c>
      <c r="B223" s="850"/>
      <c r="C223" s="850"/>
      <c r="D223" s="850"/>
      <c r="E223" s="850"/>
      <c r="F223" s="858"/>
      <c r="G223" s="850"/>
      <c r="H223" s="850"/>
      <c r="I223" s="850"/>
      <c r="J223" s="850"/>
      <c r="K223" s="852"/>
      <c r="L223" s="850"/>
      <c r="M223" s="850"/>
      <c r="N223" s="850"/>
      <c r="O223" s="850"/>
      <c r="P223" s="853"/>
      <c r="Q223" s="850"/>
      <c r="R223" s="850"/>
      <c r="S223" s="850"/>
      <c r="T223" s="850"/>
      <c r="U223" s="854"/>
      <c r="V223" s="850"/>
      <c r="W223" s="850"/>
      <c r="X223" s="850"/>
      <c r="Y223" s="850"/>
      <c r="Z223" s="855"/>
      <c r="AA223" s="856"/>
      <c r="AB223" s="856"/>
      <c r="AC223" s="856"/>
      <c r="AD223" s="856"/>
      <c r="AE223" s="857"/>
    </row>
    <row r="224" spans="1:31" x14ac:dyDescent="0.25">
      <c r="A224" s="399">
        <v>213</v>
      </c>
      <c r="B224" s="850"/>
      <c r="C224" s="850"/>
      <c r="D224" s="850"/>
      <c r="E224" s="850"/>
      <c r="F224" s="858"/>
      <c r="G224" s="850"/>
      <c r="H224" s="850"/>
      <c r="I224" s="850"/>
      <c r="J224" s="850"/>
      <c r="K224" s="852"/>
      <c r="L224" s="850"/>
      <c r="M224" s="850"/>
      <c r="N224" s="850"/>
      <c r="O224" s="850"/>
      <c r="P224" s="853"/>
      <c r="Q224" s="850"/>
      <c r="R224" s="850"/>
      <c r="S224" s="850"/>
      <c r="T224" s="850"/>
      <c r="U224" s="854"/>
      <c r="V224" s="850"/>
      <c r="W224" s="850"/>
      <c r="X224" s="850"/>
      <c r="Y224" s="850"/>
      <c r="Z224" s="855"/>
      <c r="AA224" s="856"/>
      <c r="AB224" s="856"/>
      <c r="AC224" s="856"/>
      <c r="AD224" s="856"/>
      <c r="AE224" s="857"/>
    </row>
    <row r="225" spans="1:31" x14ac:dyDescent="0.25">
      <c r="A225" s="399">
        <v>214</v>
      </c>
      <c r="B225" s="850"/>
      <c r="C225" s="850"/>
      <c r="D225" s="850"/>
      <c r="E225" s="850"/>
      <c r="F225" s="858"/>
      <c r="G225" s="850"/>
      <c r="H225" s="850"/>
      <c r="I225" s="850"/>
      <c r="J225" s="850"/>
      <c r="K225" s="852"/>
      <c r="L225" s="850"/>
      <c r="M225" s="850"/>
      <c r="N225" s="850"/>
      <c r="O225" s="850"/>
      <c r="P225" s="853"/>
      <c r="Q225" s="850"/>
      <c r="R225" s="850"/>
      <c r="S225" s="850"/>
      <c r="T225" s="850"/>
      <c r="U225" s="854"/>
      <c r="V225" s="850"/>
      <c r="W225" s="850"/>
      <c r="X225" s="850"/>
      <c r="Y225" s="850"/>
      <c r="Z225" s="855"/>
      <c r="AA225" s="856"/>
      <c r="AB225" s="856"/>
      <c r="AC225" s="856"/>
      <c r="AD225" s="856"/>
      <c r="AE225" s="857"/>
    </row>
    <row r="226" spans="1:31" x14ac:dyDescent="0.25">
      <c r="A226" s="399">
        <v>215</v>
      </c>
      <c r="B226" s="850"/>
      <c r="C226" s="850"/>
      <c r="D226" s="850"/>
      <c r="E226" s="850"/>
      <c r="F226" s="858"/>
      <c r="G226" s="850"/>
      <c r="H226" s="850"/>
      <c r="I226" s="850"/>
      <c r="J226" s="850"/>
      <c r="K226" s="852"/>
      <c r="L226" s="850"/>
      <c r="M226" s="850"/>
      <c r="N226" s="850"/>
      <c r="O226" s="850"/>
      <c r="P226" s="853"/>
      <c r="Q226" s="850"/>
      <c r="R226" s="850"/>
      <c r="S226" s="850"/>
      <c r="T226" s="850"/>
      <c r="U226" s="854"/>
      <c r="V226" s="850"/>
      <c r="W226" s="850"/>
      <c r="X226" s="850"/>
      <c r="Y226" s="850"/>
      <c r="Z226" s="855"/>
      <c r="AA226" s="856"/>
      <c r="AB226" s="856"/>
      <c r="AC226" s="856"/>
      <c r="AD226" s="856"/>
      <c r="AE226" s="857"/>
    </row>
    <row r="227" spans="1:31" x14ac:dyDescent="0.25">
      <c r="A227" s="399">
        <v>216</v>
      </c>
      <c r="B227" s="850"/>
      <c r="C227" s="850"/>
      <c r="D227" s="850"/>
      <c r="E227" s="850"/>
      <c r="F227" s="858"/>
      <c r="G227" s="850"/>
      <c r="H227" s="850"/>
      <c r="I227" s="850"/>
      <c r="J227" s="850"/>
      <c r="K227" s="852"/>
      <c r="L227" s="850"/>
      <c r="M227" s="850"/>
      <c r="N227" s="850"/>
      <c r="O227" s="850"/>
      <c r="P227" s="853"/>
      <c r="Q227" s="850"/>
      <c r="R227" s="850"/>
      <c r="S227" s="850"/>
      <c r="T227" s="850"/>
      <c r="U227" s="854"/>
      <c r="V227" s="850"/>
      <c r="W227" s="850"/>
      <c r="X227" s="850"/>
      <c r="Y227" s="850"/>
      <c r="Z227" s="855"/>
      <c r="AA227" s="856"/>
      <c r="AB227" s="856"/>
      <c r="AC227" s="856"/>
      <c r="AD227" s="856"/>
      <c r="AE227" s="857"/>
    </row>
    <row r="228" spans="1:31" x14ac:dyDescent="0.25">
      <c r="A228" s="399">
        <v>217</v>
      </c>
      <c r="B228" s="850"/>
      <c r="C228" s="850"/>
      <c r="D228" s="850"/>
      <c r="E228" s="850"/>
      <c r="F228" s="858"/>
      <c r="G228" s="850"/>
      <c r="H228" s="850"/>
      <c r="I228" s="850"/>
      <c r="J228" s="850"/>
      <c r="K228" s="852"/>
      <c r="L228" s="850"/>
      <c r="M228" s="850"/>
      <c r="N228" s="850"/>
      <c r="O228" s="850"/>
      <c r="P228" s="853"/>
      <c r="Q228" s="850"/>
      <c r="R228" s="850"/>
      <c r="S228" s="850"/>
      <c r="T228" s="850"/>
      <c r="U228" s="854"/>
      <c r="V228" s="850"/>
      <c r="W228" s="850"/>
      <c r="X228" s="850"/>
      <c r="Y228" s="850"/>
      <c r="Z228" s="855"/>
      <c r="AA228" s="856"/>
      <c r="AB228" s="856"/>
      <c r="AC228" s="856"/>
      <c r="AD228" s="856"/>
      <c r="AE228" s="857"/>
    </row>
    <row r="229" spans="1:31" x14ac:dyDescent="0.25">
      <c r="A229" s="399">
        <v>218</v>
      </c>
      <c r="B229" s="850"/>
      <c r="C229" s="850"/>
      <c r="D229" s="850"/>
      <c r="E229" s="850"/>
      <c r="F229" s="858"/>
      <c r="G229" s="850"/>
      <c r="H229" s="850"/>
      <c r="I229" s="850"/>
      <c r="J229" s="850"/>
      <c r="K229" s="852"/>
      <c r="L229" s="850"/>
      <c r="M229" s="850"/>
      <c r="N229" s="850"/>
      <c r="O229" s="850"/>
      <c r="P229" s="853"/>
      <c r="Q229" s="850"/>
      <c r="R229" s="850"/>
      <c r="S229" s="850"/>
      <c r="T229" s="850"/>
      <c r="U229" s="854"/>
      <c r="V229" s="850"/>
      <c r="W229" s="850"/>
      <c r="X229" s="850"/>
      <c r="Y229" s="850"/>
      <c r="Z229" s="855"/>
      <c r="AA229" s="856"/>
      <c r="AB229" s="856"/>
      <c r="AC229" s="856"/>
      <c r="AD229" s="856"/>
      <c r="AE229" s="857"/>
    </row>
    <row r="230" spans="1:31" x14ac:dyDescent="0.25">
      <c r="A230" s="399">
        <v>219</v>
      </c>
      <c r="B230" s="850"/>
      <c r="C230" s="850"/>
      <c r="D230" s="850"/>
      <c r="E230" s="850"/>
      <c r="F230" s="858"/>
      <c r="G230" s="850"/>
      <c r="H230" s="850"/>
      <c r="I230" s="850"/>
      <c r="J230" s="850"/>
      <c r="K230" s="852"/>
      <c r="L230" s="850"/>
      <c r="M230" s="850"/>
      <c r="N230" s="850"/>
      <c r="O230" s="850"/>
      <c r="P230" s="853"/>
      <c r="Q230" s="850"/>
      <c r="R230" s="850"/>
      <c r="S230" s="850"/>
      <c r="T230" s="850"/>
      <c r="U230" s="854"/>
      <c r="V230" s="850"/>
      <c r="W230" s="850"/>
      <c r="X230" s="850"/>
      <c r="Y230" s="850"/>
      <c r="Z230" s="855"/>
      <c r="AA230" s="856"/>
      <c r="AB230" s="856"/>
      <c r="AC230" s="856"/>
      <c r="AD230" s="856"/>
      <c r="AE230" s="857"/>
    </row>
    <row r="231" spans="1:31" x14ac:dyDescent="0.25">
      <c r="A231" s="399">
        <v>220</v>
      </c>
      <c r="B231" s="850"/>
      <c r="C231" s="850"/>
      <c r="D231" s="850"/>
      <c r="E231" s="850"/>
      <c r="F231" s="858"/>
      <c r="G231" s="850"/>
      <c r="H231" s="850"/>
      <c r="I231" s="850"/>
      <c r="J231" s="850"/>
      <c r="K231" s="852"/>
      <c r="L231" s="850"/>
      <c r="M231" s="850"/>
      <c r="N231" s="850"/>
      <c r="O231" s="850"/>
      <c r="P231" s="853"/>
      <c r="Q231" s="850"/>
      <c r="R231" s="850"/>
      <c r="S231" s="850"/>
      <c r="T231" s="850"/>
      <c r="U231" s="854"/>
      <c r="V231" s="850"/>
      <c r="W231" s="850"/>
      <c r="X231" s="850"/>
      <c r="Y231" s="850"/>
      <c r="Z231" s="855"/>
      <c r="AA231" s="856"/>
      <c r="AB231" s="856"/>
      <c r="AC231" s="856"/>
      <c r="AD231" s="856"/>
      <c r="AE231" s="857"/>
    </row>
    <row r="232" spans="1:31" x14ac:dyDescent="0.25">
      <c r="A232" s="399">
        <v>221</v>
      </c>
      <c r="B232" s="850"/>
      <c r="C232" s="850"/>
      <c r="D232" s="850"/>
      <c r="E232" s="850"/>
      <c r="F232" s="858"/>
      <c r="G232" s="850"/>
      <c r="H232" s="850"/>
      <c r="I232" s="850"/>
      <c r="J232" s="850"/>
      <c r="K232" s="852"/>
      <c r="L232" s="850"/>
      <c r="M232" s="850"/>
      <c r="N232" s="850"/>
      <c r="O232" s="850"/>
      <c r="P232" s="853"/>
      <c r="Q232" s="850"/>
      <c r="R232" s="850"/>
      <c r="S232" s="850"/>
      <c r="T232" s="850"/>
      <c r="U232" s="854"/>
      <c r="V232" s="850"/>
      <c r="W232" s="850"/>
      <c r="X232" s="850"/>
      <c r="Y232" s="850"/>
      <c r="Z232" s="855"/>
      <c r="AA232" s="856"/>
      <c r="AB232" s="856"/>
      <c r="AC232" s="856"/>
      <c r="AD232" s="856"/>
      <c r="AE232" s="857"/>
    </row>
    <row r="233" spans="1:31" x14ac:dyDescent="0.25">
      <c r="A233" s="399">
        <v>222</v>
      </c>
      <c r="B233" s="850"/>
      <c r="C233" s="850"/>
      <c r="D233" s="850"/>
      <c r="E233" s="850"/>
      <c r="F233" s="858"/>
      <c r="G233" s="850"/>
      <c r="H233" s="850"/>
      <c r="I233" s="850"/>
      <c r="J233" s="850"/>
      <c r="K233" s="852"/>
      <c r="L233" s="850"/>
      <c r="M233" s="850"/>
      <c r="N233" s="850"/>
      <c r="O233" s="850"/>
      <c r="P233" s="853"/>
      <c r="Q233" s="850"/>
      <c r="R233" s="850"/>
      <c r="S233" s="850"/>
      <c r="T233" s="850"/>
      <c r="U233" s="854"/>
      <c r="V233" s="850"/>
      <c r="W233" s="850"/>
      <c r="X233" s="850"/>
      <c r="Y233" s="850"/>
      <c r="Z233" s="855"/>
      <c r="AA233" s="856"/>
      <c r="AB233" s="856"/>
      <c r="AC233" s="856"/>
      <c r="AD233" s="856"/>
      <c r="AE233" s="857"/>
    </row>
    <row r="234" spans="1:31" x14ac:dyDescent="0.25">
      <c r="A234" s="399">
        <v>223</v>
      </c>
      <c r="B234" s="850"/>
      <c r="C234" s="850"/>
      <c r="D234" s="850"/>
      <c r="E234" s="850"/>
      <c r="F234" s="858"/>
      <c r="G234" s="850"/>
      <c r="H234" s="850"/>
      <c r="I234" s="850"/>
      <c r="J234" s="850"/>
      <c r="K234" s="852"/>
      <c r="L234" s="850"/>
      <c r="M234" s="850"/>
      <c r="N234" s="850"/>
      <c r="O234" s="850"/>
      <c r="P234" s="853"/>
      <c r="Q234" s="850"/>
      <c r="R234" s="850"/>
      <c r="S234" s="850"/>
      <c r="T234" s="850"/>
      <c r="U234" s="854"/>
      <c r="V234" s="850"/>
      <c r="W234" s="850"/>
      <c r="X234" s="850"/>
      <c r="Y234" s="850"/>
      <c r="Z234" s="855"/>
      <c r="AA234" s="856"/>
      <c r="AB234" s="856"/>
      <c r="AC234" s="856"/>
      <c r="AD234" s="856"/>
      <c r="AE234" s="857"/>
    </row>
    <row r="235" spans="1:31" x14ac:dyDescent="0.25">
      <c r="A235" s="399">
        <v>224</v>
      </c>
      <c r="B235" s="850"/>
      <c r="C235" s="850"/>
      <c r="D235" s="850"/>
      <c r="E235" s="850"/>
      <c r="F235" s="858"/>
      <c r="G235" s="850"/>
      <c r="H235" s="850"/>
      <c r="I235" s="850"/>
      <c r="J235" s="850"/>
      <c r="K235" s="852"/>
      <c r="L235" s="850"/>
      <c r="M235" s="850"/>
      <c r="N235" s="850"/>
      <c r="O235" s="850"/>
      <c r="P235" s="853"/>
      <c r="Q235" s="850"/>
      <c r="R235" s="850"/>
      <c r="S235" s="850"/>
      <c r="T235" s="850"/>
      <c r="U235" s="854"/>
      <c r="V235" s="850"/>
      <c r="W235" s="850"/>
      <c r="X235" s="850"/>
      <c r="Y235" s="850"/>
      <c r="Z235" s="855"/>
      <c r="AA235" s="856"/>
      <c r="AB235" s="856"/>
      <c r="AC235" s="856"/>
      <c r="AD235" s="856"/>
      <c r="AE235" s="857"/>
    </row>
    <row r="236" spans="1:31" x14ac:dyDescent="0.25">
      <c r="A236" s="399">
        <v>225</v>
      </c>
      <c r="B236" s="850"/>
      <c r="C236" s="850"/>
      <c r="D236" s="850"/>
      <c r="E236" s="850"/>
      <c r="F236" s="858"/>
      <c r="G236" s="850"/>
      <c r="H236" s="850"/>
      <c r="I236" s="850"/>
      <c r="J236" s="850"/>
      <c r="K236" s="852"/>
      <c r="L236" s="850"/>
      <c r="M236" s="850"/>
      <c r="N236" s="850"/>
      <c r="O236" s="850"/>
      <c r="P236" s="853"/>
      <c r="Q236" s="850"/>
      <c r="R236" s="850"/>
      <c r="S236" s="850"/>
      <c r="T236" s="850"/>
      <c r="U236" s="854"/>
      <c r="V236" s="850"/>
      <c r="W236" s="850"/>
      <c r="X236" s="850"/>
      <c r="Y236" s="850"/>
      <c r="Z236" s="855"/>
      <c r="AA236" s="856"/>
      <c r="AB236" s="856"/>
      <c r="AC236" s="856"/>
      <c r="AD236" s="856"/>
      <c r="AE236" s="857"/>
    </row>
    <row r="237" spans="1:31" x14ac:dyDescent="0.25">
      <c r="A237" s="399">
        <v>226</v>
      </c>
      <c r="B237" s="850"/>
      <c r="C237" s="850"/>
      <c r="D237" s="850"/>
      <c r="E237" s="850"/>
      <c r="F237" s="858"/>
      <c r="G237" s="850"/>
      <c r="H237" s="850"/>
      <c r="I237" s="850"/>
      <c r="J237" s="850"/>
      <c r="K237" s="852"/>
      <c r="L237" s="850"/>
      <c r="M237" s="850"/>
      <c r="N237" s="850"/>
      <c r="O237" s="850"/>
      <c r="P237" s="853"/>
      <c r="Q237" s="850"/>
      <c r="R237" s="850"/>
      <c r="S237" s="850"/>
      <c r="T237" s="850"/>
      <c r="U237" s="854"/>
      <c r="V237" s="850"/>
      <c r="W237" s="850"/>
      <c r="X237" s="850"/>
      <c r="Y237" s="850"/>
      <c r="Z237" s="855"/>
      <c r="AA237" s="856"/>
      <c r="AB237" s="856"/>
      <c r="AC237" s="856"/>
      <c r="AD237" s="856"/>
      <c r="AE237" s="857"/>
    </row>
    <row r="238" spans="1:31" x14ac:dyDescent="0.25">
      <c r="A238" s="399">
        <v>227</v>
      </c>
      <c r="B238" s="850"/>
      <c r="C238" s="850"/>
      <c r="D238" s="850"/>
      <c r="E238" s="850"/>
      <c r="F238" s="858"/>
      <c r="G238" s="850"/>
      <c r="H238" s="850"/>
      <c r="I238" s="850"/>
      <c r="J238" s="850"/>
      <c r="K238" s="852"/>
      <c r="L238" s="850"/>
      <c r="M238" s="850"/>
      <c r="N238" s="850"/>
      <c r="O238" s="850"/>
      <c r="P238" s="853"/>
      <c r="Q238" s="850"/>
      <c r="R238" s="850"/>
      <c r="S238" s="850"/>
      <c r="T238" s="850"/>
      <c r="U238" s="854"/>
      <c r="V238" s="850"/>
      <c r="W238" s="850"/>
      <c r="X238" s="850"/>
      <c r="Y238" s="850"/>
      <c r="Z238" s="855"/>
      <c r="AA238" s="856"/>
      <c r="AB238" s="856"/>
      <c r="AC238" s="856"/>
      <c r="AD238" s="856"/>
      <c r="AE238" s="857"/>
    </row>
    <row r="239" spans="1:31" x14ac:dyDescent="0.25">
      <c r="A239" s="399">
        <v>228</v>
      </c>
      <c r="B239" s="850"/>
      <c r="C239" s="850"/>
      <c r="D239" s="850"/>
      <c r="E239" s="850"/>
      <c r="F239" s="858"/>
      <c r="G239" s="850"/>
      <c r="H239" s="850"/>
      <c r="I239" s="850"/>
      <c r="J239" s="850"/>
      <c r="K239" s="852"/>
      <c r="L239" s="850"/>
      <c r="M239" s="850"/>
      <c r="N239" s="850"/>
      <c r="O239" s="850"/>
      <c r="P239" s="853"/>
      <c r="Q239" s="850"/>
      <c r="R239" s="850"/>
      <c r="S239" s="850"/>
      <c r="T239" s="850"/>
      <c r="U239" s="854"/>
      <c r="V239" s="850"/>
      <c r="W239" s="850"/>
      <c r="X239" s="850"/>
      <c r="Y239" s="850"/>
      <c r="Z239" s="855"/>
      <c r="AA239" s="856"/>
      <c r="AB239" s="856"/>
      <c r="AC239" s="856"/>
      <c r="AD239" s="856"/>
      <c r="AE239" s="857"/>
    </row>
    <row r="240" spans="1:31" x14ac:dyDescent="0.25">
      <c r="A240" s="399">
        <v>229</v>
      </c>
      <c r="B240" s="850"/>
      <c r="C240" s="850"/>
      <c r="D240" s="850"/>
      <c r="E240" s="850"/>
      <c r="F240" s="858"/>
      <c r="G240" s="850"/>
      <c r="H240" s="850"/>
      <c r="I240" s="850"/>
      <c r="J240" s="850"/>
      <c r="K240" s="852"/>
      <c r="L240" s="850"/>
      <c r="M240" s="850"/>
      <c r="N240" s="850"/>
      <c r="O240" s="850"/>
      <c r="P240" s="853"/>
      <c r="Q240" s="850"/>
      <c r="R240" s="850"/>
      <c r="S240" s="850"/>
      <c r="T240" s="850"/>
      <c r="U240" s="854"/>
      <c r="V240" s="850"/>
      <c r="W240" s="850"/>
      <c r="X240" s="850"/>
      <c r="Y240" s="850"/>
      <c r="Z240" s="855"/>
      <c r="AA240" s="856"/>
      <c r="AB240" s="856"/>
      <c r="AC240" s="856"/>
      <c r="AD240" s="856"/>
      <c r="AE240" s="857"/>
    </row>
    <row r="241" spans="1:31" x14ac:dyDescent="0.25">
      <c r="A241" s="399">
        <v>230</v>
      </c>
      <c r="B241" s="850"/>
      <c r="C241" s="850"/>
      <c r="D241" s="850"/>
      <c r="E241" s="850"/>
      <c r="F241" s="858"/>
      <c r="G241" s="850"/>
      <c r="H241" s="850"/>
      <c r="I241" s="850"/>
      <c r="J241" s="850"/>
      <c r="K241" s="852"/>
      <c r="L241" s="850"/>
      <c r="M241" s="850"/>
      <c r="N241" s="850"/>
      <c r="O241" s="850"/>
      <c r="P241" s="853"/>
      <c r="Q241" s="850"/>
      <c r="R241" s="850"/>
      <c r="S241" s="850"/>
      <c r="T241" s="850"/>
      <c r="U241" s="854"/>
      <c r="V241" s="850"/>
      <c r="W241" s="850"/>
      <c r="X241" s="850"/>
      <c r="Y241" s="850"/>
      <c r="Z241" s="855"/>
      <c r="AA241" s="856"/>
      <c r="AB241" s="856"/>
      <c r="AC241" s="856"/>
      <c r="AD241" s="856"/>
      <c r="AE241" s="857"/>
    </row>
    <row r="242" spans="1:31" x14ac:dyDescent="0.25">
      <c r="A242" s="399">
        <v>231</v>
      </c>
      <c r="B242" s="850"/>
      <c r="C242" s="850"/>
      <c r="D242" s="850"/>
      <c r="E242" s="850"/>
      <c r="F242" s="858"/>
      <c r="G242" s="850"/>
      <c r="H242" s="850"/>
      <c r="I242" s="850"/>
      <c r="J242" s="850"/>
      <c r="K242" s="852"/>
      <c r="L242" s="850"/>
      <c r="M242" s="850"/>
      <c r="N242" s="850"/>
      <c r="O242" s="850"/>
      <c r="P242" s="853"/>
      <c r="Q242" s="850"/>
      <c r="R242" s="850"/>
      <c r="S242" s="850"/>
      <c r="T242" s="850"/>
      <c r="U242" s="854"/>
      <c r="V242" s="850"/>
      <c r="W242" s="850"/>
      <c r="X242" s="850"/>
      <c r="Y242" s="850"/>
      <c r="Z242" s="855"/>
      <c r="AA242" s="856"/>
      <c r="AB242" s="856"/>
      <c r="AC242" s="856"/>
      <c r="AD242" s="856"/>
      <c r="AE242" s="857"/>
    </row>
    <row r="243" spans="1:31" x14ac:dyDescent="0.25">
      <c r="A243" s="399">
        <v>232</v>
      </c>
      <c r="B243" s="850"/>
      <c r="C243" s="850"/>
      <c r="D243" s="850"/>
      <c r="E243" s="850"/>
      <c r="F243" s="858"/>
      <c r="G243" s="850"/>
      <c r="H243" s="850"/>
      <c r="I243" s="850"/>
      <c r="J243" s="850"/>
      <c r="K243" s="852"/>
      <c r="L243" s="850"/>
      <c r="M243" s="850"/>
      <c r="N243" s="850"/>
      <c r="O243" s="850"/>
      <c r="P243" s="853"/>
      <c r="Q243" s="850"/>
      <c r="R243" s="850"/>
      <c r="S243" s="850"/>
      <c r="T243" s="850"/>
      <c r="U243" s="854"/>
      <c r="V243" s="850"/>
      <c r="W243" s="850"/>
      <c r="X243" s="850"/>
      <c r="Y243" s="850"/>
      <c r="Z243" s="855"/>
      <c r="AA243" s="856"/>
      <c r="AB243" s="856"/>
      <c r="AC243" s="856"/>
      <c r="AD243" s="856"/>
      <c r="AE243" s="857"/>
    </row>
    <row r="244" spans="1:31" x14ac:dyDescent="0.25">
      <c r="A244" s="399">
        <v>233</v>
      </c>
      <c r="B244" s="850"/>
      <c r="C244" s="850"/>
      <c r="D244" s="850"/>
      <c r="E244" s="850"/>
      <c r="F244" s="858"/>
      <c r="G244" s="850"/>
      <c r="H244" s="850"/>
      <c r="I244" s="850"/>
      <c r="J244" s="850"/>
      <c r="K244" s="852"/>
      <c r="L244" s="850"/>
      <c r="M244" s="850"/>
      <c r="N244" s="850"/>
      <c r="O244" s="850"/>
      <c r="P244" s="853"/>
      <c r="Q244" s="850"/>
      <c r="R244" s="850"/>
      <c r="S244" s="850"/>
      <c r="T244" s="850"/>
      <c r="U244" s="854"/>
      <c r="V244" s="850"/>
      <c r="W244" s="850"/>
      <c r="X244" s="850"/>
      <c r="Y244" s="850"/>
      <c r="Z244" s="855"/>
      <c r="AA244" s="856"/>
      <c r="AB244" s="856"/>
      <c r="AC244" s="856"/>
      <c r="AD244" s="856"/>
      <c r="AE244" s="857"/>
    </row>
    <row r="245" spans="1:31" x14ac:dyDescent="0.25">
      <c r="A245" s="399">
        <v>234</v>
      </c>
      <c r="B245" s="850"/>
      <c r="C245" s="850"/>
      <c r="D245" s="850"/>
      <c r="E245" s="850"/>
      <c r="F245" s="858"/>
      <c r="G245" s="850"/>
      <c r="H245" s="850"/>
      <c r="I245" s="850"/>
      <c r="J245" s="850"/>
      <c r="K245" s="852"/>
      <c r="L245" s="850"/>
      <c r="M245" s="850"/>
      <c r="N245" s="850"/>
      <c r="O245" s="850"/>
      <c r="P245" s="853"/>
      <c r="Q245" s="850"/>
      <c r="R245" s="850"/>
      <c r="S245" s="850"/>
      <c r="T245" s="850"/>
      <c r="U245" s="854"/>
      <c r="V245" s="850"/>
      <c r="W245" s="850"/>
      <c r="X245" s="850"/>
      <c r="Y245" s="850"/>
      <c r="Z245" s="855"/>
      <c r="AA245" s="856"/>
      <c r="AB245" s="856"/>
      <c r="AC245" s="856"/>
      <c r="AD245" s="856"/>
      <c r="AE245" s="857"/>
    </row>
    <row r="246" spans="1:31" x14ac:dyDescent="0.25">
      <c r="A246" s="399">
        <v>235</v>
      </c>
      <c r="B246" s="850"/>
      <c r="C246" s="850"/>
      <c r="D246" s="850"/>
      <c r="E246" s="850"/>
      <c r="F246" s="858"/>
      <c r="G246" s="850"/>
      <c r="H246" s="850"/>
      <c r="I246" s="850"/>
      <c r="J246" s="850"/>
      <c r="K246" s="852"/>
      <c r="L246" s="850"/>
      <c r="M246" s="850"/>
      <c r="N246" s="850"/>
      <c r="O246" s="850"/>
      <c r="P246" s="853"/>
      <c r="Q246" s="850"/>
      <c r="R246" s="850"/>
      <c r="S246" s="850"/>
      <c r="T246" s="850"/>
      <c r="U246" s="854"/>
      <c r="V246" s="850"/>
      <c r="W246" s="850"/>
      <c r="X246" s="850"/>
      <c r="Y246" s="850"/>
      <c r="Z246" s="855"/>
      <c r="AA246" s="856"/>
      <c r="AB246" s="856"/>
      <c r="AC246" s="856"/>
      <c r="AD246" s="856"/>
      <c r="AE246" s="857"/>
    </row>
    <row r="247" spans="1:31" x14ac:dyDescent="0.25">
      <c r="A247" s="399">
        <v>236</v>
      </c>
      <c r="B247" s="850"/>
      <c r="C247" s="850"/>
      <c r="D247" s="850"/>
      <c r="E247" s="850"/>
      <c r="F247" s="858"/>
      <c r="G247" s="850"/>
      <c r="H247" s="850"/>
      <c r="I247" s="850"/>
      <c r="J247" s="850"/>
      <c r="K247" s="852"/>
      <c r="L247" s="850"/>
      <c r="M247" s="850"/>
      <c r="N247" s="850"/>
      <c r="O247" s="850"/>
      <c r="P247" s="853"/>
      <c r="Q247" s="850"/>
      <c r="R247" s="850"/>
      <c r="S247" s="850"/>
      <c r="T247" s="850"/>
      <c r="U247" s="854"/>
      <c r="V247" s="850"/>
      <c r="W247" s="850"/>
      <c r="X247" s="850"/>
      <c r="Y247" s="850"/>
      <c r="Z247" s="855"/>
      <c r="AA247" s="856"/>
      <c r="AB247" s="856"/>
      <c r="AC247" s="856"/>
      <c r="AD247" s="856"/>
      <c r="AE247" s="857"/>
    </row>
    <row r="248" spans="1:31" x14ac:dyDescent="0.25">
      <c r="A248" s="399">
        <v>237</v>
      </c>
      <c r="B248" s="850"/>
      <c r="C248" s="850"/>
      <c r="D248" s="850"/>
      <c r="E248" s="850"/>
      <c r="F248" s="858"/>
      <c r="G248" s="850"/>
      <c r="H248" s="850"/>
      <c r="I248" s="850"/>
      <c r="J248" s="850"/>
      <c r="K248" s="852"/>
      <c r="L248" s="850"/>
      <c r="M248" s="850"/>
      <c r="N248" s="850"/>
      <c r="O248" s="850"/>
      <c r="P248" s="853"/>
      <c r="Q248" s="850"/>
      <c r="R248" s="850"/>
      <c r="S248" s="850"/>
      <c r="T248" s="850"/>
      <c r="U248" s="854"/>
      <c r="V248" s="850"/>
      <c r="W248" s="850"/>
      <c r="X248" s="850"/>
      <c r="Y248" s="850"/>
      <c r="Z248" s="855"/>
      <c r="AA248" s="856"/>
      <c r="AB248" s="856"/>
      <c r="AC248" s="856"/>
      <c r="AD248" s="856"/>
      <c r="AE248" s="857"/>
    </row>
    <row r="249" spans="1:31" x14ac:dyDescent="0.25">
      <c r="A249" s="399">
        <v>238</v>
      </c>
      <c r="B249" s="850"/>
      <c r="C249" s="850"/>
      <c r="D249" s="850"/>
      <c r="E249" s="850"/>
      <c r="F249" s="858"/>
      <c r="G249" s="850"/>
      <c r="H249" s="850"/>
      <c r="I249" s="850"/>
      <c r="J249" s="850"/>
      <c r="K249" s="852"/>
      <c r="L249" s="850"/>
      <c r="M249" s="850"/>
      <c r="N249" s="850"/>
      <c r="O249" s="850"/>
      <c r="P249" s="853"/>
      <c r="Q249" s="850"/>
      <c r="R249" s="850"/>
      <c r="S249" s="850"/>
      <c r="T249" s="850"/>
      <c r="U249" s="854"/>
      <c r="V249" s="850"/>
      <c r="W249" s="850"/>
      <c r="X249" s="850"/>
      <c r="Y249" s="850"/>
      <c r="Z249" s="855"/>
      <c r="AA249" s="856"/>
      <c r="AB249" s="856"/>
      <c r="AC249" s="856"/>
      <c r="AD249" s="856"/>
      <c r="AE249" s="857"/>
    </row>
    <row r="250" spans="1:31" x14ac:dyDescent="0.25">
      <c r="A250" s="399">
        <v>239</v>
      </c>
      <c r="B250" s="850"/>
      <c r="C250" s="850"/>
      <c r="D250" s="850"/>
      <c r="E250" s="850"/>
      <c r="F250" s="858"/>
      <c r="G250" s="850"/>
      <c r="H250" s="850"/>
      <c r="I250" s="850"/>
      <c r="J250" s="850"/>
      <c r="K250" s="852"/>
      <c r="L250" s="850"/>
      <c r="M250" s="850"/>
      <c r="N250" s="850"/>
      <c r="O250" s="850"/>
      <c r="P250" s="853"/>
      <c r="Q250" s="850"/>
      <c r="R250" s="850"/>
      <c r="S250" s="850"/>
      <c r="T250" s="850"/>
      <c r="U250" s="854"/>
      <c r="V250" s="850"/>
      <c r="W250" s="850"/>
      <c r="X250" s="850"/>
      <c r="Y250" s="850"/>
      <c r="Z250" s="855"/>
      <c r="AA250" s="856"/>
      <c r="AB250" s="856"/>
      <c r="AC250" s="856"/>
      <c r="AD250" s="856"/>
      <c r="AE250" s="857"/>
    </row>
    <row r="251" spans="1:31" x14ac:dyDescent="0.25">
      <c r="A251" s="399">
        <v>240</v>
      </c>
      <c r="B251" s="850"/>
      <c r="C251" s="850"/>
      <c r="D251" s="850"/>
      <c r="E251" s="850"/>
      <c r="F251" s="858"/>
      <c r="G251" s="850"/>
      <c r="H251" s="850"/>
      <c r="I251" s="850"/>
      <c r="J251" s="850"/>
      <c r="K251" s="852"/>
      <c r="L251" s="850"/>
      <c r="M251" s="850"/>
      <c r="N251" s="850"/>
      <c r="O251" s="850"/>
      <c r="P251" s="853"/>
      <c r="Q251" s="850"/>
      <c r="R251" s="850"/>
      <c r="S251" s="850"/>
      <c r="T251" s="850"/>
      <c r="U251" s="854"/>
      <c r="V251" s="850"/>
      <c r="W251" s="850"/>
      <c r="X251" s="850"/>
      <c r="Y251" s="850"/>
      <c r="Z251" s="855"/>
      <c r="AA251" s="856"/>
      <c r="AB251" s="856"/>
      <c r="AC251" s="856"/>
      <c r="AD251" s="856"/>
      <c r="AE251" s="857"/>
    </row>
    <row r="252" spans="1:31" x14ac:dyDescent="0.25">
      <c r="A252" s="399">
        <v>241</v>
      </c>
      <c r="B252" s="850"/>
      <c r="C252" s="850"/>
      <c r="D252" s="850"/>
      <c r="E252" s="850"/>
      <c r="F252" s="858"/>
      <c r="G252" s="850"/>
      <c r="H252" s="850"/>
      <c r="I252" s="850"/>
      <c r="J252" s="850"/>
      <c r="K252" s="852"/>
      <c r="L252" s="850"/>
      <c r="M252" s="850"/>
      <c r="N252" s="850"/>
      <c r="O252" s="850"/>
      <c r="P252" s="853"/>
      <c r="Q252" s="850"/>
      <c r="R252" s="850"/>
      <c r="S252" s="850"/>
      <c r="T252" s="850"/>
      <c r="U252" s="854"/>
      <c r="V252" s="850"/>
      <c r="W252" s="850"/>
      <c r="X252" s="850"/>
      <c r="Y252" s="850"/>
      <c r="Z252" s="855"/>
      <c r="AA252" s="856"/>
      <c r="AB252" s="856"/>
      <c r="AC252" s="856"/>
      <c r="AD252" s="856"/>
      <c r="AE252" s="857"/>
    </row>
    <row r="253" spans="1:31" x14ac:dyDescent="0.25">
      <c r="A253" s="399">
        <v>242</v>
      </c>
      <c r="B253" s="850"/>
      <c r="C253" s="850"/>
      <c r="D253" s="850"/>
      <c r="E253" s="850"/>
      <c r="F253" s="858"/>
      <c r="G253" s="850"/>
      <c r="H253" s="850"/>
      <c r="I253" s="850"/>
      <c r="J253" s="850"/>
      <c r="K253" s="852"/>
      <c r="L253" s="850"/>
      <c r="M253" s="850"/>
      <c r="N253" s="850"/>
      <c r="O253" s="850"/>
      <c r="P253" s="853"/>
      <c r="Q253" s="850"/>
      <c r="R253" s="850"/>
      <c r="S253" s="850"/>
      <c r="T253" s="850"/>
      <c r="U253" s="854"/>
      <c r="V253" s="850"/>
      <c r="W253" s="850"/>
      <c r="X253" s="850"/>
      <c r="Y253" s="850"/>
      <c r="Z253" s="855"/>
      <c r="AA253" s="856"/>
      <c r="AB253" s="856"/>
      <c r="AC253" s="856"/>
      <c r="AD253" s="856"/>
      <c r="AE253" s="857"/>
    </row>
    <row r="254" spans="1:31" x14ac:dyDescent="0.25">
      <c r="A254" s="399">
        <v>243</v>
      </c>
      <c r="B254" s="850"/>
      <c r="C254" s="850"/>
      <c r="D254" s="850"/>
      <c r="E254" s="850"/>
      <c r="F254" s="858"/>
      <c r="G254" s="850"/>
      <c r="H254" s="850"/>
      <c r="I254" s="850"/>
      <c r="J254" s="850"/>
      <c r="K254" s="852"/>
      <c r="L254" s="850"/>
      <c r="M254" s="850"/>
      <c r="N254" s="850"/>
      <c r="O254" s="850"/>
      <c r="P254" s="853"/>
      <c r="Q254" s="850"/>
      <c r="R254" s="850"/>
      <c r="S254" s="850"/>
      <c r="T254" s="850"/>
      <c r="U254" s="854"/>
      <c r="V254" s="850"/>
      <c r="W254" s="850"/>
      <c r="X254" s="850"/>
      <c r="Y254" s="850"/>
      <c r="Z254" s="855"/>
      <c r="AA254" s="856"/>
      <c r="AB254" s="856"/>
      <c r="AC254" s="856"/>
      <c r="AD254" s="856"/>
      <c r="AE254" s="857"/>
    </row>
    <row r="255" spans="1:31" x14ac:dyDescent="0.25">
      <c r="A255" s="399">
        <v>244</v>
      </c>
      <c r="B255" s="850"/>
      <c r="C255" s="850"/>
      <c r="D255" s="850"/>
      <c r="E255" s="850"/>
      <c r="F255" s="858"/>
      <c r="G255" s="850"/>
      <c r="H255" s="850"/>
      <c r="I255" s="850"/>
      <c r="J255" s="850"/>
      <c r="K255" s="852"/>
      <c r="L255" s="850"/>
      <c r="M255" s="850"/>
      <c r="N255" s="850"/>
      <c r="O255" s="850"/>
      <c r="P255" s="853"/>
      <c r="Q255" s="850"/>
      <c r="R255" s="850"/>
      <c r="S255" s="850"/>
      <c r="T255" s="850"/>
      <c r="U255" s="854"/>
      <c r="V255" s="850"/>
      <c r="W255" s="850"/>
      <c r="X255" s="850"/>
      <c r="Y255" s="850"/>
      <c r="Z255" s="855"/>
      <c r="AA255" s="856"/>
      <c r="AB255" s="856"/>
      <c r="AC255" s="856"/>
      <c r="AD255" s="856"/>
      <c r="AE255" s="857"/>
    </row>
    <row r="256" spans="1:31" x14ac:dyDescent="0.25">
      <c r="A256" s="399">
        <v>245</v>
      </c>
      <c r="B256" s="850"/>
      <c r="C256" s="850"/>
      <c r="D256" s="850"/>
      <c r="E256" s="850"/>
      <c r="F256" s="858"/>
      <c r="G256" s="850"/>
      <c r="H256" s="850"/>
      <c r="I256" s="850"/>
      <c r="J256" s="850"/>
      <c r="K256" s="852"/>
      <c r="L256" s="850"/>
      <c r="M256" s="850"/>
      <c r="N256" s="850"/>
      <c r="O256" s="850"/>
      <c r="P256" s="853"/>
      <c r="Q256" s="850"/>
      <c r="R256" s="850"/>
      <c r="S256" s="850"/>
      <c r="T256" s="850"/>
      <c r="U256" s="854"/>
      <c r="V256" s="850"/>
      <c r="W256" s="850"/>
      <c r="X256" s="850"/>
      <c r="Y256" s="850"/>
      <c r="Z256" s="855"/>
      <c r="AA256" s="856"/>
      <c r="AB256" s="856"/>
      <c r="AC256" s="856"/>
      <c r="AD256" s="856"/>
      <c r="AE256" s="857"/>
    </row>
    <row r="257" spans="1:31" x14ac:dyDescent="0.25">
      <c r="A257" s="399">
        <v>246</v>
      </c>
      <c r="B257" s="850"/>
      <c r="C257" s="850"/>
      <c r="D257" s="850"/>
      <c r="E257" s="850"/>
      <c r="F257" s="858"/>
      <c r="G257" s="850"/>
      <c r="H257" s="850"/>
      <c r="I257" s="850"/>
      <c r="J257" s="850"/>
      <c r="K257" s="852"/>
      <c r="L257" s="850"/>
      <c r="M257" s="850"/>
      <c r="N257" s="850"/>
      <c r="O257" s="850"/>
      <c r="P257" s="853"/>
      <c r="Q257" s="850"/>
      <c r="R257" s="850"/>
      <c r="S257" s="850"/>
      <c r="T257" s="850"/>
      <c r="U257" s="854"/>
      <c r="V257" s="850"/>
      <c r="W257" s="850"/>
      <c r="X257" s="850"/>
      <c r="Y257" s="850"/>
      <c r="Z257" s="855"/>
      <c r="AA257" s="856"/>
      <c r="AB257" s="856"/>
      <c r="AC257" s="856"/>
      <c r="AD257" s="856"/>
      <c r="AE257" s="857"/>
    </row>
    <row r="258" spans="1:31" x14ac:dyDescent="0.25">
      <c r="A258" s="399">
        <v>247</v>
      </c>
      <c r="B258" s="850"/>
      <c r="C258" s="850"/>
      <c r="D258" s="850"/>
      <c r="E258" s="850"/>
      <c r="F258" s="858"/>
      <c r="G258" s="850"/>
      <c r="H258" s="850"/>
      <c r="I258" s="850"/>
      <c r="J258" s="850"/>
      <c r="K258" s="852"/>
      <c r="L258" s="850"/>
      <c r="M258" s="850"/>
      <c r="N258" s="850"/>
      <c r="O258" s="850"/>
      <c r="P258" s="853"/>
      <c r="Q258" s="850"/>
      <c r="R258" s="850"/>
      <c r="S258" s="850"/>
      <c r="T258" s="850"/>
      <c r="U258" s="854"/>
      <c r="V258" s="850"/>
      <c r="W258" s="850"/>
      <c r="X258" s="850"/>
      <c r="Y258" s="850"/>
      <c r="Z258" s="855"/>
      <c r="AA258" s="856"/>
      <c r="AB258" s="856"/>
      <c r="AC258" s="856"/>
      <c r="AD258" s="856"/>
      <c r="AE258" s="857"/>
    </row>
    <row r="259" spans="1:31" x14ac:dyDescent="0.25">
      <c r="A259" s="399">
        <v>248</v>
      </c>
      <c r="B259" s="850"/>
      <c r="C259" s="850"/>
      <c r="D259" s="850"/>
      <c r="E259" s="850"/>
      <c r="F259" s="858"/>
      <c r="G259" s="850"/>
      <c r="H259" s="850"/>
      <c r="I259" s="850"/>
      <c r="J259" s="850"/>
      <c r="K259" s="852"/>
      <c r="L259" s="850"/>
      <c r="M259" s="850"/>
      <c r="N259" s="850"/>
      <c r="O259" s="850"/>
      <c r="P259" s="853"/>
      <c r="Q259" s="850"/>
      <c r="R259" s="850"/>
      <c r="S259" s="850"/>
      <c r="T259" s="850"/>
      <c r="U259" s="854"/>
      <c r="V259" s="850"/>
      <c r="W259" s="850"/>
      <c r="X259" s="850"/>
      <c r="Y259" s="850"/>
      <c r="Z259" s="855"/>
      <c r="AA259" s="856"/>
      <c r="AB259" s="856"/>
      <c r="AC259" s="856"/>
      <c r="AD259" s="856"/>
      <c r="AE259" s="857"/>
    </row>
    <row r="260" spans="1:31" x14ac:dyDescent="0.25">
      <c r="A260" s="399">
        <v>249</v>
      </c>
      <c r="B260" s="850"/>
      <c r="C260" s="850"/>
      <c r="D260" s="850"/>
      <c r="E260" s="850"/>
      <c r="F260" s="858"/>
      <c r="G260" s="850"/>
      <c r="H260" s="850"/>
      <c r="I260" s="850"/>
      <c r="J260" s="850"/>
      <c r="K260" s="852"/>
      <c r="L260" s="850"/>
      <c r="M260" s="850"/>
      <c r="N260" s="850"/>
      <c r="O260" s="850"/>
      <c r="P260" s="853"/>
      <c r="Q260" s="850"/>
      <c r="R260" s="850"/>
      <c r="S260" s="850"/>
      <c r="T260" s="850"/>
      <c r="U260" s="854"/>
      <c r="V260" s="850"/>
      <c r="W260" s="850"/>
      <c r="X260" s="850"/>
      <c r="Y260" s="850"/>
      <c r="Z260" s="855"/>
      <c r="AA260" s="856"/>
      <c r="AB260" s="856"/>
      <c r="AC260" s="856"/>
      <c r="AD260" s="856"/>
      <c r="AE260" s="857"/>
    </row>
    <row r="261" spans="1:31" x14ac:dyDescent="0.25">
      <c r="A261" s="399">
        <v>250</v>
      </c>
      <c r="B261" s="850"/>
      <c r="C261" s="850"/>
      <c r="D261" s="850"/>
      <c r="E261" s="850"/>
      <c r="F261" s="858"/>
      <c r="G261" s="850"/>
      <c r="H261" s="850"/>
      <c r="I261" s="850"/>
      <c r="J261" s="850"/>
      <c r="K261" s="852"/>
      <c r="L261" s="850"/>
      <c r="M261" s="850"/>
      <c r="N261" s="850"/>
      <c r="O261" s="850"/>
      <c r="P261" s="853"/>
      <c r="Q261" s="850"/>
      <c r="R261" s="850"/>
      <c r="S261" s="850"/>
      <c r="T261" s="850"/>
      <c r="U261" s="854"/>
      <c r="V261" s="850"/>
      <c r="W261" s="850"/>
      <c r="X261" s="850"/>
      <c r="Y261" s="850"/>
      <c r="Z261" s="855"/>
      <c r="AA261" s="856"/>
      <c r="AB261" s="856"/>
      <c r="AC261" s="856"/>
      <c r="AD261" s="856"/>
      <c r="AE261" s="857"/>
    </row>
    <row r="262" spans="1:31" ht="15.75" thickBot="1" x14ac:dyDescent="0.3">
      <c r="A262" s="411"/>
      <c r="B262" s="510"/>
      <c r="C262" s="510"/>
      <c r="D262" s="510"/>
      <c r="E262" s="510"/>
      <c r="F262" s="510"/>
      <c r="G262" s="510"/>
      <c r="H262" s="510"/>
      <c r="I262" s="510"/>
      <c r="J262" s="510"/>
      <c r="K262" s="510"/>
      <c r="L262" s="510"/>
      <c r="M262" s="510"/>
      <c r="N262" s="510"/>
      <c r="O262" s="510"/>
      <c r="P262" s="510"/>
      <c r="Q262" s="510"/>
      <c r="R262" s="510"/>
      <c r="S262" s="510"/>
      <c r="T262" s="510"/>
      <c r="U262" s="510"/>
      <c r="V262" s="510"/>
      <c r="W262" s="510"/>
      <c r="X262" s="510"/>
      <c r="Y262" s="510"/>
      <c r="Z262" s="510"/>
      <c r="AA262" s="574"/>
      <c r="AB262" s="574"/>
      <c r="AC262" s="574"/>
      <c r="AD262" s="574"/>
      <c r="AE262" s="574"/>
    </row>
  </sheetData>
  <sheetProtection sheet="1" objects="1" scenarios="1"/>
  <mergeCells count="6">
    <mergeCell ref="AA1:AD1"/>
    <mergeCell ref="B1:E1"/>
    <mergeCell ref="G1:J1"/>
    <mergeCell ref="L1:O1"/>
    <mergeCell ref="Q1:T1"/>
    <mergeCell ref="V1:Y1"/>
  </mergeCells>
  <conditionalFormatting sqref="F6 F8">
    <cfRule type="expression" dxfId="16" priority="7">
      <formula>ISERR(F6)</formula>
    </cfRule>
  </conditionalFormatting>
  <conditionalFormatting sqref="K6 K8">
    <cfRule type="expression" dxfId="15" priority="6">
      <formula>ISERR(K6)</formula>
    </cfRule>
  </conditionalFormatting>
  <conditionalFormatting sqref="P6 P8">
    <cfRule type="expression" dxfId="14" priority="5">
      <formula>ISERR(P6)</formula>
    </cfRule>
  </conditionalFormatting>
  <conditionalFormatting sqref="U6 U8">
    <cfRule type="expression" dxfId="13" priority="4">
      <formula>ISERR(U6)</formula>
    </cfRule>
  </conditionalFormatting>
  <conditionalFormatting sqref="Z6 Z8">
    <cfRule type="expression" dxfId="12" priority="2">
      <formula>ISERR(Z6)</formula>
    </cfRule>
  </conditionalFormatting>
  <conditionalFormatting sqref="AE6 AE8">
    <cfRule type="expression" dxfId="11" priority="1">
      <formula>ISERR(AE6)</formula>
    </cfRule>
  </conditionalFormatting>
  <pageMargins left="0.7" right="0.7" top="0.75" bottom="0.75" header="0.3" footer="0.3"/>
  <pageSetup scale="40" fitToHeight="3" orientation="landscape"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rgb="FFFFFF00"/>
    <pageSetUpPr fitToPage="1"/>
  </sheetPr>
  <dimension ref="A1:AE262"/>
  <sheetViews>
    <sheetView workbookViewId="0">
      <pane xSplit="1" ySplit="20" topLeftCell="B21" activePane="bottomRight" state="frozen"/>
      <selection activeCell="B11" sqref="B11"/>
      <selection pane="topRight" activeCell="B11" sqref="B11"/>
      <selection pane="bottomLeft" activeCell="B11" sqref="B11"/>
      <selection pane="bottomRight" activeCell="AE7" sqref="AE7"/>
    </sheetView>
  </sheetViews>
  <sheetFormatPr defaultColWidth="8.85546875" defaultRowHeight="15" x14ac:dyDescent="0.25"/>
  <cols>
    <col min="1" max="1" width="20.42578125" style="7" bestFit="1" customWidth="1"/>
    <col min="2" max="2" width="8.42578125" style="7" customWidth="1"/>
    <col min="3" max="3" width="8.85546875" style="7" customWidth="1"/>
    <col min="4" max="5" width="9.140625" style="7" customWidth="1"/>
    <col min="6" max="6" width="10" style="7" customWidth="1"/>
    <col min="7" max="10" width="9.140625" style="7" customWidth="1"/>
    <col min="11" max="11" width="10" style="7" customWidth="1"/>
    <col min="12" max="15" width="9.140625" style="7" customWidth="1"/>
    <col min="16" max="16" width="10" style="7" customWidth="1"/>
    <col min="17" max="17" width="8.85546875" style="7"/>
    <col min="18" max="18" width="9.140625" style="7" customWidth="1"/>
    <col min="19" max="19" width="10.7109375" style="7" bestFit="1" customWidth="1"/>
    <col min="20" max="20" width="9.7109375" style="7" bestFit="1" customWidth="1"/>
    <col min="21" max="21" width="10" style="7" customWidth="1"/>
    <col min="22" max="22" width="9.28515625" style="7" bestFit="1" customWidth="1"/>
    <col min="23" max="25" width="8.85546875" style="7"/>
    <col min="26" max="26" width="10" style="7" customWidth="1"/>
    <col min="27" max="30" width="9.28515625" style="7" customWidth="1"/>
    <col min="31" max="31" width="10" style="7" customWidth="1"/>
    <col min="32" max="16384" width="8.85546875" style="7"/>
  </cols>
  <sheetData>
    <row r="1" spans="1:31" s="512" customFormat="1" ht="19.5" thickBot="1" x14ac:dyDescent="0.35">
      <c r="A1" s="511"/>
      <c r="B1" s="1447"/>
      <c r="C1" s="1448"/>
      <c r="D1" s="1448"/>
      <c r="E1" s="1449"/>
      <c r="F1" s="414"/>
      <c r="G1" s="1450"/>
      <c r="H1" s="1451"/>
      <c r="I1" s="1451"/>
      <c r="J1" s="1452"/>
      <c r="K1" s="414"/>
      <c r="L1" s="1453"/>
      <c r="M1" s="1454"/>
      <c r="N1" s="1454"/>
      <c r="O1" s="1455"/>
      <c r="P1" s="414"/>
      <c r="Q1" s="1456"/>
      <c r="R1" s="1457"/>
      <c r="S1" s="1457"/>
      <c r="T1" s="1458"/>
      <c r="U1" s="414"/>
      <c r="V1" s="1459"/>
      <c r="W1" s="1460"/>
      <c r="X1" s="1460"/>
      <c r="Y1" s="1461"/>
      <c r="Z1" s="414"/>
      <c r="AA1" s="1444"/>
      <c r="AB1" s="1445"/>
      <c r="AC1" s="1445"/>
      <c r="AD1" s="1446"/>
      <c r="AE1" s="414"/>
    </row>
    <row r="2" spans="1:31" ht="108" customHeight="1" thickBot="1" x14ac:dyDescent="0.3">
      <c r="A2" s="417" t="s">
        <v>3</v>
      </c>
      <c r="B2" s="258"/>
      <c r="C2" s="259"/>
      <c r="D2" s="259"/>
      <c r="E2" s="418"/>
      <c r="F2" s="419"/>
      <c r="G2" s="420"/>
      <c r="H2" s="261"/>
      <c r="I2" s="261"/>
      <c r="J2" s="859"/>
      <c r="K2" s="421"/>
      <c r="L2" s="860"/>
      <c r="M2" s="265"/>
      <c r="N2" s="265"/>
      <c r="O2" s="861"/>
      <c r="P2" s="422"/>
      <c r="Q2" s="862"/>
      <c r="R2" s="269"/>
      <c r="S2" s="269"/>
      <c r="T2" s="863"/>
      <c r="U2" s="423"/>
      <c r="V2" s="864"/>
      <c r="W2" s="425"/>
      <c r="X2" s="425"/>
      <c r="Y2" s="426"/>
      <c r="Z2" s="272"/>
      <c r="AA2" s="865"/>
      <c r="AB2" s="514"/>
      <c r="AC2" s="514"/>
      <c r="AD2" s="515"/>
      <c r="AE2" s="276"/>
    </row>
    <row r="3" spans="1:31" x14ac:dyDescent="0.25">
      <c r="A3" s="277" t="s">
        <v>11</v>
      </c>
      <c r="B3" s="278"/>
      <c r="C3" s="279"/>
      <c r="D3" s="279"/>
      <c r="E3" s="427"/>
      <c r="F3" s="281"/>
      <c r="G3" s="428"/>
      <c r="H3" s="283"/>
      <c r="I3" s="283"/>
      <c r="J3" s="866"/>
      <c r="K3" s="285"/>
      <c r="L3" s="867"/>
      <c r="M3" s="287"/>
      <c r="N3" s="287"/>
      <c r="O3" s="868"/>
      <c r="P3" s="289" t="s">
        <v>122</v>
      </c>
      <c r="Q3" s="869"/>
      <c r="R3" s="291"/>
      <c r="S3" s="291"/>
      <c r="T3" s="870"/>
      <c r="U3" s="429" t="s">
        <v>122</v>
      </c>
      <c r="V3" s="871"/>
      <c r="W3" s="295"/>
      <c r="X3" s="295"/>
      <c r="Y3" s="296"/>
      <c r="Z3" s="297" t="s">
        <v>122</v>
      </c>
      <c r="AA3" s="872"/>
      <c r="AB3" s="299"/>
      <c r="AC3" s="299"/>
      <c r="AD3" s="300"/>
      <c r="AE3" s="301" t="s">
        <v>122</v>
      </c>
    </row>
    <row r="4" spans="1:31" x14ac:dyDescent="0.25">
      <c r="A4" s="277" t="s">
        <v>1</v>
      </c>
      <c r="B4" s="302"/>
      <c r="C4" s="303"/>
      <c r="D4" s="303"/>
      <c r="E4" s="304"/>
      <c r="F4" s="281"/>
      <c r="G4" s="305"/>
      <c r="H4" s="306"/>
      <c r="I4" s="306"/>
      <c r="J4" s="873"/>
      <c r="K4" s="285"/>
      <c r="L4" s="874"/>
      <c r="M4" s="310"/>
      <c r="N4" s="310"/>
      <c r="O4" s="875"/>
      <c r="P4" s="289"/>
      <c r="Q4" s="876"/>
      <c r="R4" s="314"/>
      <c r="S4" s="314"/>
      <c r="T4" s="877"/>
      <c r="U4" s="429"/>
      <c r="V4" s="878"/>
      <c r="W4" s="318"/>
      <c r="X4" s="318"/>
      <c r="Y4" s="879"/>
      <c r="Z4" s="297"/>
      <c r="AA4" s="880"/>
      <c r="AB4" s="322"/>
      <c r="AC4" s="322"/>
      <c r="AD4" s="881"/>
      <c r="AE4" s="301"/>
    </row>
    <row r="5" spans="1:31" x14ac:dyDescent="0.25">
      <c r="A5" s="277"/>
      <c r="B5" s="448"/>
      <c r="C5" s="449"/>
      <c r="D5" s="449"/>
      <c r="E5" s="450"/>
      <c r="F5" s="451"/>
      <c r="G5" s="452"/>
      <c r="H5" s="453"/>
      <c r="I5" s="453"/>
      <c r="J5" s="454"/>
      <c r="K5" s="455"/>
      <c r="L5" s="456"/>
      <c r="M5" s="457"/>
      <c r="N5" s="457"/>
      <c r="O5" s="458"/>
      <c r="P5" s="459"/>
      <c r="Q5" s="460"/>
      <c r="R5" s="461"/>
      <c r="S5" s="461"/>
      <c r="T5" s="462"/>
      <c r="U5" s="463"/>
      <c r="V5" s="464"/>
      <c r="W5" s="465"/>
      <c r="X5" s="465"/>
      <c r="Y5" s="466"/>
      <c r="Z5" s="467"/>
      <c r="AA5" s="468"/>
      <c r="AB5" s="469"/>
      <c r="AC5" s="469"/>
      <c r="AD5" s="470"/>
      <c r="AE5" s="471"/>
    </row>
    <row r="6" spans="1:31" ht="15.75" thickBot="1" x14ac:dyDescent="0.3">
      <c r="A6" s="277"/>
      <c r="B6" s="448"/>
      <c r="C6" s="449"/>
      <c r="D6" s="449"/>
      <c r="E6" s="450"/>
      <c r="F6" s="451"/>
      <c r="G6" s="452"/>
      <c r="H6" s="453"/>
      <c r="I6" s="453"/>
      <c r="J6" s="454"/>
      <c r="K6" s="455"/>
      <c r="L6" s="456"/>
      <c r="M6" s="457"/>
      <c r="N6" s="457"/>
      <c r="O6" s="458"/>
      <c r="P6" s="459"/>
      <c r="Q6" s="460"/>
      <c r="R6" s="461"/>
      <c r="S6" s="461"/>
      <c r="T6" s="462"/>
      <c r="U6" s="463"/>
      <c r="V6" s="464"/>
      <c r="W6" s="465"/>
      <c r="X6" s="465"/>
      <c r="Y6" s="466"/>
      <c r="Z6" s="472"/>
      <c r="AA6" s="468"/>
      <c r="AB6" s="469"/>
      <c r="AC6" s="469"/>
      <c r="AD6" s="470"/>
      <c r="AE6" s="473"/>
    </row>
    <row r="7" spans="1:31" x14ac:dyDescent="0.25">
      <c r="A7" s="277"/>
      <c r="B7" s="715"/>
      <c r="C7" s="716"/>
      <c r="D7" s="716"/>
      <c r="E7" s="717"/>
      <c r="F7" s="1059"/>
      <c r="G7" s="718"/>
      <c r="H7" s="719"/>
      <c r="I7" s="719"/>
      <c r="J7" s="720"/>
      <c r="K7" s="1061"/>
      <c r="L7" s="721"/>
      <c r="M7" s="722"/>
      <c r="N7" s="722"/>
      <c r="O7" s="723"/>
      <c r="P7" s="1063"/>
      <c r="Q7" s="724"/>
      <c r="R7" s="725"/>
      <c r="S7" s="725"/>
      <c r="T7" s="726"/>
      <c r="U7" s="1065"/>
      <c r="V7" s="727"/>
      <c r="W7" s="728"/>
      <c r="X7" s="728"/>
      <c r="Y7" s="729"/>
      <c r="Z7" s="1067"/>
      <c r="AA7" s="730"/>
      <c r="AB7" s="731"/>
      <c r="AC7" s="731"/>
      <c r="AD7" s="732"/>
      <c r="AE7" s="1068"/>
    </row>
    <row r="8" spans="1:31" ht="17.25" thickBot="1" x14ac:dyDescent="0.35">
      <c r="A8" s="277" t="s">
        <v>18</v>
      </c>
      <c r="B8" s="733"/>
      <c r="C8" s="734"/>
      <c r="D8" s="734"/>
      <c r="E8" s="735"/>
      <c r="F8" s="1060"/>
      <c r="G8" s="736"/>
      <c r="H8" s="737"/>
      <c r="I8" s="737"/>
      <c r="J8" s="738"/>
      <c r="K8" s="1062"/>
      <c r="L8" s="739"/>
      <c r="M8" s="740"/>
      <c r="N8" s="740"/>
      <c r="O8" s="741"/>
      <c r="P8" s="1064"/>
      <c r="Q8" s="742"/>
      <c r="R8" s="743"/>
      <c r="S8" s="743"/>
      <c r="T8" s="744"/>
      <c r="U8" s="1066"/>
      <c r="V8" s="745"/>
      <c r="W8" s="746"/>
      <c r="X8" s="746"/>
      <c r="Y8" s="747"/>
      <c r="Z8" s="1028"/>
      <c r="AA8" s="748"/>
      <c r="AB8" s="749"/>
      <c r="AC8" s="749"/>
      <c r="AD8" s="750"/>
      <c r="AE8" s="1030"/>
    </row>
    <row r="9" spans="1:31" ht="15.75" thickBot="1" x14ac:dyDescent="0.3">
      <c r="A9" s="277" t="s">
        <v>29</v>
      </c>
      <c r="B9" s="478"/>
      <c r="C9" s="479"/>
      <c r="D9" s="479"/>
      <c r="E9" s="480"/>
      <c r="F9" s="1100"/>
      <c r="G9" s="481"/>
      <c r="H9" s="482"/>
      <c r="I9" s="482"/>
      <c r="J9" s="483"/>
      <c r="K9" s="1101"/>
      <c r="L9" s="484"/>
      <c r="M9" s="485"/>
      <c r="N9" s="485"/>
      <c r="O9" s="486"/>
      <c r="P9" s="1102"/>
      <c r="Q9" s="487"/>
      <c r="R9" s="488"/>
      <c r="S9" s="488"/>
      <c r="T9" s="489"/>
      <c r="U9" s="1103"/>
      <c r="V9" s="490"/>
      <c r="W9" s="491"/>
      <c r="X9" s="491"/>
      <c r="Y9" s="492"/>
      <c r="Z9" s="1104"/>
      <c r="AA9" s="493"/>
      <c r="AB9" s="494"/>
      <c r="AC9" s="494"/>
      <c r="AD9" s="495"/>
      <c r="AE9" s="1105"/>
    </row>
    <row r="10" spans="1:31" ht="75" customHeight="1" thickBot="1" x14ac:dyDescent="0.3">
      <c r="A10" s="882" t="s">
        <v>121</v>
      </c>
      <c r="B10" s="751"/>
      <c r="C10" s="752"/>
      <c r="D10" s="752"/>
      <c r="E10" s="753"/>
      <c r="F10" s="754"/>
      <c r="G10" s="755"/>
      <c r="H10" s="756"/>
      <c r="I10" s="756"/>
      <c r="J10" s="757"/>
      <c r="K10" s="758"/>
      <c r="L10" s="759"/>
      <c r="M10" s="760"/>
      <c r="N10" s="760"/>
      <c r="O10" s="761"/>
      <c r="P10" s="762"/>
      <c r="Q10" s="763"/>
      <c r="R10" s="764"/>
      <c r="S10" s="764"/>
      <c r="T10" s="765"/>
      <c r="U10" s="766"/>
      <c r="V10" s="767"/>
      <c r="W10" s="768"/>
      <c r="X10" s="768"/>
      <c r="Y10" s="769"/>
      <c r="Z10" s="770"/>
      <c r="AA10" s="771"/>
      <c r="AB10" s="772"/>
      <c r="AC10" s="772"/>
      <c r="AD10" s="773"/>
      <c r="AE10" s="774"/>
    </row>
    <row r="11" spans="1:31" ht="15" customHeight="1" x14ac:dyDescent="0.25">
      <c r="A11" s="883" t="s">
        <v>20</v>
      </c>
      <c r="B11" s="884"/>
      <c r="C11" s="885"/>
      <c r="D11" s="885"/>
      <c r="E11" s="885"/>
      <c r="F11" s="885"/>
      <c r="G11" s="885"/>
      <c r="H11" s="885"/>
      <c r="I11" s="885"/>
      <c r="J11" s="885"/>
      <c r="K11" s="885"/>
      <c r="L11" s="885"/>
      <c r="M11" s="885"/>
      <c r="N11" s="886"/>
      <c r="O11" s="886"/>
      <c r="P11" s="886"/>
      <c r="Q11" s="886"/>
      <c r="R11" s="885"/>
      <c r="S11" s="886"/>
      <c r="T11" s="886"/>
      <c r="U11" s="886"/>
      <c r="V11" s="886"/>
      <c r="W11" s="886"/>
      <c r="X11" s="886"/>
      <c r="Y11" s="886"/>
      <c r="Z11" s="886"/>
      <c r="AA11" s="886"/>
      <c r="AB11" s="886"/>
      <c r="AC11" s="886"/>
      <c r="AD11" s="886"/>
      <c r="AE11" s="886"/>
    </row>
    <row r="12" spans="1:31" ht="15" customHeight="1" x14ac:dyDescent="0.3">
      <c r="A12" s="887" t="s">
        <v>26</v>
      </c>
      <c r="B12" s="888"/>
      <c r="C12" s="888"/>
      <c r="D12" s="888"/>
      <c r="E12" s="889"/>
      <c r="F12" s="890"/>
      <c r="G12" s="891"/>
      <c r="H12" s="888"/>
      <c r="I12" s="888"/>
      <c r="J12" s="889"/>
      <c r="K12" s="892"/>
      <c r="L12" s="891"/>
      <c r="M12" s="888"/>
      <c r="N12" s="888"/>
      <c r="O12" s="889"/>
      <c r="P12" s="892"/>
      <c r="Q12" s="891"/>
      <c r="R12" s="888"/>
      <c r="S12" s="888"/>
      <c r="T12" s="889"/>
      <c r="U12" s="892"/>
      <c r="V12" s="891"/>
      <c r="W12" s="888"/>
      <c r="X12" s="888"/>
      <c r="Y12" s="889"/>
      <c r="Z12" s="890"/>
      <c r="AA12" s="891"/>
      <c r="AB12" s="888"/>
      <c r="AC12" s="888"/>
      <c r="AD12" s="889"/>
      <c r="AE12" s="890"/>
    </row>
    <row r="13" spans="1:31" ht="15" customHeight="1" x14ac:dyDescent="0.3">
      <c r="A13" s="887" t="s">
        <v>25</v>
      </c>
      <c r="B13" s="892"/>
      <c r="C13" s="892"/>
      <c r="D13" s="892"/>
      <c r="E13" s="893"/>
      <c r="F13" s="892"/>
      <c r="G13" s="894"/>
      <c r="H13" s="892"/>
      <c r="I13" s="892"/>
      <c r="J13" s="893"/>
      <c r="K13" s="892"/>
      <c r="L13" s="894"/>
      <c r="M13" s="892"/>
      <c r="N13" s="892"/>
      <c r="O13" s="893"/>
      <c r="P13" s="892"/>
      <c r="Q13" s="894"/>
      <c r="R13" s="892"/>
      <c r="S13" s="892"/>
      <c r="T13" s="893"/>
      <c r="U13" s="892"/>
      <c r="V13" s="894"/>
      <c r="W13" s="892"/>
      <c r="X13" s="892"/>
      <c r="Y13" s="893"/>
      <c r="Z13" s="895"/>
      <c r="AA13" s="894"/>
      <c r="AB13" s="892"/>
      <c r="AC13" s="892"/>
      <c r="AD13" s="893"/>
      <c r="AE13" s="895"/>
    </row>
    <row r="14" spans="1:31" ht="15" customHeight="1" x14ac:dyDescent="0.3">
      <c r="A14" s="887" t="s">
        <v>27</v>
      </c>
      <c r="B14" s="896"/>
      <c r="C14" s="896"/>
      <c r="D14" s="896"/>
      <c r="E14" s="897"/>
      <c r="F14" s="896"/>
      <c r="G14" s="898"/>
      <c r="H14" s="896"/>
      <c r="I14" s="896"/>
      <c r="J14" s="897"/>
      <c r="K14" s="896"/>
      <c r="L14" s="898"/>
      <c r="M14" s="896"/>
      <c r="N14" s="896"/>
      <c r="O14" s="897"/>
      <c r="P14" s="896"/>
      <c r="Q14" s="898"/>
      <c r="R14" s="896"/>
      <c r="S14" s="896"/>
      <c r="T14" s="897"/>
      <c r="U14" s="896"/>
      <c r="V14" s="898"/>
      <c r="W14" s="896"/>
      <c r="X14" s="896"/>
      <c r="Y14" s="897"/>
      <c r="Z14" s="899"/>
      <c r="AA14" s="898"/>
      <c r="AB14" s="896"/>
      <c r="AC14" s="896"/>
      <c r="AD14" s="897"/>
      <c r="AE14" s="899"/>
    </row>
    <row r="15" spans="1:31" ht="15" customHeight="1" x14ac:dyDescent="0.25">
      <c r="A15" s="900"/>
      <c r="B15" s="901"/>
      <c r="C15" s="901"/>
      <c r="D15" s="901"/>
      <c r="E15" s="902"/>
      <c r="F15" s="901"/>
      <c r="G15" s="903"/>
      <c r="H15" s="901"/>
      <c r="I15" s="901"/>
      <c r="J15" s="902"/>
      <c r="K15" s="901"/>
      <c r="L15" s="903"/>
      <c r="M15" s="901"/>
      <c r="N15" s="901"/>
      <c r="O15" s="902"/>
      <c r="P15" s="901"/>
      <c r="Q15" s="903"/>
      <c r="R15" s="901"/>
      <c r="S15" s="901"/>
      <c r="T15" s="902"/>
      <c r="U15" s="901"/>
      <c r="V15" s="903"/>
      <c r="W15" s="901"/>
      <c r="X15" s="901"/>
      <c r="Y15" s="902"/>
      <c r="Z15" s="904"/>
      <c r="AA15" s="903"/>
      <c r="AB15" s="901"/>
      <c r="AC15" s="901"/>
      <c r="AD15" s="902"/>
      <c r="AE15" s="904"/>
    </row>
    <row r="16" spans="1:31" ht="7.5" customHeight="1" x14ac:dyDescent="0.25">
      <c r="A16" s="905" t="s">
        <v>24</v>
      </c>
      <c r="B16" s="906"/>
      <c r="C16" s="906"/>
      <c r="D16" s="906"/>
      <c r="E16" s="907"/>
      <c r="F16" s="906"/>
      <c r="G16" s="908"/>
      <c r="H16" s="906"/>
      <c r="I16" s="906"/>
      <c r="J16" s="907"/>
      <c r="K16" s="906"/>
      <c r="L16" s="908"/>
      <c r="M16" s="906"/>
      <c r="N16" s="906"/>
      <c r="O16" s="907"/>
      <c r="P16" s="906"/>
      <c r="Q16" s="908"/>
      <c r="R16" s="906"/>
      <c r="S16" s="906"/>
      <c r="T16" s="907"/>
      <c r="U16" s="906"/>
      <c r="V16" s="908"/>
      <c r="W16" s="906"/>
      <c r="X16" s="906"/>
      <c r="Y16" s="907"/>
      <c r="Z16" s="909"/>
      <c r="AA16" s="908"/>
      <c r="AB16" s="906"/>
      <c r="AC16" s="906"/>
      <c r="AD16" s="907"/>
      <c r="AE16" s="909"/>
    </row>
    <row r="17" spans="1:31" ht="7.5" customHeight="1" x14ac:dyDescent="0.25">
      <c r="A17" s="905" t="s">
        <v>24</v>
      </c>
      <c r="B17" s="906"/>
      <c r="C17" s="906"/>
      <c r="D17" s="906"/>
      <c r="E17" s="907"/>
      <c r="F17" s="906"/>
      <c r="G17" s="908"/>
      <c r="H17" s="906"/>
      <c r="I17" s="906"/>
      <c r="J17" s="907"/>
      <c r="K17" s="906"/>
      <c r="L17" s="908"/>
      <c r="M17" s="906"/>
      <c r="N17" s="906"/>
      <c r="O17" s="907"/>
      <c r="P17" s="906"/>
      <c r="Q17" s="908"/>
      <c r="R17" s="906"/>
      <c r="S17" s="906"/>
      <c r="T17" s="907"/>
      <c r="U17" s="906"/>
      <c r="V17" s="908"/>
      <c r="W17" s="906"/>
      <c r="X17" s="906"/>
      <c r="Y17" s="907"/>
      <c r="Z17" s="909"/>
      <c r="AA17" s="908"/>
      <c r="AB17" s="906"/>
      <c r="AC17" s="906"/>
      <c r="AD17" s="907"/>
      <c r="AE17" s="909"/>
    </row>
    <row r="18" spans="1:31" ht="17.25" customHeight="1" x14ac:dyDescent="0.25">
      <c r="A18" s="900" t="s">
        <v>19</v>
      </c>
      <c r="B18" s="910"/>
      <c r="C18" s="910"/>
      <c r="D18" s="910"/>
      <c r="E18" s="910"/>
      <c r="F18" s="911"/>
      <c r="G18" s="910"/>
      <c r="H18" s="910"/>
      <c r="I18" s="910"/>
      <c r="J18" s="910"/>
      <c r="K18" s="911"/>
      <c r="L18" s="910"/>
      <c r="M18" s="910"/>
      <c r="N18" s="910"/>
      <c r="O18" s="910"/>
      <c r="P18" s="911"/>
      <c r="Q18" s="910"/>
      <c r="R18" s="910"/>
      <c r="S18" s="910"/>
      <c r="T18" s="910"/>
      <c r="U18" s="911"/>
      <c r="V18" s="910"/>
      <c r="W18" s="910"/>
      <c r="X18" s="910"/>
      <c r="Y18" s="910"/>
      <c r="Z18" s="911"/>
      <c r="AA18" s="910"/>
      <c r="AB18" s="910"/>
      <c r="AC18" s="910"/>
      <c r="AD18" s="910"/>
      <c r="AE18" s="911"/>
    </row>
    <row r="19" spans="1:31" ht="3" customHeight="1" x14ac:dyDescent="0.25">
      <c r="A19" s="912"/>
      <c r="B19" s="910"/>
      <c r="C19" s="910"/>
      <c r="D19" s="910"/>
      <c r="E19" s="913"/>
      <c r="F19" s="910"/>
      <c r="G19" s="914"/>
      <c r="H19" s="910"/>
      <c r="I19" s="910"/>
      <c r="J19" s="913"/>
      <c r="K19" s="910"/>
      <c r="L19" s="914"/>
      <c r="M19" s="910"/>
      <c r="N19" s="910"/>
      <c r="O19" s="913"/>
      <c r="P19" s="910"/>
      <c r="Q19" s="914"/>
      <c r="R19" s="910"/>
      <c r="S19" s="910"/>
      <c r="T19" s="913"/>
      <c r="U19" s="910"/>
      <c r="V19" s="914"/>
      <c r="W19" s="910"/>
      <c r="X19" s="910"/>
      <c r="Y19" s="913"/>
      <c r="Z19" s="911"/>
      <c r="AA19" s="914"/>
      <c r="AB19" s="910"/>
      <c r="AC19" s="910"/>
      <c r="AD19" s="913"/>
      <c r="AE19" s="911"/>
    </row>
    <row r="20" spans="1:31" ht="3" customHeight="1" x14ac:dyDescent="0.25">
      <c r="A20" s="915"/>
      <c r="B20" s="916"/>
      <c r="C20" s="916"/>
      <c r="D20" s="916"/>
      <c r="E20" s="917"/>
      <c r="F20" s="910"/>
      <c r="G20" s="918"/>
      <c r="H20" s="916"/>
      <c r="I20" s="916"/>
      <c r="J20" s="917"/>
      <c r="K20" s="910"/>
      <c r="L20" s="918"/>
      <c r="M20" s="916"/>
      <c r="N20" s="916"/>
      <c r="O20" s="917"/>
      <c r="P20" s="910"/>
      <c r="Q20" s="918"/>
      <c r="R20" s="916"/>
      <c r="S20" s="916"/>
      <c r="T20" s="917"/>
      <c r="U20" s="910"/>
      <c r="V20" s="918"/>
      <c r="W20" s="916"/>
      <c r="X20" s="916"/>
      <c r="Y20" s="917"/>
      <c r="Z20" s="919"/>
      <c r="AA20" s="918"/>
      <c r="AB20" s="916"/>
      <c r="AC20" s="916"/>
      <c r="AD20" s="917"/>
      <c r="AE20" s="919"/>
    </row>
    <row r="21" spans="1:31" x14ac:dyDescent="0.25">
      <c r="A21" s="596">
        <v>10</v>
      </c>
      <c r="B21" s="920"/>
      <c r="C21" s="920"/>
      <c r="D21" s="920"/>
      <c r="E21" s="920"/>
      <c r="F21" s="921"/>
      <c r="G21" s="920"/>
      <c r="H21" s="920"/>
      <c r="I21" s="920"/>
      <c r="J21" s="920"/>
      <c r="K21" s="922"/>
      <c r="L21" s="920"/>
      <c r="M21" s="923"/>
      <c r="N21" s="508"/>
      <c r="O21" s="924"/>
      <c r="P21" s="925"/>
      <c r="Q21" s="924"/>
      <c r="R21" s="924"/>
      <c r="S21" s="924"/>
      <c r="T21" s="924"/>
      <c r="U21" s="926"/>
      <c r="V21" s="924"/>
      <c r="W21" s="924"/>
      <c r="X21" s="924"/>
      <c r="Y21" s="924"/>
      <c r="Z21" s="927"/>
      <c r="AA21" s="924"/>
      <c r="AB21" s="924"/>
      <c r="AC21" s="924"/>
      <c r="AD21" s="924"/>
      <c r="AE21" s="928"/>
    </row>
    <row r="22" spans="1:31" x14ac:dyDescent="0.25">
      <c r="A22" s="596">
        <v>11</v>
      </c>
      <c r="B22" s="920"/>
      <c r="C22" s="920"/>
      <c r="D22" s="920"/>
      <c r="E22" s="920"/>
      <c r="F22" s="921"/>
      <c r="G22" s="920"/>
      <c r="H22" s="920"/>
      <c r="I22" s="920"/>
      <c r="J22" s="920"/>
      <c r="K22" s="922"/>
      <c r="L22" s="920"/>
      <c r="M22" s="923"/>
      <c r="N22" s="508"/>
      <c r="O22" s="924"/>
      <c r="P22" s="925"/>
      <c r="Q22" s="924"/>
      <c r="R22" s="924"/>
      <c r="S22" s="924"/>
      <c r="T22" s="924"/>
      <c r="U22" s="926"/>
      <c r="V22" s="924"/>
      <c r="W22" s="924"/>
      <c r="X22" s="924"/>
      <c r="Y22" s="924"/>
      <c r="Z22" s="929"/>
      <c r="AA22" s="924"/>
      <c r="AB22" s="924"/>
      <c r="AC22" s="924"/>
      <c r="AD22" s="924"/>
      <c r="AE22" s="930"/>
    </row>
    <row r="23" spans="1:31" x14ac:dyDescent="0.25">
      <c r="A23" s="596">
        <v>12</v>
      </c>
      <c r="B23" s="920"/>
      <c r="C23" s="920"/>
      <c r="D23" s="920"/>
      <c r="E23" s="920"/>
      <c r="F23" s="921"/>
      <c r="G23" s="920"/>
      <c r="H23" s="920"/>
      <c r="I23" s="920"/>
      <c r="J23" s="920"/>
      <c r="K23" s="922"/>
      <c r="L23" s="920"/>
      <c r="M23" s="923"/>
      <c r="N23" s="508"/>
      <c r="O23" s="924"/>
      <c r="P23" s="925"/>
      <c r="Q23" s="924"/>
      <c r="R23" s="924"/>
      <c r="S23" s="924"/>
      <c r="T23" s="924"/>
      <c r="U23" s="926"/>
      <c r="V23" s="924"/>
      <c r="W23" s="924"/>
      <c r="X23" s="924"/>
      <c r="Y23" s="924"/>
      <c r="Z23" s="929"/>
      <c r="AA23" s="924"/>
      <c r="AB23" s="924"/>
      <c r="AC23" s="924"/>
      <c r="AD23" s="924"/>
      <c r="AE23" s="930"/>
    </row>
    <row r="24" spans="1:31" x14ac:dyDescent="0.25">
      <c r="A24" s="399">
        <v>13</v>
      </c>
      <c r="B24" s="920"/>
      <c r="C24" s="924"/>
      <c r="D24" s="924"/>
      <c r="E24" s="924"/>
      <c r="F24" s="921"/>
      <c r="G24" s="924"/>
      <c r="H24" s="924"/>
      <c r="I24" s="924"/>
      <c r="J24" s="924"/>
      <c r="K24" s="922"/>
      <c r="L24" s="924"/>
      <c r="M24" s="508"/>
      <c r="N24" s="508"/>
      <c r="O24" s="924"/>
      <c r="P24" s="925"/>
      <c r="Q24" s="924"/>
      <c r="R24" s="924"/>
      <c r="S24" s="924"/>
      <c r="T24" s="924"/>
      <c r="U24" s="926"/>
      <c r="V24" s="924"/>
      <c r="W24" s="924"/>
      <c r="X24" s="924"/>
      <c r="Y24" s="924"/>
      <c r="Z24" s="929"/>
      <c r="AA24" s="924"/>
      <c r="AB24" s="924"/>
      <c r="AC24" s="924"/>
      <c r="AD24" s="924"/>
      <c r="AE24" s="930"/>
    </row>
    <row r="25" spans="1:31" x14ac:dyDescent="0.25">
      <c r="A25" s="399">
        <v>14</v>
      </c>
      <c r="B25" s="920"/>
      <c r="C25" s="924"/>
      <c r="D25" s="924"/>
      <c r="E25" s="924"/>
      <c r="F25" s="921"/>
      <c r="G25" s="924"/>
      <c r="H25" s="924"/>
      <c r="I25" s="924"/>
      <c r="J25" s="924"/>
      <c r="K25" s="922"/>
      <c r="L25" s="924"/>
      <c r="M25" s="508"/>
      <c r="N25" s="508"/>
      <c r="O25" s="924"/>
      <c r="P25" s="925"/>
      <c r="Q25" s="924"/>
      <c r="R25" s="924"/>
      <c r="S25" s="924"/>
      <c r="T25" s="924"/>
      <c r="U25" s="926"/>
      <c r="V25" s="924"/>
      <c r="W25" s="924"/>
      <c r="X25" s="924"/>
      <c r="Y25" s="924"/>
      <c r="Z25" s="929"/>
      <c r="AA25" s="924"/>
      <c r="AB25" s="924"/>
      <c r="AC25" s="924"/>
      <c r="AD25" s="924"/>
      <c r="AE25" s="930"/>
    </row>
    <row r="26" spans="1:31" x14ac:dyDescent="0.25">
      <c r="A26" s="399">
        <v>15</v>
      </c>
      <c r="B26" s="920"/>
      <c r="C26" s="924"/>
      <c r="D26" s="924"/>
      <c r="E26" s="924"/>
      <c r="F26" s="921"/>
      <c r="G26" s="924"/>
      <c r="H26" s="924"/>
      <c r="I26" s="924"/>
      <c r="J26" s="924"/>
      <c r="K26" s="922"/>
      <c r="L26" s="924"/>
      <c r="M26" s="924"/>
      <c r="N26" s="924"/>
      <c r="O26" s="924"/>
      <c r="P26" s="925"/>
      <c r="Q26" s="924"/>
      <c r="R26" s="924"/>
      <c r="S26" s="924"/>
      <c r="T26" s="924"/>
      <c r="U26" s="926"/>
      <c r="V26" s="924"/>
      <c r="W26" s="924"/>
      <c r="X26" s="924"/>
      <c r="Y26" s="924"/>
      <c r="Z26" s="929"/>
      <c r="AA26" s="924"/>
      <c r="AB26" s="924"/>
      <c r="AC26" s="924"/>
      <c r="AD26" s="924"/>
      <c r="AE26" s="930"/>
    </row>
    <row r="27" spans="1:31" x14ac:dyDescent="0.25">
      <c r="A27" s="399">
        <v>16</v>
      </c>
      <c r="B27" s="920"/>
      <c r="C27" s="924"/>
      <c r="D27" s="924"/>
      <c r="E27" s="924"/>
      <c r="F27" s="921"/>
      <c r="G27" s="924"/>
      <c r="H27" s="924"/>
      <c r="I27" s="924"/>
      <c r="J27" s="924"/>
      <c r="K27" s="922"/>
      <c r="L27" s="924"/>
      <c r="M27" s="924"/>
      <c r="N27" s="924"/>
      <c r="O27" s="924"/>
      <c r="P27" s="925"/>
      <c r="Q27" s="924"/>
      <c r="R27" s="924"/>
      <c r="S27" s="924"/>
      <c r="T27" s="924"/>
      <c r="U27" s="926"/>
      <c r="V27" s="924"/>
      <c r="W27" s="924"/>
      <c r="X27" s="924"/>
      <c r="Y27" s="924"/>
      <c r="Z27" s="929"/>
      <c r="AA27" s="924"/>
      <c r="AB27" s="924"/>
      <c r="AC27" s="924"/>
      <c r="AD27" s="924"/>
      <c r="AE27" s="930"/>
    </row>
    <row r="28" spans="1:31" x14ac:dyDescent="0.25">
      <c r="A28" s="399">
        <v>17</v>
      </c>
      <c r="B28" s="920"/>
      <c r="C28" s="924"/>
      <c r="D28" s="924"/>
      <c r="E28" s="924"/>
      <c r="F28" s="921"/>
      <c r="G28" s="924"/>
      <c r="H28" s="924"/>
      <c r="I28" s="924"/>
      <c r="J28" s="924"/>
      <c r="K28" s="922"/>
      <c r="L28" s="924"/>
      <c r="M28" s="924"/>
      <c r="N28" s="924"/>
      <c r="O28" s="924"/>
      <c r="P28" s="925"/>
      <c r="Q28" s="924"/>
      <c r="R28" s="924"/>
      <c r="S28" s="924"/>
      <c r="T28" s="924"/>
      <c r="U28" s="926"/>
      <c r="V28" s="924"/>
      <c r="W28" s="924"/>
      <c r="X28" s="924"/>
      <c r="Y28" s="924"/>
      <c r="Z28" s="929"/>
      <c r="AA28" s="924"/>
      <c r="AB28" s="924"/>
      <c r="AC28" s="924"/>
      <c r="AD28" s="924"/>
      <c r="AE28" s="930"/>
    </row>
    <row r="29" spans="1:31" x14ac:dyDescent="0.25">
      <c r="A29" s="399">
        <v>18</v>
      </c>
      <c r="B29" s="920"/>
      <c r="C29" s="924"/>
      <c r="D29" s="924"/>
      <c r="E29" s="924"/>
      <c r="F29" s="921"/>
      <c r="G29" s="924"/>
      <c r="H29" s="924"/>
      <c r="I29" s="924"/>
      <c r="J29" s="924"/>
      <c r="K29" s="922"/>
      <c r="L29" s="924"/>
      <c r="M29" s="924"/>
      <c r="N29" s="924"/>
      <c r="O29" s="924"/>
      <c r="P29" s="925"/>
      <c r="Q29" s="924"/>
      <c r="R29" s="924"/>
      <c r="S29" s="924"/>
      <c r="T29" s="924"/>
      <c r="U29" s="926"/>
      <c r="V29" s="924"/>
      <c r="W29" s="924"/>
      <c r="X29" s="924"/>
      <c r="Y29" s="924"/>
      <c r="Z29" s="929"/>
      <c r="AA29" s="924"/>
      <c r="AB29" s="924"/>
      <c r="AC29" s="924"/>
      <c r="AD29" s="924"/>
      <c r="AE29" s="930"/>
    </row>
    <row r="30" spans="1:31" x14ac:dyDescent="0.25">
      <c r="A30" s="399">
        <v>19</v>
      </c>
      <c r="B30" s="920"/>
      <c r="C30" s="924"/>
      <c r="D30" s="924"/>
      <c r="E30" s="924"/>
      <c r="F30" s="921"/>
      <c r="G30" s="924"/>
      <c r="H30" s="924"/>
      <c r="I30" s="924"/>
      <c r="J30" s="924"/>
      <c r="K30" s="922"/>
      <c r="L30" s="924"/>
      <c r="M30" s="924"/>
      <c r="N30" s="924"/>
      <c r="O30" s="924"/>
      <c r="P30" s="925"/>
      <c r="Q30" s="924"/>
      <c r="R30" s="924"/>
      <c r="S30" s="924"/>
      <c r="T30" s="924"/>
      <c r="U30" s="926"/>
      <c r="V30" s="924"/>
      <c r="W30" s="924"/>
      <c r="X30" s="924"/>
      <c r="Y30" s="924"/>
      <c r="Z30" s="929"/>
      <c r="AA30" s="924"/>
      <c r="AB30" s="924"/>
      <c r="AC30" s="924"/>
      <c r="AD30" s="924"/>
      <c r="AE30" s="930"/>
    </row>
    <row r="31" spans="1:31" x14ac:dyDescent="0.25">
      <c r="A31" s="399">
        <v>20</v>
      </c>
      <c r="B31" s="920"/>
      <c r="C31" s="924"/>
      <c r="D31" s="924"/>
      <c r="E31" s="924"/>
      <c r="F31" s="921"/>
      <c r="G31" s="924"/>
      <c r="H31" s="924"/>
      <c r="I31" s="924"/>
      <c r="J31" s="924"/>
      <c r="K31" s="922"/>
      <c r="L31" s="924"/>
      <c r="M31" s="924"/>
      <c r="N31" s="924"/>
      <c r="O31" s="924"/>
      <c r="P31" s="925"/>
      <c r="Q31" s="924"/>
      <c r="R31" s="924"/>
      <c r="S31" s="924"/>
      <c r="T31" s="924"/>
      <c r="U31" s="926"/>
      <c r="V31" s="924"/>
      <c r="W31" s="924"/>
      <c r="X31" s="924"/>
      <c r="Y31" s="924"/>
      <c r="Z31" s="929"/>
      <c r="AA31" s="924"/>
      <c r="AB31" s="924"/>
      <c r="AC31" s="924"/>
      <c r="AD31" s="924"/>
      <c r="AE31" s="930"/>
    </row>
    <row r="32" spans="1:31" x14ac:dyDescent="0.25">
      <c r="A32" s="399">
        <v>21</v>
      </c>
      <c r="B32" s="920"/>
      <c r="C32" s="924"/>
      <c r="D32" s="924"/>
      <c r="E32" s="924"/>
      <c r="F32" s="921"/>
      <c r="G32" s="924"/>
      <c r="H32" s="924"/>
      <c r="I32" s="924"/>
      <c r="J32" s="924"/>
      <c r="K32" s="922"/>
      <c r="L32" s="924"/>
      <c r="M32" s="924"/>
      <c r="N32" s="924"/>
      <c r="O32" s="924"/>
      <c r="P32" s="925"/>
      <c r="Q32" s="924"/>
      <c r="R32" s="924"/>
      <c r="S32" s="924"/>
      <c r="T32" s="924"/>
      <c r="U32" s="926"/>
      <c r="V32" s="924"/>
      <c r="W32" s="924"/>
      <c r="X32" s="924"/>
      <c r="Y32" s="924"/>
      <c r="Z32" s="929"/>
      <c r="AA32" s="924"/>
      <c r="AB32" s="924"/>
      <c r="AC32" s="924"/>
      <c r="AD32" s="924"/>
      <c r="AE32" s="930"/>
    </row>
    <row r="33" spans="1:31" x14ac:dyDescent="0.25">
      <c r="A33" s="399">
        <v>22</v>
      </c>
      <c r="B33" s="920"/>
      <c r="C33" s="924"/>
      <c r="D33" s="924"/>
      <c r="E33" s="924"/>
      <c r="F33" s="921"/>
      <c r="G33" s="924"/>
      <c r="H33" s="924"/>
      <c r="I33" s="924"/>
      <c r="J33" s="924"/>
      <c r="K33" s="922"/>
      <c r="L33" s="924"/>
      <c r="M33" s="924"/>
      <c r="N33" s="924"/>
      <c r="O33" s="924"/>
      <c r="P33" s="925"/>
      <c r="Q33" s="924"/>
      <c r="R33" s="924"/>
      <c r="S33" s="924"/>
      <c r="T33" s="924"/>
      <c r="U33" s="926"/>
      <c r="V33" s="924"/>
      <c r="W33" s="924"/>
      <c r="X33" s="924"/>
      <c r="Y33" s="924"/>
      <c r="Z33" s="929"/>
      <c r="AA33" s="924"/>
      <c r="AB33" s="924"/>
      <c r="AC33" s="924"/>
      <c r="AD33" s="924"/>
      <c r="AE33" s="930"/>
    </row>
    <row r="34" spans="1:31" x14ac:dyDescent="0.25">
      <c r="A34" s="399">
        <v>23</v>
      </c>
      <c r="B34" s="920"/>
      <c r="C34" s="924"/>
      <c r="D34" s="924"/>
      <c r="E34" s="924"/>
      <c r="F34" s="921"/>
      <c r="G34" s="924"/>
      <c r="H34" s="924"/>
      <c r="I34" s="924"/>
      <c r="J34" s="924"/>
      <c r="K34" s="922"/>
      <c r="L34" s="924"/>
      <c r="M34" s="924"/>
      <c r="N34" s="924"/>
      <c r="O34" s="924"/>
      <c r="P34" s="925"/>
      <c r="Q34" s="924"/>
      <c r="R34" s="924"/>
      <c r="S34" s="924"/>
      <c r="T34" s="924"/>
      <c r="U34" s="926"/>
      <c r="V34" s="924"/>
      <c r="W34" s="924"/>
      <c r="X34" s="924"/>
      <c r="Y34" s="924"/>
      <c r="Z34" s="929"/>
      <c r="AA34" s="924"/>
      <c r="AB34" s="924"/>
      <c r="AC34" s="924"/>
      <c r="AD34" s="924"/>
      <c r="AE34" s="930"/>
    </row>
    <row r="35" spans="1:31" x14ac:dyDescent="0.25">
      <c r="A35" s="399">
        <v>24</v>
      </c>
      <c r="B35" s="920"/>
      <c r="C35" s="924"/>
      <c r="D35" s="924"/>
      <c r="E35" s="924"/>
      <c r="F35" s="921"/>
      <c r="G35" s="924"/>
      <c r="H35" s="924"/>
      <c r="I35" s="924"/>
      <c r="J35" s="924"/>
      <c r="K35" s="922"/>
      <c r="L35" s="924"/>
      <c r="M35" s="924"/>
      <c r="N35" s="924"/>
      <c r="O35" s="924"/>
      <c r="P35" s="925"/>
      <c r="Q35" s="924"/>
      <c r="R35" s="924"/>
      <c r="S35" s="924"/>
      <c r="T35" s="924"/>
      <c r="U35" s="926"/>
      <c r="V35" s="924"/>
      <c r="W35" s="924"/>
      <c r="X35" s="924"/>
      <c r="Y35" s="924"/>
      <c r="Z35" s="929"/>
      <c r="AA35" s="924"/>
      <c r="AB35" s="924"/>
      <c r="AC35" s="924"/>
      <c r="AD35" s="924"/>
      <c r="AE35" s="930"/>
    </row>
    <row r="36" spans="1:31" x14ac:dyDescent="0.25">
      <c r="A36" s="399">
        <v>25</v>
      </c>
      <c r="B36" s="920"/>
      <c r="C36" s="924"/>
      <c r="D36" s="924"/>
      <c r="E36" s="924"/>
      <c r="F36" s="921"/>
      <c r="G36" s="924"/>
      <c r="H36" s="924"/>
      <c r="I36" s="924"/>
      <c r="J36" s="924"/>
      <c r="K36" s="922"/>
      <c r="L36" s="924"/>
      <c r="M36" s="924"/>
      <c r="N36" s="924"/>
      <c r="O36" s="924"/>
      <c r="P36" s="925"/>
      <c r="Q36" s="924"/>
      <c r="R36" s="924"/>
      <c r="S36" s="924"/>
      <c r="T36" s="924"/>
      <c r="U36" s="926"/>
      <c r="V36" s="924"/>
      <c r="W36" s="924"/>
      <c r="X36" s="924"/>
      <c r="Y36" s="924"/>
      <c r="Z36" s="929"/>
      <c r="AA36" s="924"/>
      <c r="AB36" s="924"/>
      <c r="AC36" s="924"/>
      <c r="AD36" s="924"/>
      <c r="AE36" s="930"/>
    </row>
    <row r="37" spans="1:31" x14ac:dyDescent="0.25">
      <c r="A37" s="399">
        <v>26</v>
      </c>
      <c r="B37" s="920"/>
      <c r="C37" s="924"/>
      <c r="D37" s="924"/>
      <c r="E37" s="924"/>
      <c r="F37" s="921"/>
      <c r="G37" s="924"/>
      <c r="H37" s="924"/>
      <c r="I37" s="924"/>
      <c r="J37" s="924"/>
      <c r="K37" s="922"/>
      <c r="L37" s="924"/>
      <c r="M37" s="924"/>
      <c r="N37" s="924"/>
      <c r="O37" s="924"/>
      <c r="P37" s="925"/>
      <c r="Q37" s="924"/>
      <c r="R37" s="924"/>
      <c r="S37" s="924"/>
      <c r="T37" s="924"/>
      <c r="U37" s="926"/>
      <c r="V37" s="924"/>
      <c r="W37" s="924"/>
      <c r="X37" s="924"/>
      <c r="Y37" s="924"/>
      <c r="Z37" s="929"/>
      <c r="AA37" s="924"/>
      <c r="AB37" s="924"/>
      <c r="AC37" s="924"/>
      <c r="AD37" s="924"/>
      <c r="AE37" s="930"/>
    </row>
    <row r="38" spans="1:31" x14ac:dyDescent="0.25">
      <c r="A38" s="399">
        <v>27</v>
      </c>
      <c r="B38" s="920"/>
      <c r="C38" s="924"/>
      <c r="D38" s="924"/>
      <c r="E38" s="924"/>
      <c r="F38" s="921"/>
      <c r="G38" s="924"/>
      <c r="H38" s="924"/>
      <c r="I38" s="924"/>
      <c r="J38" s="924"/>
      <c r="K38" s="922"/>
      <c r="L38" s="924"/>
      <c r="M38" s="924"/>
      <c r="N38" s="924"/>
      <c r="O38" s="924"/>
      <c r="P38" s="925"/>
      <c r="Q38" s="924"/>
      <c r="R38" s="924"/>
      <c r="S38" s="924"/>
      <c r="T38" s="924"/>
      <c r="U38" s="926"/>
      <c r="V38" s="924"/>
      <c r="W38" s="924"/>
      <c r="X38" s="924"/>
      <c r="Y38" s="924"/>
      <c r="Z38" s="929"/>
      <c r="AA38" s="924"/>
      <c r="AB38" s="924"/>
      <c r="AC38" s="924"/>
      <c r="AD38" s="924"/>
      <c r="AE38" s="930"/>
    </row>
    <row r="39" spans="1:31" x14ac:dyDescent="0.25">
      <c r="A39" s="399">
        <v>28</v>
      </c>
      <c r="B39" s="920"/>
      <c r="C39" s="924"/>
      <c r="D39" s="924"/>
      <c r="E39" s="924"/>
      <c r="F39" s="921"/>
      <c r="G39" s="924"/>
      <c r="H39" s="924"/>
      <c r="I39" s="924"/>
      <c r="J39" s="924"/>
      <c r="K39" s="922"/>
      <c r="L39" s="924"/>
      <c r="M39" s="924"/>
      <c r="N39" s="924"/>
      <c r="O39" s="924"/>
      <c r="P39" s="925"/>
      <c r="Q39" s="924"/>
      <c r="R39" s="924"/>
      <c r="S39" s="924"/>
      <c r="T39" s="924"/>
      <c r="U39" s="926"/>
      <c r="V39" s="924"/>
      <c r="W39" s="924"/>
      <c r="X39" s="924"/>
      <c r="Y39" s="924"/>
      <c r="Z39" s="929"/>
      <c r="AA39" s="924"/>
      <c r="AB39" s="924"/>
      <c r="AC39" s="924"/>
      <c r="AD39" s="924"/>
      <c r="AE39" s="930"/>
    </row>
    <row r="40" spans="1:31" x14ac:dyDescent="0.25">
      <c r="A40" s="399">
        <v>29</v>
      </c>
      <c r="B40" s="920"/>
      <c r="C40" s="924"/>
      <c r="D40" s="924"/>
      <c r="E40" s="924"/>
      <c r="F40" s="921"/>
      <c r="G40" s="924"/>
      <c r="H40" s="924"/>
      <c r="I40" s="924"/>
      <c r="J40" s="924"/>
      <c r="K40" s="922"/>
      <c r="L40" s="924"/>
      <c r="M40" s="924"/>
      <c r="N40" s="924"/>
      <c r="O40" s="924"/>
      <c r="P40" s="925"/>
      <c r="Q40" s="924"/>
      <c r="R40" s="924"/>
      <c r="S40" s="924"/>
      <c r="T40" s="924"/>
      <c r="U40" s="926"/>
      <c r="V40" s="924"/>
      <c r="W40" s="924"/>
      <c r="X40" s="924"/>
      <c r="Y40" s="924"/>
      <c r="Z40" s="929"/>
      <c r="AA40" s="924"/>
      <c r="AB40" s="924"/>
      <c r="AC40" s="924"/>
      <c r="AD40" s="924"/>
      <c r="AE40" s="930"/>
    </row>
    <row r="41" spans="1:31" x14ac:dyDescent="0.25">
      <c r="A41" s="399">
        <v>30</v>
      </c>
      <c r="B41" s="920"/>
      <c r="C41" s="924"/>
      <c r="D41" s="924"/>
      <c r="E41" s="924"/>
      <c r="F41" s="921"/>
      <c r="G41" s="924"/>
      <c r="H41" s="924"/>
      <c r="I41" s="924"/>
      <c r="J41" s="924"/>
      <c r="K41" s="922"/>
      <c r="L41" s="924"/>
      <c r="M41" s="924"/>
      <c r="N41" s="924"/>
      <c r="O41" s="924"/>
      <c r="P41" s="925"/>
      <c r="Q41" s="924"/>
      <c r="R41" s="924"/>
      <c r="S41" s="924"/>
      <c r="T41" s="924"/>
      <c r="U41" s="926"/>
      <c r="V41" s="924"/>
      <c r="W41" s="924"/>
      <c r="X41" s="924"/>
      <c r="Y41" s="924"/>
      <c r="Z41" s="929"/>
      <c r="AA41" s="924"/>
      <c r="AB41" s="924"/>
      <c r="AC41" s="924"/>
      <c r="AD41" s="924"/>
      <c r="AE41" s="930"/>
    </row>
    <row r="42" spans="1:31" x14ac:dyDescent="0.25">
      <c r="A42" s="399">
        <v>31</v>
      </c>
      <c r="B42" s="920"/>
      <c r="C42" s="924"/>
      <c r="D42" s="924"/>
      <c r="E42" s="924"/>
      <c r="F42" s="921"/>
      <c r="G42" s="924"/>
      <c r="H42" s="924"/>
      <c r="I42" s="924"/>
      <c r="J42" s="924"/>
      <c r="K42" s="922"/>
      <c r="L42" s="924"/>
      <c r="M42" s="924"/>
      <c r="N42" s="924"/>
      <c r="O42" s="924"/>
      <c r="P42" s="925"/>
      <c r="Q42" s="924"/>
      <c r="R42" s="924"/>
      <c r="S42" s="924"/>
      <c r="T42" s="924"/>
      <c r="U42" s="926"/>
      <c r="V42" s="924"/>
      <c r="W42" s="924"/>
      <c r="X42" s="924"/>
      <c r="Y42" s="924"/>
      <c r="Z42" s="929"/>
      <c r="AA42" s="924"/>
      <c r="AB42" s="924"/>
      <c r="AC42" s="924"/>
      <c r="AD42" s="924"/>
      <c r="AE42" s="930"/>
    </row>
    <row r="43" spans="1:31" x14ac:dyDescent="0.25">
      <c r="A43" s="399">
        <v>32</v>
      </c>
      <c r="B43" s="920"/>
      <c r="C43" s="924"/>
      <c r="D43" s="924"/>
      <c r="E43" s="924"/>
      <c r="F43" s="921"/>
      <c r="G43" s="924"/>
      <c r="H43" s="924"/>
      <c r="I43" s="924"/>
      <c r="J43" s="924"/>
      <c r="K43" s="922"/>
      <c r="L43" s="924"/>
      <c r="M43" s="924"/>
      <c r="N43" s="924"/>
      <c r="O43" s="924"/>
      <c r="P43" s="925"/>
      <c r="Q43" s="924"/>
      <c r="R43" s="924"/>
      <c r="S43" s="924"/>
      <c r="T43" s="924"/>
      <c r="U43" s="926"/>
      <c r="V43" s="924"/>
      <c r="W43" s="924"/>
      <c r="X43" s="924"/>
      <c r="Y43" s="924"/>
      <c r="Z43" s="929"/>
      <c r="AA43" s="924"/>
      <c r="AB43" s="924"/>
      <c r="AC43" s="924"/>
      <c r="AD43" s="924"/>
      <c r="AE43" s="930"/>
    </row>
    <row r="44" spans="1:31" x14ac:dyDescent="0.25">
      <c r="A44" s="399">
        <v>33</v>
      </c>
      <c r="B44" s="920"/>
      <c r="C44" s="924"/>
      <c r="D44" s="924"/>
      <c r="E44" s="924"/>
      <c r="F44" s="921"/>
      <c r="G44" s="924"/>
      <c r="H44" s="924"/>
      <c r="I44" s="924"/>
      <c r="J44" s="924"/>
      <c r="K44" s="922"/>
      <c r="L44" s="924"/>
      <c r="M44" s="924"/>
      <c r="N44" s="924"/>
      <c r="O44" s="924"/>
      <c r="P44" s="925"/>
      <c r="Q44" s="924"/>
      <c r="R44" s="924"/>
      <c r="S44" s="924"/>
      <c r="T44" s="924"/>
      <c r="U44" s="926"/>
      <c r="V44" s="924"/>
      <c r="W44" s="924"/>
      <c r="X44" s="924"/>
      <c r="Y44" s="924"/>
      <c r="Z44" s="929"/>
      <c r="AA44" s="924"/>
      <c r="AB44" s="924"/>
      <c r="AC44" s="924"/>
      <c r="AD44" s="924"/>
      <c r="AE44" s="930"/>
    </row>
    <row r="45" spans="1:31" x14ac:dyDescent="0.25">
      <c r="A45" s="399">
        <v>34</v>
      </c>
      <c r="B45" s="920"/>
      <c r="C45" s="924"/>
      <c r="D45" s="924"/>
      <c r="E45" s="924"/>
      <c r="F45" s="921"/>
      <c r="G45" s="924"/>
      <c r="H45" s="924"/>
      <c r="I45" s="924"/>
      <c r="J45" s="924"/>
      <c r="K45" s="922"/>
      <c r="L45" s="924"/>
      <c r="M45" s="924"/>
      <c r="N45" s="924"/>
      <c r="O45" s="924"/>
      <c r="P45" s="925"/>
      <c r="Q45" s="924"/>
      <c r="R45" s="924"/>
      <c r="S45" s="924"/>
      <c r="T45" s="924"/>
      <c r="U45" s="926"/>
      <c r="V45" s="924"/>
      <c r="W45" s="924"/>
      <c r="X45" s="924"/>
      <c r="Y45" s="924"/>
      <c r="Z45" s="929"/>
      <c r="AA45" s="924"/>
      <c r="AB45" s="924"/>
      <c r="AC45" s="924"/>
      <c r="AD45" s="924"/>
      <c r="AE45" s="930"/>
    </row>
    <row r="46" spans="1:31" x14ac:dyDescent="0.25">
      <c r="A46" s="399">
        <v>35</v>
      </c>
      <c r="B46" s="920"/>
      <c r="C46" s="924"/>
      <c r="D46" s="924"/>
      <c r="E46" s="924"/>
      <c r="F46" s="921"/>
      <c r="G46" s="924"/>
      <c r="H46" s="924"/>
      <c r="I46" s="924"/>
      <c r="J46" s="924"/>
      <c r="K46" s="922"/>
      <c r="L46" s="924"/>
      <c r="M46" s="924"/>
      <c r="N46" s="924"/>
      <c r="O46" s="924"/>
      <c r="P46" s="925"/>
      <c r="Q46" s="924"/>
      <c r="R46" s="924"/>
      <c r="S46" s="924"/>
      <c r="T46" s="924"/>
      <c r="U46" s="926"/>
      <c r="V46" s="924"/>
      <c r="W46" s="924"/>
      <c r="X46" s="924"/>
      <c r="Y46" s="924"/>
      <c r="Z46" s="929"/>
      <c r="AA46" s="924"/>
      <c r="AB46" s="924"/>
      <c r="AC46" s="924"/>
      <c r="AD46" s="924"/>
      <c r="AE46" s="930"/>
    </row>
    <row r="47" spans="1:31" x14ac:dyDescent="0.25">
      <c r="A47" s="399">
        <v>36</v>
      </c>
      <c r="B47" s="920"/>
      <c r="C47" s="924"/>
      <c r="D47" s="924"/>
      <c r="E47" s="924"/>
      <c r="F47" s="921"/>
      <c r="G47" s="924"/>
      <c r="H47" s="924"/>
      <c r="I47" s="924"/>
      <c r="J47" s="924"/>
      <c r="K47" s="922"/>
      <c r="L47" s="924"/>
      <c r="M47" s="924"/>
      <c r="N47" s="924"/>
      <c r="O47" s="924"/>
      <c r="P47" s="925"/>
      <c r="Q47" s="924"/>
      <c r="R47" s="924"/>
      <c r="S47" s="924"/>
      <c r="T47" s="924"/>
      <c r="U47" s="926"/>
      <c r="V47" s="924"/>
      <c r="W47" s="924"/>
      <c r="X47" s="924"/>
      <c r="Y47" s="924"/>
      <c r="Z47" s="929"/>
      <c r="AA47" s="924"/>
      <c r="AB47" s="924"/>
      <c r="AC47" s="924"/>
      <c r="AD47" s="924"/>
      <c r="AE47" s="930"/>
    </row>
    <row r="48" spans="1:31" x14ac:dyDescent="0.25">
      <c r="A48" s="399">
        <v>37</v>
      </c>
      <c r="B48" s="920"/>
      <c r="C48" s="924"/>
      <c r="D48" s="924"/>
      <c r="E48" s="924"/>
      <c r="F48" s="921"/>
      <c r="G48" s="924"/>
      <c r="H48" s="924"/>
      <c r="I48" s="924"/>
      <c r="J48" s="924"/>
      <c r="K48" s="922"/>
      <c r="L48" s="924"/>
      <c r="M48" s="924"/>
      <c r="N48" s="924"/>
      <c r="O48" s="924"/>
      <c r="P48" s="925"/>
      <c r="Q48" s="924"/>
      <c r="R48" s="924"/>
      <c r="S48" s="924"/>
      <c r="T48" s="924"/>
      <c r="U48" s="926"/>
      <c r="V48" s="924"/>
      <c r="W48" s="924"/>
      <c r="X48" s="924"/>
      <c r="Y48" s="924"/>
      <c r="Z48" s="929"/>
      <c r="AA48" s="924"/>
      <c r="AB48" s="924"/>
      <c r="AC48" s="924"/>
      <c r="AD48" s="924"/>
      <c r="AE48" s="930"/>
    </row>
    <row r="49" spans="1:31" x14ac:dyDescent="0.25">
      <c r="A49" s="399">
        <v>38</v>
      </c>
      <c r="B49" s="920"/>
      <c r="C49" s="924"/>
      <c r="D49" s="924"/>
      <c r="E49" s="924"/>
      <c r="F49" s="921"/>
      <c r="G49" s="924"/>
      <c r="H49" s="924"/>
      <c r="I49" s="924"/>
      <c r="J49" s="924"/>
      <c r="K49" s="922"/>
      <c r="L49" s="924"/>
      <c r="M49" s="924"/>
      <c r="N49" s="924"/>
      <c r="O49" s="924"/>
      <c r="P49" s="925"/>
      <c r="Q49" s="924"/>
      <c r="R49" s="924"/>
      <c r="S49" s="924"/>
      <c r="T49" s="924"/>
      <c r="U49" s="926"/>
      <c r="V49" s="924"/>
      <c r="W49" s="924"/>
      <c r="X49" s="924"/>
      <c r="Y49" s="924"/>
      <c r="Z49" s="929"/>
      <c r="AA49" s="924"/>
      <c r="AB49" s="924"/>
      <c r="AC49" s="924"/>
      <c r="AD49" s="924"/>
      <c r="AE49" s="930"/>
    </row>
    <row r="50" spans="1:31" x14ac:dyDescent="0.25">
      <c r="A50" s="399">
        <v>39</v>
      </c>
      <c r="B50" s="920"/>
      <c r="C50" s="924"/>
      <c r="D50" s="924"/>
      <c r="E50" s="924"/>
      <c r="F50" s="921"/>
      <c r="G50" s="924"/>
      <c r="H50" s="924"/>
      <c r="I50" s="924"/>
      <c r="J50" s="924"/>
      <c r="K50" s="922"/>
      <c r="L50" s="924"/>
      <c r="M50" s="924"/>
      <c r="N50" s="924"/>
      <c r="O50" s="924"/>
      <c r="P50" s="925"/>
      <c r="Q50" s="924"/>
      <c r="R50" s="924"/>
      <c r="S50" s="924"/>
      <c r="T50" s="924"/>
      <c r="U50" s="926"/>
      <c r="V50" s="924"/>
      <c r="W50" s="924"/>
      <c r="X50" s="924"/>
      <c r="Y50" s="924"/>
      <c r="Z50" s="929"/>
      <c r="AA50" s="924"/>
      <c r="AB50" s="924"/>
      <c r="AC50" s="924"/>
      <c r="AD50" s="924"/>
      <c r="AE50" s="930"/>
    </row>
    <row r="51" spans="1:31" x14ac:dyDescent="0.25">
      <c r="A51" s="399">
        <v>40</v>
      </c>
      <c r="B51" s="920"/>
      <c r="C51" s="924"/>
      <c r="D51" s="924"/>
      <c r="E51" s="924"/>
      <c r="F51" s="921"/>
      <c r="G51" s="924"/>
      <c r="H51" s="924"/>
      <c r="I51" s="924"/>
      <c r="J51" s="924"/>
      <c r="K51" s="922"/>
      <c r="L51" s="924"/>
      <c r="M51" s="924"/>
      <c r="N51" s="924"/>
      <c r="O51" s="924"/>
      <c r="P51" s="925"/>
      <c r="Q51" s="924"/>
      <c r="R51" s="924"/>
      <c r="S51" s="924"/>
      <c r="T51" s="924"/>
      <c r="U51" s="926"/>
      <c r="V51" s="924"/>
      <c r="W51" s="924"/>
      <c r="X51" s="924"/>
      <c r="Y51" s="924"/>
      <c r="Z51" s="929"/>
      <c r="AA51" s="924"/>
      <c r="AB51" s="924"/>
      <c r="AC51" s="924"/>
      <c r="AD51" s="924"/>
      <c r="AE51" s="930"/>
    </row>
    <row r="52" spans="1:31" x14ac:dyDescent="0.25">
      <c r="A52" s="399">
        <v>41</v>
      </c>
      <c r="B52" s="920"/>
      <c r="C52" s="924"/>
      <c r="D52" s="924"/>
      <c r="E52" s="924"/>
      <c r="F52" s="921"/>
      <c r="G52" s="924"/>
      <c r="H52" s="924"/>
      <c r="I52" s="924"/>
      <c r="J52" s="924"/>
      <c r="K52" s="922"/>
      <c r="L52" s="924"/>
      <c r="M52" s="924"/>
      <c r="N52" s="924"/>
      <c r="O52" s="924"/>
      <c r="P52" s="925"/>
      <c r="Q52" s="924"/>
      <c r="R52" s="924"/>
      <c r="S52" s="924"/>
      <c r="T52" s="924"/>
      <c r="U52" s="926"/>
      <c r="V52" s="924"/>
      <c r="W52" s="924"/>
      <c r="X52" s="924"/>
      <c r="Y52" s="924"/>
      <c r="Z52" s="929"/>
      <c r="AA52" s="924"/>
      <c r="AB52" s="924"/>
      <c r="AC52" s="924"/>
      <c r="AD52" s="924"/>
      <c r="AE52" s="930"/>
    </row>
    <row r="53" spans="1:31" x14ac:dyDescent="0.25">
      <c r="A53" s="399">
        <v>42</v>
      </c>
      <c r="B53" s="920"/>
      <c r="C53" s="924"/>
      <c r="D53" s="924"/>
      <c r="E53" s="924"/>
      <c r="F53" s="921"/>
      <c r="G53" s="924"/>
      <c r="H53" s="924"/>
      <c r="I53" s="924"/>
      <c r="J53" s="924"/>
      <c r="K53" s="922"/>
      <c r="L53" s="924"/>
      <c r="M53" s="924"/>
      <c r="N53" s="924"/>
      <c r="O53" s="924"/>
      <c r="P53" s="925"/>
      <c r="Q53" s="924"/>
      <c r="R53" s="924"/>
      <c r="S53" s="924"/>
      <c r="T53" s="924"/>
      <c r="U53" s="926"/>
      <c r="V53" s="924"/>
      <c r="W53" s="924"/>
      <c r="X53" s="924"/>
      <c r="Y53" s="924"/>
      <c r="Z53" s="929"/>
      <c r="AA53" s="924"/>
      <c r="AB53" s="924"/>
      <c r="AC53" s="924"/>
      <c r="AD53" s="924"/>
      <c r="AE53" s="930"/>
    </row>
    <row r="54" spans="1:31" x14ac:dyDescent="0.25">
      <c r="A54" s="399">
        <v>43</v>
      </c>
      <c r="B54" s="920"/>
      <c r="C54" s="924"/>
      <c r="D54" s="924"/>
      <c r="E54" s="924"/>
      <c r="F54" s="921"/>
      <c r="G54" s="924"/>
      <c r="H54" s="924"/>
      <c r="I54" s="924"/>
      <c r="J54" s="924"/>
      <c r="K54" s="922"/>
      <c r="L54" s="924"/>
      <c r="M54" s="924"/>
      <c r="N54" s="924"/>
      <c r="O54" s="924"/>
      <c r="P54" s="925"/>
      <c r="Q54" s="924"/>
      <c r="R54" s="924"/>
      <c r="S54" s="924"/>
      <c r="T54" s="924"/>
      <c r="U54" s="926"/>
      <c r="V54" s="924"/>
      <c r="W54" s="924"/>
      <c r="X54" s="924"/>
      <c r="Y54" s="924"/>
      <c r="Z54" s="929"/>
      <c r="AA54" s="924"/>
      <c r="AB54" s="924"/>
      <c r="AC54" s="924"/>
      <c r="AD54" s="924"/>
      <c r="AE54" s="930"/>
    </row>
    <row r="55" spans="1:31" x14ac:dyDescent="0.25">
      <c r="A55" s="399">
        <v>44</v>
      </c>
      <c r="B55" s="920"/>
      <c r="C55" s="924"/>
      <c r="D55" s="924"/>
      <c r="E55" s="924"/>
      <c r="F55" s="921"/>
      <c r="G55" s="924"/>
      <c r="H55" s="924"/>
      <c r="I55" s="924"/>
      <c r="J55" s="924"/>
      <c r="K55" s="922"/>
      <c r="L55" s="924"/>
      <c r="M55" s="924"/>
      <c r="N55" s="924"/>
      <c r="O55" s="924"/>
      <c r="P55" s="925"/>
      <c r="Q55" s="924"/>
      <c r="R55" s="924"/>
      <c r="S55" s="924"/>
      <c r="T55" s="924"/>
      <c r="U55" s="926"/>
      <c r="V55" s="924"/>
      <c r="W55" s="924"/>
      <c r="X55" s="924"/>
      <c r="Y55" s="924"/>
      <c r="Z55" s="929"/>
      <c r="AA55" s="924"/>
      <c r="AB55" s="924"/>
      <c r="AC55" s="924"/>
      <c r="AD55" s="924"/>
      <c r="AE55" s="930"/>
    </row>
    <row r="56" spans="1:31" x14ac:dyDescent="0.25">
      <c r="A56" s="399">
        <v>45</v>
      </c>
      <c r="B56" s="920"/>
      <c r="C56" s="924"/>
      <c r="D56" s="924"/>
      <c r="E56" s="924"/>
      <c r="F56" s="921"/>
      <c r="G56" s="924"/>
      <c r="H56" s="924"/>
      <c r="I56" s="924"/>
      <c r="J56" s="924"/>
      <c r="K56" s="922"/>
      <c r="L56" s="924"/>
      <c r="M56" s="924"/>
      <c r="N56" s="924"/>
      <c r="O56" s="924"/>
      <c r="P56" s="925"/>
      <c r="Q56" s="924"/>
      <c r="R56" s="924"/>
      <c r="S56" s="924"/>
      <c r="T56" s="924"/>
      <c r="U56" s="926"/>
      <c r="V56" s="924"/>
      <c r="W56" s="924"/>
      <c r="X56" s="924"/>
      <c r="Y56" s="924"/>
      <c r="Z56" s="929"/>
      <c r="AA56" s="924"/>
      <c r="AB56" s="924"/>
      <c r="AC56" s="924"/>
      <c r="AD56" s="924"/>
      <c r="AE56" s="930"/>
    </row>
    <row r="57" spans="1:31" x14ac:dyDescent="0.25">
      <c r="A57" s="399">
        <v>46</v>
      </c>
      <c r="B57" s="920"/>
      <c r="C57" s="924"/>
      <c r="D57" s="924"/>
      <c r="E57" s="924"/>
      <c r="F57" s="921"/>
      <c r="G57" s="924"/>
      <c r="H57" s="924"/>
      <c r="I57" s="924"/>
      <c r="J57" s="924"/>
      <c r="K57" s="922"/>
      <c r="L57" s="924"/>
      <c r="M57" s="924"/>
      <c r="N57" s="924"/>
      <c r="O57" s="924"/>
      <c r="P57" s="925"/>
      <c r="Q57" s="924"/>
      <c r="R57" s="924"/>
      <c r="S57" s="924"/>
      <c r="T57" s="924"/>
      <c r="U57" s="926"/>
      <c r="V57" s="924"/>
      <c r="W57" s="924"/>
      <c r="X57" s="924"/>
      <c r="Y57" s="924"/>
      <c r="Z57" s="929"/>
      <c r="AA57" s="924"/>
      <c r="AB57" s="924"/>
      <c r="AC57" s="924"/>
      <c r="AD57" s="924"/>
      <c r="AE57" s="930"/>
    </row>
    <row r="58" spans="1:31" x14ac:dyDescent="0.25">
      <c r="A58" s="399">
        <v>47</v>
      </c>
      <c r="B58" s="920"/>
      <c r="C58" s="924"/>
      <c r="D58" s="924"/>
      <c r="E58" s="924"/>
      <c r="F58" s="921"/>
      <c r="G58" s="924"/>
      <c r="H58" s="924"/>
      <c r="I58" s="924"/>
      <c r="J58" s="924"/>
      <c r="K58" s="922"/>
      <c r="L58" s="924"/>
      <c r="M58" s="924"/>
      <c r="N58" s="924"/>
      <c r="O58" s="924"/>
      <c r="P58" s="925"/>
      <c r="Q58" s="924"/>
      <c r="R58" s="924"/>
      <c r="S58" s="924"/>
      <c r="T58" s="924"/>
      <c r="U58" s="926"/>
      <c r="V58" s="924"/>
      <c r="W58" s="924"/>
      <c r="X58" s="924"/>
      <c r="Y58" s="924"/>
      <c r="Z58" s="929"/>
      <c r="AA58" s="924"/>
      <c r="AB58" s="924"/>
      <c r="AC58" s="924"/>
      <c r="AD58" s="924"/>
      <c r="AE58" s="930"/>
    </row>
    <row r="59" spans="1:31" x14ac:dyDescent="0.25">
      <c r="A59" s="399">
        <v>48</v>
      </c>
      <c r="B59" s="920"/>
      <c r="C59" s="924"/>
      <c r="D59" s="924"/>
      <c r="E59" s="924"/>
      <c r="F59" s="921"/>
      <c r="G59" s="924"/>
      <c r="H59" s="924"/>
      <c r="I59" s="924"/>
      <c r="J59" s="924"/>
      <c r="K59" s="922"/>
      <c r="L59" s="924"/>
      <c r="M59" s="924"/>
      <c r="N59" s="924"/>
      <c r="O59" s="924"/>
      <c r="P59" s="925"/>
      <c r="Q59" s="924"/>
      <c r="R59" s="924"/>
      <c r="S59" s="924"/>
      <c r="T59" s="924"/>
      <c r="U59" s="926"/>
      <c r="V59" s="924"/>
      <c r="W59" s="924"/>
      <c r="X59" s="924"/>
      <c r="Y59" s="924"/>
      <c r="Z59" s="929"/>
      <c r="AA59" s="924"/>
      <c r="AB59" s="924"/>
      <c r="AC59" s="924"/>
      <c r="AD59" s="924"/>
      <c r="AE59" s="930"/>
    </row>
    <row r="60" spans="1:31" x14ac:dyDescent="0.25">
      <c r="A60" s="399">
        <v>49</v>
      </c>
      <c r="B60" s="920"/>
      <c r="C60" s="924"/>
      <c r="D60" s="924"/>
      <c r="E60" s="924"/>
      <c r="F60" s="921"/>
      <c r="G60" s="924"/>
      <c r="H60" s="924"/>
      <c r="I60" s="924"/>
      <c r="J60" s="924"/>
      <c r="K60" s="922"/>
      <c r="L60" s="924"/>
      <c r="M60" s="924"/>
      <c r="N60" s="924"/>
      <c r="O60" s="924"/>
      <c r="P60" s="925"/>
      <c r="Q60" s="924"/>
      <c r="R60" s="924"/>
      <c r="S60" s="924"/>
      <c r="T60" s="924"/>
      <c r="U60" s="926"/>
      <c r="V60" s="924"/>
      <c r="W60" s="924"/>
      <c r="X60" s="924"/>
      <c r="Y60" s="924"/>
      <c r="Z60" s="929"/>
      <c r="AA60" s="924"/>
      <c r="AB60" s="924"/>
      <c r="AC60" s="924"/>
      <c r="AD60" s="924"/>
      <c r="AE60" s="930"/>
    </row>
    <row r="61" spans="1:31" x14ac:dyDescent="0.25">
      <c r="A61" s="399">
        <v>50</v>
      </c>
      <c r="B61" s="920"/>
      <c r="C61" s="924"/>
      <c r="D61" s="924"/>
      <c r="E61" s="924"/>
      <c r="F61" s="921"/>
      <c r="G61" s="924"/>
      <c r="H61" s="924"/>
      <c r="I61" s="924"/>
      <c r="J61" s="924"/>
      <c r="K61" s="922"/>
      <c r="L61" s="924"/>
      <c r="M61" s="924"/>
      <c r="N61" s="924"/>
      <c r="O61" s="924"/>
      <c r="P61" s="925"/>
      <c r="Q61" s="924"/>
      <c r="R61" s="924"/>
      <c r="S61" s="924"/>
      <c r="T61" s="924"/>
      <c r="U61" s="926"/>
      <c r="V61" s="924"/>
      <c r="W61" s="924"/>
      <c r="X61" s="924"/>
      <c r="Y61" s="924"/>
      <c r="Z61" s="929"/>
      <c r="AA61" s="924"/>
      <c r="AB61" s="924"/>
      <c r="AC61" s="924"/>
      <c r="AD61" s="924"/>
      <c r="AE61" s="930"/>
    </row>
    <row r="62" spans="1:31" x14ac:dyDescent="0.25">
      <c r="A62" s="399">
        <v>51</v>
      </c>
      <c r="B62" s="920"/>
      <c r="C62" s="924"/>
      <c r="D62" s="924"/>
      <c r="E62" s="924"/>
      <c r="F62" s="921"/>
      <c r="G62" s="924"/>
      <c r="H62" s="924"/>
      <c r="I62" s="924"/>
      <c r="J62" s="924"/>
      <c r="K62" s="922"/>
      <c r="L62" s="924"/>
      <c r="M62" s="924"/>
      <c r="N62" s="924"/>
      <c r="O62" s="924"/>
      <c r="P62" s="925"/>
      <c r="Q62" s="924"/>
      <c r="R62" s="924"/>
      <c r="S62" s="924"/>
      <c r="T62" s="924"/>
      <c r="U62" s="926"/>
      <c r="V62" s="924"/>
      <c r="W62" s="924"/>
      <c r="X62" s="924"/>
      <c r="Y62" s="924"/>
      <c r="Z62" s="929"/>
      <c r="AA62" s="924"/>
      <c r="AB62" s="924"/>
      <c r="AC62" s="924"/>
      <c r="AD62" s="924"/>
      <c r="AE62" s="930"/>
    </row>
    <row r="63" spans="1:31" x14ac:dyDescent="0.25">
      <c r="A63" s="399">
        <v>52</v>
      </c>
      <c r="B63" s="920"/>
      <c r="C63" s="924"/>
      <c r="D63" s="924"/>
      <c r="E63" s="924"/>
      <c r="F63" s="921"/>
      <c r="G63" s="924"/>
      <c r="H63" s="924"/>
      <c r="I63" s="924"/>
      <c r="J63" s="924"/>
      <c r="K63" s="922"/>
      <c r="L63" s="924"/>
      <c r="M63" s="924"/>
      <c r="N63" s="924"/>
      <c r="O63" s="924"/>
      <c r="P63" s="925"/>
      <c r="Q63" s="924"/>
      <c r="R63" s="924"/>
      <c r="S63" s="924"/>
      <c r="T63" s="924"/>
      <c r="U63" s="926"/>
      <c r="V63" s="924"/>
      <c r="W63" s="924"/>
      <c r="X63" s="924"/>
      <c r="Y63" s="924"/>
      <c r="Z63" s="929"/>
      <c r="AA63" s="924"/>
      <c r="AB63" s="924"/>
      <c r="AC63" s="924"/>
      <c r="AD63" s="924"/>
      <c r="AE63" s="930"/>
    </row>
    <row r="64" spans="1:31" x14ac:dyDescent="0.25">
      <c r="A64" s="399">
        <v>53</v>
      </c>
      <c r="B64" s="920"/>
      <c r="C64" s="924"/>
      <c r="D64" s="924"/>
      <c r="E64" s="924"/>
      <c r="F64" s="921"/>
      <c r="G64" s="924"/>
      <c r="H64" s="924"/>
      <c r="I64" s="924"/>
      <c r="J64" s="924"/>
      <c r="K64" s="922"/>
      <c r="L64" s="924"/>
      <c r="M64" s="924"/>
      <c r="N64" s="924"/>
      <c r="O64" s="924"/>
      <c r="P64" s="925"/>
      <c r="Q64" s="924"/>
      <c r="R64" s="924"/>
      <c r="S64" s="924"/>
      <c r="T64" s="924"/>
      <c r="U64" s="926"/>
      <c r="V64" s="924"/>
      <c r="W64" s="924"/>
      <c r="X64" s="924"/>
      <c r="Y64" s="924"/>
      <c r="Z64" s="929"/>
      <c r="AA64" s="924"/>
      <c r="AB64" s="924"/>
      <c r="AC64" s="924"/>
      <c r="AD64" s="924"/>
      <c r="AE64" s="930"/>
    </row>
    <row r="65" spans="1:31" x14ac:dyDescent="0.25">
      <c r="A65" s="399">
        <v>54</v>
      </c>
      <c r="B65" s="920"/>
      <c r="C65" s="924"/>
      <c r="D65" s="924"/>
      <c r="E65" s="924"/>
      <c r="F65" s="921"/>
      <c r="G65" s="924"/>
      <c r="H65" s="924"/>
      <c r="I65" s="924"/>
      <c r="J65" s="924"/>
      <c r="K65" s="922"/>
      <c r="L65" s="924"/>
      <c r="M65" s="924"/>
      <c r="N65" s="924"/>
      <c r="O65" s="924"/>
      <c r="P65" s="925"/>
      <c r="Q65" s="924"/>
      <c r="R65" s="924"/>
      <c r="S65" s="924"/>
      <c r="T65" s="924"/>
      <c r="U65" s="926"/>
      <c r="V65" s="924"/>
      <c r="W65" s="924"/>
      <c r="X65" s="924"/>
      <c r="Y65" s="924"/>
      <c r="Z65" s="929"/>
      <c r="AA65" s="924"/>
      <c r="AB65" s="924"/>
      <c r="AC65" s="924"/>
      <c r="AD65" s="924"/>
      <c r="AE65" s="930"/>
    </row>
    <row r="66" spans="1:31" x14ac:dyDescent="0.25">
      <c r="A66" s="399">
        <v>55</v>
      </c>
      <c r="B66" s="920"/>
      <c r="C66" s="924"/>
      <c r="D66" s="924"/>
      <c r="E66" s="924"/>
      <c r="F66" s="921"/>
      <c r="G66" s="924"/>
      <c r="H66" s="924"/>
      <c r="I66" s="924"/>
      <c r="J66" s="924"/>
      <c r="K66" s="922"/>
      <c r="L66" s="924"/>
      <c r="M66" s="924"/>
      <c r="N66" s="924"/>
      <c r="O66" s="924"/>
      <c r="P66" s="925"/>
      <c r="Q66" s="924"/>
      <c r="R66" s="924"/>
      <c r="S66" s="924"/>
      <c r="T66" s="924"/>
      <c r="U66" s="926"/>
      <c r="V66" s="924"/>
      <c r="W66" s="924"/>
      <c r="X66" s="924"/>
      <c r="Y66" s="924"/>
      <c r="Z66" s="929"/>
      <c r="AA66" s="924"/>
      <c r="AB66" s="924"/>
      <c r="AC66" s="924"/>
      <c r="AD66" s="924"/>
      <c r="AE66" s="930"/>
    </row>
    <row r="67" spans="1:31" x14ac:dyDescent="0.25">
      <c r="A67" s="399">
        <v>56</v>
      </c>
      <c r="B67" s="920"/>
      <c r="C67" s="924"/>
      <c r="D67" s="924"/>
      <c r="E67" s="924"/>
      <c r="F67" s="921"/>
      <c r="G67" s="924"/>
      <c r="H67" s="924"/>
      <c r="I67" s="924"/>
      <c r="J67" s="924"/>
      <c r="K67" s="922"/>
      <c r="L67" s="924"/>
      <c r="M67" s="924"/>
      <c r="N67" s="924"/>
      <c r="O67" s="924"/>
      <c r="P67" s="925"/>
      <c r="Q67" s="924"/>
      <c r="R67" s="924"/>
      <c r="S67" s="924"/>
      <c r="T67" s="924"/>
      <c r="U67" s="926"/>
      <c r="V67" s="924"/>
      <c r="W67" s="924"/>
      <c r="X67" s="924"/>
      <c r="Y67" s="924"/>
      <c r="Z67" s="929"/>
      <c r="AA67" s="924"/>
      <c r="AB67" s="924"/>
      <c r="AC67" s="924"/>
      <c r="AD67" s="924"/>
      <c r="AE67" s="930"/>
    </row>
    <row r="68" spans="1:31" x14ac:dyDescent="0.25">
      <c r="A68" s="399">
        <v>57</v>
      </c>
      <c r="B68" s="920"/>
      <c r="C68" s="924"/>
      <c r="D68" s="924"/>
      <c r="E68" s="924"/>
      <c r="F68" s="921"/>
      <c r="G68" s="924"/>
      <c r="H68" s="924"/>
      <c r="I68" s="924"/>
      <c r="J68" s="924"/>
      <c r="K68" s="922"/>
      <c r="L68" s="924"/>
      <c r="M68" s="924"/>
      <c r="N68" s="924"/>
      <c r="O68" s="924"/>
      <c r="P68" s="925"/>
      <c r="Q68" s="924"/>
      <c r="R68" s="924"/>
      <c r="S68" s="924"/>
      <c r="T68" s="924"/>
      <c r="U68" s="926"/>
      <c r="V68" s="924"/>
      <c r="W68" s="924"/>
      <c r="X68" s="924"/>
      <c r="Y68" s="924"/>
      <c r="Z68" s="929"/>
      <c r="AA68" s="924"/>
      <c r="AB68" s="924"/>
      <c r="AC68" s="924"/>
      <c r="AD68" s="924"/>
      <c r="AE68" s="930"/>
    </row>
    <row r="69" spans="1:31" x14ac:dyDescent="0.25">
      <c r="A69" s="399">
        <v>58</v>
      </c>
      <c r="B69" s="920"/>
      <c r="C69" s="924"/>
      <c r="D69" s="924"/>
      <c r="E69" s="924"/>
      <c r="F69" s="921"/>
      <c r="G69" s="924"/>
      <c r="H69" s="924"/>
      <c r="I69" s="924"/>
      <c r="J69" s="924"/>
      <c r="K69" s="922"/>
      <c r="L69" s="924"/>
      <c r="M69" s="924"/>
      <c r="N69" s="924"/>
      <c r="O69" s="924"/>
      <c r="P69" s="925"/>
      <c r="Q69" s="924"/>
      <c r="R69" s="924"/>
      <c r="S69" s="924"/>
      <c r="T69" s="924"/>
      <c r="U69" s="926"/>
      <c r="V69" s="924"/>
      <c r="W69" s="924"/>
      <c r="X69" s="924"/>
      <c r="Y69" s="924"/>
      <c r="Z69" s="929"/>
      <c r="AA69" s="924"/>
      <c r="AB69" s="924"/>
      <c r="AC69" s="924"/>
      <c r="AD69" s="924"/>
      <c r="AE69" s="930"/>
    </row>
    <row r="70" spans="1:31" x14ac:dyDescent="0.25">
      <c r="A70" s="399">
        <v>59</v>
      </c>
      <c r="B70" s="920"/>
      <c r="C70" s="924"/>
      <c r="D70" s="924"/>
      <c r="E70" s="924"/>
      <c r="F70" s="921"/>
      <c r="G70" s="924"/>
      <c r="H70" s="924"/>
      <c r="I70" s="924"/>
      <c r="J70" s="924"/>
      <c r="K70" s="922"/>
      <c r="L70" s="924"/>
      <c r="M70" s="924"/>
      <c r="N70" s="924"/>
      <c r="O70" s="924"/>
      <c r="P70" s="925"/>
      <c r="Q70" s="924"/>
      <c r="R70" s="924"/>
      <c r="S70" s="924"/>
      <c r="T70" s="924"/>
      <c r="U70" s="926"/>
      <c r="V70" s="924"/>
      <c r="W70" s="924"/>
      <c r="X70" s="924"/>
      <c r="Y70" s="924"/>
      <c r="Z70" s="929"/>
      <c r="AA70" s="924"/>
      <c r="AB70" s="924"/>
      <c r="AC70" s="924"/>
      <c r="AD70" s="924"/>
      <c r="AE70" s="930"/>
    </row>
    <row r="71" spans="1:31" x14ac:dyDescent="0.25">
      <c r="A71" s="399">
        <v>60</v>
      </c>
      <c r="B71" s="920"/>
      <c r="C71" s="924"/>
      <c r="D71" s="924"/>
      <c r="E71" s="924"/>
      <c r="F71" s="921"/>
      <c r="G71" s="924"/>
      <c r="H71" s="924"/>
      <c r="I71" s="924"/>
      <c r="J71" s="924"/>
      <c r="K71" s="922"/>
      <c r="L71" s="924"/>
      <c r="M71" s="924"/>
      <c r="N71" s="924"/>
      <c r="O71" s="924"/>
      <c r="P71" s="925"/>
      <c r="Q71" s="924"/>
      <c r="R71" s="924"/>
      <c r="S71" s="924"/>
      <c r="T71" s="924"/>
      <c r="U71" s="926"/>
      <c r="V71" s="924"/>
      <c r="W71" s="924"/>
      <c r="X71" s="924"/>
      <c r="Y71" s="924"/>
      <c r="Z71" s="929"/>
      <c r="AA71" s="924"/>
      <c r="AB71" s="924"/>
      <c r="AC71" s="924"/>
      <c r="AD71" s="924"/>
      <c r="AE71" s="930"/>
    </row>
    <row r="72" spans="1:31" x14ac:dyDescent="0.25">
      <c r="A72" s="399">
        <v>61</v>
      </c>
      <c r="B72" s="920"/>
      <c r="C72" s="924"/>
      <c r="D72" s="924"/>
      <c r="E72" s="924"/>
      <c r="F72" s="921"/>
      <c r="G72" s="924"/>
      <c r="H72" s="924"/>
      <c r="I72" s="924"/>
      <c r="J72" s="924"/>
      <c r="K72" s="922"/>
      <c r="L72" s="924"/>
      <c r="M72" s="924"/>
      <c r="N72" s="924"/>
      <c r="O72" s="924"/>
      <c r="P72" s="925"/>
      <c r="Q72" s="924"/>
      <c r="R72" s="924"/>
      <c r="S72" s="924"/>
      <c r="T72" s="924"/>
      <c r="U72" s="926"/>
      <c r="V72" s="924"/>
      <c r="W72" s="924"/>
      <c r="X72" s="924"/>
      <c r="Y72" s="924"/>
      <c r="Z72" s="929"/>
      <c r="AA72" s="924"/>
      <c r="AB72" s="924"/>
      <c r="AC72" s="924"/>
      <c r="AD72" s="924"/>
      <c r="AE72" s="930"/>
    </row>
    <row r="73" spans="1:31" x14ac:dyDescent="0.25">
      <c r="A73" s="399">
        <v>62</v>
      </c>
      <c r="B73" s="920"/>
      <c r="C73" s="924"/>
      <c r="D73" s="924"/>
      <c r="E73" s="924"/>
      <c r="F73" s="921"/>
      <c r="G73" s="924"/>
      <c r="H73" s="924"/>
      <c r="I73" s="924"/>
      <c r="J73" s="924"/>
      <c r="K73" s="922"/>
      <c r="L73" s="924"/>
      <c r="M73" s="924"/>
      <c r="N73" s="924"/>
      <c r="O73" s="924"/>
      <c r="P73" s="925"/>
      <c r="Q73" s="924"/>
      <c r="R73" s="924"/>
      <c r="S73" s="924"/>
      <c r="T73" s="924"/>
      <c r="U73" s="926"/>
      <c r="V73" s="924"/>
      <c r="W73" s="924"/>
      <c r="X73" s="924"/>
      <c r="Y73" s="924"/>
      <c r="Z73" s="929"/>
      <c r="AA73" s="924"/>
      <c r="AB73" s="924"/>
      <c r="AC73" s="924"/>
      <c r="AD73" s="924"/>
      <c r="AE73" s="930"/>
    </row>
    <row r="74" spans="1:31" x14ac:dyDescent="0.25">
      <c r="A74" s="399">
        <v>63</v>
      </c>
      <c r="B74" s="920"/>
      <c r="C74" s="924"/>
      <c r="D74" s="924"/>
      <c r="E74" s="924"/>
      <c r="F74" s="921"/>
      <c r="G74" s="924"/>
      <c r="H74" s="924"/>
      <c r="I74" s="924"/>
      <c r="J74" s="924"/>
      <c r="K74" s="922"/>
      <c r="L74" s="924"/>
      <c r="M74" s="924"/>
      <c r="N74" s="924"/>
      <c r="O74" s="924"/>
      <c r="P74" s="925"/>
      <c r="Q74" s="924"/>
      <c r="R74" s="924"/>
      <c r="S74" s="924"/>
      <c r="T74" s="924"/>
      <c r="U74" s="926"/>
      <c r="V74" s="924"/>
      <c r="W74" s="924"/>
      <c r="X74" s="924"/>
      <c r="Y74" s="924"/>
      <c r="Z74" s="929"/>
      <c r="AA74" s="924"/>
      <c r="AB74" s="924"/>
      <c r="AC74" s="924"/>
      <c r="AD74" s="924"/>
      <c r="AE74" s="930"/>
    </row>
    <row r="75" spans="1:31" x14ac:dyDescent="0.25">
      <c r="A75" s="399">
        <v>64</v>
      </c>
      <c r="B75" s="920"/>
      <c r="C75" s="924"/>
      <c r="D75" s="924"/>
      <c r="E75" s="924"/>
      <c r="F75" s="921"/>
      <c r="G75" s="924"/>
      <c r="H75" s="924"/>
      <c r="I75" s="924"/>
      <c r="J75" s="924"/>
      <c r="K75" s="922"/>
      <c r="L75" s="924"/>
      <c r="M75" s="924"/>
      <c r="N75" s="924"/>
      <c r="O75" s="924"/>
      <c r="P75" s="925"/>
      <c r="Q75" s="924"/>
      <c r="R75" s="924"/>
      <c r="S75" s="924"/>
      <c r="T75" s="924"/>
      <c r="U75" s="926"/>
      <c r="V75" s="924"/>
      <c r="W75" s="924"/>
      <c r="X75" s="924"/>
      <c r="Y75" s="924"/>
      <c r="Z75" s="929"/>
      <c r="AA75" s="924"/>
      <c r="AB75" s="924"/>
      <c r="AC75" s="924"/>
      <c r="AD75" s="924"/>
      <c r="AE75" s="930"/>
    </row>
    <row r="76" spans="1:31" x14ac:dyDescent="0.25">
      <c r="A76" s="399">
        <v>65</v>
      </c>
      <c r="B76" s="920"/>
      <c r="C76" s="924"/>
      <c r="D76" s="924"/>
      <c r="E76" s="924"/>
      <c r="F76" s="921"/>
      <c r="G76" s="924"/>
      <c r="H76" s="924"/>
      <c r="I76" s="924"/>
      <c r="J76" s="924"/>
      <c r="K76" s="922"/>
      <c r="L76" s="924"/>
      <c r="M76" s="924"/>
      <c r="N76" s="924"/>
      <c r="O76" s="924"/>
      <c r="P76" s="925"/>
      <c r="Q76" s="924"/>
      <c r="R76" s="924"/>
      <c r="S76" s="924"/>
      <c r="T76" s="924"/>
      <c r="U76" s="926"/>
      <c r="V76" s="924"/>
      <c r="W76" s="924"/>
      <c r="X76" s="924"/>
      <c r="Y76" s="924"/>
      <c r="Z76" s="929"/>
      <c r="AA76" s="924"/>
      <c r="AB76" s="924"/>
      <c r="AC76" s="924"/>
      <c r="AD76" s="924"/>
      <c r="AE76" s="930"/>
    </row>
    <row r="77" spans="1:31" x14ac:dyDescent="0.25">
      <c r="A77" s="399">
        <v>66</v>
      </c>
      <c r="B77" s="920"/>
      <c r="C77" s="924"/>
      <c r="D77" s="924"/>
      <c r="E77" s="924"/>
      <c r="F77" s="921"/>
      <c r="G77" s="924"/>
      <c r="H77" s="924"/>
      <c r="I77" s="924"/>
      <c r="J77" s="924"/>
      <c r="K77" s="922"/>
      <c r="L77" s="924"/>
      <c r="M77" s="924"/>
      <c r="N77" s="924"/>
      <c r="O77" s="924"/>
      <c r="P77" s="925"/>
      <c r="Q77" s="924"/>
      <c r="R77" s="924"/>
      <c r="S77" s="924"/>
      <c r="T77" s="924"/>
      <c r="U77" s="926"/>
      <c r="V77" s="924"/>
      <c r="W77" s="924"/>
      <c r="X77" s="924"/>
      <c r="Y77" s="924"/>
      <c r="Z77" s="929"/>
      <c r="AA77" s="924"/>
      <c r="AB77" s="924"/>
      <c r="AC77" s="924"/>
      <c r="AD77" s="924"/>
      <c r="AE77" s="930"/>
    </row>
    <row r="78" spans="1:31" x14ac:dyDescent="0.25">
      <c r="A78" s="399">
        <v>67</v>
      </c>
      <c r="B78" s="920"/>
      <c r="C78" s="924"/>
      <c r="D78" s="924"/>
      <c r="E78" s="924"/>
      <c r="F78" s="921"/>
      <c r="G78" s="924"/>
      <c r="H78" s="924"/>
      <c r="I78" s="924"/>
      <c r="J78" s="924"/>
      <c r="K78" s="922"/>
      <c r="L78" s="924"/>
      <c r="M78" s="924"/>
      <c r="N78" s="924"/>
      <c r="O78" s="924"/>
      <c r="P78" s="925"/>
      <c r="Q78" s="924"/>
      <c r="R78" s="924"/>
      <c r="S78" s="924"/>
      <c r="T78" s="924"/>
      <c r="U78" s="926"/>
      <c r="V78" s="924"/>
      <c r="W78" s="924"/>
      <c r="X78" s="924"/>
      <c r="Y78" s="924"/>
      <c r="Z78" s="929"/>
      <c r="AA78" s="924"/>
      <c r="AB78" s="924"/>
      <c r="AC78" s="924"/>
      <c r="AD78" s="924"/>
      <c r="AE78" s="930"/>
    </row>
    <row r="79" spans="1:31" x14ac:dyDescent="0.25">
      <c r="A79" s="399">
        <v>68</v>
      </c>
      <c r="B79" s="920"/>
      <c r="C79" s="924"/>
      <c r="D79" s="924"/>
      <c r="E79" s="924"/>
      <c r="F79" s="921"/>
      <c r="G79" s="924"/>
      <c r="H79" s="924"/>
      <c r="I79" s="924"/>
      <c r="J79" s="924"/>
      <c r="K79" s="922"/>
      <c r="L79" s="924"/>
      <c r="M79" s="924"/>
      <c r="N79" s="924"/>
      <c r="O79" s="924"/>
      <c r="P79" s="925"/>
      <c r="Q79" s="924"/>
      <c r="R79" s="924"/>
      <c r="S79" s="924"/>
      <c r="T79" s="924"/>
      <c r="U79" s="926"/>
      <c r="V79" s="924"/>
      <c r="W79" s="924"/>
      <c r="X79" s="924"/>
      <c r="Y79" s="924"/>
      <c r="Z79" s="929"/>
      <c r="AA79" s="924"/>
      <c r="AB79" s="924"/>
      <c r="AC79" s="924"/>
      <c r="AD79" s="924"/>
      <c r="AE79" s="930"/>
    </row>
    <row r="80" spans="1:31" x14ac:dyDescent="0.25">
      <c r="A80" s="399">
        <v>69</v>
      </c>
      <c r="B80" s="920"/>
      <c r="C80" s="924"/>
      <c r="D80" s="924"/>
      <c r="E80" s="924"/>
      <c r="F80" s="921"/>
      <c r="G80" s="924"/>
      <c r="H80" s="924"/>
      <c r="I80" s="924"/>
      <c r="J80" s="924"/>
      <c r="K80" s="922"/>
      <c r="L80" s="924"/>
      <c r="M80" s="924"/>
      <c r="N80" s="924"/>
      <c r="O80" s="924"/>
      <c r="P80" s="925"/>
      <c r="Q80" s="924"/>
      <c r="R80" s="924"/>
      <c r="S80" s="924"/>
      <c r="T80" s="924"/>
      <c r="U80" s="926"/>
      <c r="V80" s="924"/>
      <c r="W80" s="924"/>
      <c r="X80" s="924"/>
      <c r="Y80" s="924"/>
      <c r="Z80" s="929"/>
      <c r="AA80" s="924"/>
      <c r="AB80" s="924"/>
      <c r="AC80" s="924"/>
      <c r="AD80" s="924"/>
      <c r="AE80" s="930"/>
    </row>
    <row r="81" spans="1:31" x14ac:dyDescent="0.25">
      <c r="A81" s="399">
        <v>70</v>
      </c>
      <c r="B81" s="920"/>
      <c r="C81" s="924"/>
      <c r="D81" s="924"/>
      <c r="E81" s="924"/>
      <c r="F81" s="921"/>
      <c r="G81" s="924"/>
      <c r="H81" s="924"/>
      <c r="I81" s="924"/>
      <c r="J81" s="924"/>
      <c r="K81" s="922"/>
      <c r="L81" s="924"/>
      <c r="M81" s="924"/>
      <c r="N81" s="924"/>
      <c r="O81" s="924"/>
      <c r="P81" s="925"/>
      <c r="Q81" s="924"/>
      <c r="R81" s="924"/>
      <c r="S81" s="924"/>
      <c r="T81" s="924"/>
      <c r="U81" s="926"/>
      <c r="V81" s="924"/>
      <c r="W81" s="924"/>
      <c r="X81" s="924"/>
      <c r="Y81" s="924"/>
      <c r="Z81" s="929"/>
      <c r="AA81" s="924"/>
      <c r="AB81" s="924"/>
      <c r="AC81" s="924"/>
      <c r="AD81" s="924"/>
      <c r="AE81" s="930"/>
    </row>
    <row r="82" spans="1:31" x14ac:dyDescent="0.25">
      <c r="A82" s="399">
        <v>71</v>
      </c>
      <c r="B82" s="920"/>
      <c r="C82" s="924"/>
      <c r="D82" s="924"/>
      <c r="E82" s="924"/>
      <c r="F82" s="921"/>
      <c r="G82" s="924"/>
      <c r="H82" s="924"/>
      <c r="I82" s="924"/>
      <c r="J82" s="924"/>
      <c r="K82" s="922"/>
      <c r="L82" s="924"/>
      <c r="M82" s="924"/>
      <c r="N82" s="924"/>
      <c r="O82" s="924"/>
      <c r="P82" s="925"/>
      <c r="Q82" s="924"/>
      <c r="R82" s="924"/>
      <c r="S82" s="924"/>
      <c r="T82" s="924"/>
      <c r="U82" s="926"/>
      <c r="V82" s="924"/>
      <c r="W82" s="924"/>
      <c r="X82" s="924"/>
      <c r="Y82" s="924"/>
      <c r="Z82" s="929"/>
      <c r="AA82" s="924"/>
      <c r="AB82" s="924"/>
      <c r="AC82" s="924"/>
      <c r="AD82" s="924"/>
      <c r="AE82" s="930"/>
    </row>
    <row r="83" spans="1:31" x14ac:dyDescent="0.25">
      <c r="A83" s="399">
        <v>72</v>
      </c>
      <c r="B83" s="920"/>
      <c r="C83" s="924"/>
      <c r="D83" s="924"/>
      <c r="E83" s="924"/>
      <c r="F83" s="921"/>
      <c r="G83" s="924"/>
      <c r="H83" s="924"/>
      <c r="I83" s="924"/>
      <c r="J83" s="924"/>
      <c r="K83" s="922"/>
      <c r="L83" s="924"/>
      <c r="M83" s="924"/>
      <c r="N83" s="924"/>
      <c r="O83" s="924"/>
      <c r="P83" s="925"/>
      <c r="Q83" s="924"/>
      <c r="R83" s="924"/>
      <c r="S83" s="924"/>
      <c r="T83" s="924"/>
      <c r="U83" s="926"/>
      <c r="V83" s="924"/>
      <c r="W83" s="924"/>
      <c r="X83" s="924"/>
      <c r="Y83" s="924"/>
      <c r="Z83" s="929"/>
      <c r="AA83" s="924"/>
      <c r="AB83" s="924"/>
      <c r="AC83" s="924"/>
      <c r="AD83" s="924"/>
      <c r="AE83" s="930"/>
    </row>
    <row r="84" spans="1:31" x14ac:dyDescent="0.25">
      <c r="A84" s="399">
        <v>73</v>
      </c>
      <c r="B84" s="920"/>
      <c r="C84" s="924"/>
      <c r="D84" s="924"/>
      <c r="E84" s="924"/>
      <c r="F84" s="921"/>
      <c r="G84" s="924"/>
      <c r="H84" s="924"/>
      <c r="I84" s="924"/>
      <c r="J84" s="924"/>
      <c r="K84" s="922"/>
      <c r="L84" s="924"/>
      <c r="M84" s="924"/>
      <c r="N84" s="924"/>
      <c r="O84" s="924"/>
      <c r="P84" s="925"/>
      <c r="Q84" s="924"/>
      <c r="R84" s="924"/>
      <c r="S84" s="924"/>
      <c r="T84" s="924"/>
      <c r="U84" s="926"/>
      <c r="V84" s="924"/>
      <c r="W84" s="924"/>
      <c r="X84" s="924"/>
      <c r="Y84" s="924"/>
      <c r="Z84" s="929"/>
      <c r="AA84" s="924"/>
      <c r="AB84" s="924"/>
      <c r="AC84" s="924"/>
      <c r="AD84" s="924"/>
      <c r="AE84" s="930"/>
    </row>
    <row r="85" spans="1:31" x14ac:dyDescent="0.25">
      <c r="A85" s="399">
        <v>74</v>
      </c>
      <c r="B85" s="920"/>
      <c r="C85" s="924"/>
      <c r="D85" s="924"/>
      <c r="E85" s="924"/>
      <c r="F85" s="921"/>
      <c r="G85" s="924"/>
      <c r="H85" s="924"/>
      <c r="I85" s="924"/>
      <c r="J85" s="924"/>
      <c r="K85" s="922"/>
      <c r="L85" s="924"/>
      <c r="M85" s="924"/>
      <c r="N85" s="924"/>
      <c r="O85" s="924"/>
      <c r="P85" s="925"/>
      <c r="Q85" s="924"/>
      <c r="R85" s="924"/>
      <c r="S85" s="924"/>
      <c r="T85" s="924"/>
      <c r="U85" s="926"/>
      <c r="V85" s="924"/>
      <c r="W85" s="924"/>
      <c r="X85" s="924"/>
      <c r="Y85" s="924"/>
      <c r="Z85" s="929"/>
      <c r="AA85" s="924"/>
      <c r="AB85" s="924"/>
      <c r="AC85" s="924"/>
      <c r="AD85" s="924"/>
      <c r="AE85" s="930"/>
    </row>
    <row r="86" spans="1:31" x14ac:dyDescent="0.25">
      <c r="A86" s="399">
        <v>75</v>
      </c>
      <c r="B86" s="920"/>
      <c r="C86" s="924"/>
      <c r="D86" s="924"/>
      <c r="E86" s="924"/>
      <c r="F86" s="921"/>
      <c r="G86" s="924"/>
      <c r="H86" s="924"/>
      <c r="I86" s="924"/>
      <c r="J86" s="924"/>
      <c r="K86" s="922"/>
      <c r="L86" s="924"/>
      <c r="M86" s="924"/>
      <c r="N86" s="924"/>
      <c r="O86" s="924"/>
      <c r="P86" s="925"/>
      <c r="Q86" s="924"/>
      <c r="R86" s="924"/>
      <c r="S86" s="924"/>
      <c r="T86" s="924"/>
      <c r="U86" s="926"/>
      <c r="V86" s="924"/>
      <c r="W86" s="924"/>
      <c r="X86" s="924"/>
      <c r="Y86" s="924"/>
      <c r="Z86" s="929"/>
      <c r="AA86" s="924"/>
      <c r="AB86" s="924"/>
      <c r="AC86" s="924"/>
      <c r="AD86" s="924"/>
      <c r="AE86" s="930"/>
    </row>
    <row r="87" spans="1:31" x14ac:dyDescent="0.25">
      <c r="A87" s="399">
        <v>76</v>
      </c>
      <c r="B87" s="920"/>
      <c r="C87" s="924"/>
      <c r="D87" s="924"/>
      <c r="E87" s="924"/>
      <c r="F87" s="921"/>
      <c r="G87" s="924"/>
      <c r="H87" s="924"/>
      <c r="I87" s="924"/>
      <c r="J87" s="924"/>
      <c r="K87" s="922"/>
      <c r="L87" s="924"/>
      <c r="M87" s="924"/>
      <c r="N87" s="924"/>
      <c r="O87" s="924"/>
      <c r="P87" s="925"/>
      <c r="Q87" s="924"/>
      <c r="R87" s="924"/>
      <c r="S87" s="924"/>
      <c r="T87" s="924"/>
      <c r="U87" s="926"/>
      <c r="V87" s="924"/>
      <c r="W87" s="924"/>
      <c r="X87" s="924"/>
      <c r="Y87" s="924"/>
      <c r="Z87" s="929"/>
      <c r="AA87" s="924"/>
      <c r="AB87" s="924"/>
      <c r="AC87" s="924"/>
      <c r="AD87" s="924"/>
      <c r="AE87" s="930"/>
    </row>
    <row r="88" spans="1:31" x14ac:dyDescent="0.25">
      <c r="A88" s="399">
        <v>77</v>
      </c>
      <c r="B88" s="920"/>
      <c r="C88" s="924"/>
      <c r="D88" s="924"/>
      <c r="E88" s="924"/>
      <c r="F88" s="921"/>
      <c r="G88" s="924"/>
      <c r="H88" s="924"/>
      <c r="I88" s="924"/>
      <c r="J88" s="924"/>
      <c r="K88" s="922"/>
      <c r="L88" s="924"/>
      <c r="M88" s="924"/>
      <c r="N88" s="924"/>
      <c r="O88" s="924"/>
      <c r="P88" s="925"/>
      <c r="Q88" s="924"/>
      <c r="R88" s="924"/>
      <c r="S88" s="924"/>
      <c r="T88" s="924"/>
      <c r="U88" s="926"/>
      <c r="V88" s="924"/>
      <c r="W88" s="924"/>
      <c r="X88" s="924"/>
      <c r="Y88" s="924"/>
      <c r="Z88" s="929"/>
      <c r="AA88" s="924"/>
      <c r="AB88" s="924"/>
      <c r="AC88" s="924"/>
      <c r="AD88" s="924"/>
      <c r="AE88" s="930"/>
    </row>
    <row r="89" spans="1:31" x14ac:dyDescent="0.25">
      <c r="A89" s="399">
        <v>78</v>
      </c>
      <c r="B89" s="920"/>
      <c r="C89" s="924"/>
      <c r="D89" s="924"/>
      <c r="E89" s="924"/>
      <c r="F89" s="921"/>
      <c r="G89" s="924"/>
      <c r="H89" s="924"/>
      <c r="I89" s="924"/>
      <c r="J89" s="924"/>
      <c r="K89" s="922"/>
      <c r="L89" s="924"/>
      <c r="M89" s="924"/>
      <c r="N89" s="924"/>
      <c r="O89" s="924"/>
      <c r="P89" s="925"/>
      <c r="Q89" s="924"/>
      <c r="R89" s="924"/>
      <c r="S89" s="924"/>
      <c r="T89" s="924"/>
      <c r="U89" s="926"/>
      <c r="V89" s="924"/>
      <c r="W89" s="924"/>
      <c r="X89" s="924"/>
      <c r="Y89" s="924"/>
      <c r="Z89" s="929"/>
      <c r="AA89" s="924"/>
      <c r="AB89" s="924"/>
      <c r="AC89" s="924"/>
      <c r="AD89" s="924"/>
      <c r="AE89" s="930"/>
    </row>
    <row r="90" spans="1:31" x14ac:dyDescent="0.25">
      <c r="A90" s="399">
        <v>79</v>
      </c>
      <c r="B90" s="920"/>
      <c r="C90" s="924"/>
      <c r="D90" s="924"/>
      <c r="E90" s="924"/>
      <c r="F90" s="921"/>
      <c r="G90" s="924"/>
      <c r="H90" s="924"/>
      <c r="I90" s="924"/>
      <c r="J90" s="924"/>
      <c r="K90" s="922"/>
      <c r="L90" s="924"/>
      <c r="M90" s="924"/>
      <c r="N90" s="924"/>
      <c r="O90" s="924"/>
      <c r="P90" s="925"/>
      <c r="Q90" s="924"/>
      <c r="R90" s="924"/>
      <c r="S90" s="924"/>
      <c r="T90" s="924"/>
      <c r="U90" s="926"/>
      <c r="V90" s="924"/>
      <c r="W90" s="924"/>
      <c r="X90" s="924"/>
      <c r="Y90" s="924"/>
      <c r="Z90" s="929"/>
      <c r="AA90" s="924"/>
      <c r="AB90" s="924"/>
      <c r="AC90" s="924"/>
      <c r="AD90" s="924"/>
      <c r="AE90" s="930"/>
    </row>
    <row r="91" spans="1:31" x14ac:dyDescent="0.25">
      <c r="A91" s="399">
        <v>80</v>
      </c>
      <c r="B91" s="920"/>
      <c r="C91" s="924"/>
      <c r="D91" s="924"/>
      <c r="E91" s="924"/>
      <c r="F91" s="921"/>
      <c r="G91" s="924"/>
      <c r="H91" s="924"/>
      <c r="I91" s="924"/>
      <c r="J91" s="924"/>
      <c r="K91" s="922"/>
      <c r="L91" s="924"/>
      <c r="M91" s="924"/>
      <c r="N91" s="924"/>
      <c r="O91" s="924"/>
      <c r="P91" s="925"/>
      <c r="Q91" s="924"/>
      <c r="R91" s="924"/>
      <c r="S91" s="924"/>
      <c r="T91" s="924"/>
      <c r="U91" s="926"/>
      <c r="V91" s="924"/>
      <c r="W91" s="924"/>
      <c r="X91" s="924"/>
      <c r="Y91" s="924"/>
      <c r="Z91" s="929"/>
      <c r="AA91" s="924"/>
      <c r="AB91" s="924"/>
      <c r="AC91" s="924"/>
      <c r="AD91" s="924"/>
      <c r="AE91" s="930"/>
    </row>
    <row r="92" spans="1:31" x14ac:dyDescent="0.25">
      <c r="A92" s="399">
        <v>81</v>
      </c>
      <c r="B92" s="920"/>
      <c r="C92" s="924"/>
      <c r="D92" s="924"/>
      <c r="E92" s="924"/>
      <c r="F92" s="921"/>
      <c r="G92" s="924"/>
      <c r="H92" s="924"/>
      <c r="I92" s="924"/>
      <c r="J92" s="924"/>
      <c r="K92" s="922"/>
      <c r="L92" s="924"/>
      <c r="M92" s="924"/>
      <c r="N92" s="924"/>
      <c r="O92" s="924"/>
      <c r="P92" s="925"/>
      <c r="Q92" s="924"/>
      <c r="R92" s="924"/>
      <c r="S92" s="924"/>
      <c r="T92" s="924"/>
      <c r="U92" s="926"/>
      <c r="V92" s="924"/>
      <c r="W92" s="924"/>
      <c r="X92" s="924"/>
      <c r="Y92" s="924"/>
      <c r="Z92" s="929"/>
      <c r="AA92" s="924"/>
      <c r="AB92" s="924"/>
      <c r="AC92" s="924"/>
      <c r="AD92" s="924"/>
      <c r="AE92" s="930"/>
    </row>
    <row r="93" spans="1:31" x14ac:dyDescent="0.25">
      <c r="A93" s="399">
        <v>82</v>
      </c>
      <c r="B93" s="920"/>
      <c r="C93" s="924"/>
      <c r="D93" s="924"/>
      <c r="E93" s="924"/>
      <c r="F93" s="921"/>
      <c r="G93" s="924"/>
      <c r="H93" s="924"/>
      <c r="I93" s="924"/>
      <c r="J93" s="924"/>
      <c r="K93" s="922"/>
      <c r="L93" s="924"/>
      <c r="M93" s="924"/>
      <c r="N93" s="924"/>
      <c r="O93" s="924"/>
      <c r="P93" s="925"/>
      <c r="Q93" s="924"/>
      <c r="R93" s="924"/>
      <c r="S93" s="924"/>
      <c r="T93" s="924"/>
      <c r="U93" s="926"/>
      <c r="V93" s="924"/>
      <c r="W93" s="924"/>
      <c r="X93" s="924"/>
      <c r="Y93" s="924"/>
      <c r="Z93" s="929"/>
      <c r="AA93" s="924"/>
      <c r="AB93" s="924"/>
      <c r="AC93" s="924"/>
      <c r="AD93" s="924"/>
      <c r="AE93" s="930"/>
    </row>
    <row r="94" spans="1:31" x14ac:dyDescent="0.25">
      <c r="A94" s="399">
        <v>83</v>
      </c>
      <c r="B94" s="920"/>
      <c r="C94" s="924"/>
      <c r="D94" s="924"/>
      <c r="E94" s="924"/>
      <c r="F94" s="921"/>
      <c r="G94" s="924"/>
      <c r="H94" s="924"/>
      <c r="I94" s="924"/>
      <c r="J94" s="924"/>
      <c r="K94" s="922"/>
      <c r="L94" s="924"/>
      <c r="M94" s="924"/>
      <c r="N94" s="924"/>
      <c r="O94" s="924"/>
      <c r="P94" s="925"/>
      <c r="Q94" s="924"/>
      <c r="R94" s="924"/>
      <c r="S94" s="924"/>
      <c r="T94" s="924"/>
      <c r="U94" s="926"/>
      <c r="V94" s="924"/>
      <c r="W94" s="924"/>
      <c r="X94" s="924"/>
      <c r="Y94" s="924"/>
      <c r="Z94" s="929"/>
      <c r="AA94" s="924"/>
      <c r="AB94" s="924"/>
      <c r="AC94" s="924"/>
      <c r="AD94" s="924"/>
      <c r="AE94" s="930"/>
    </row>
    <row r="95" spans="1:31" x14ac:dyDescent="0.25">
      <c r="A95" s="399">
        <v>84</v>
      </c>
      <c r="B95" s="920"/>
      <c r="C95" s="924"/>
      <c r="D95" s="924"/>
      <c r="E95" s="924"/>
      <c r="F95" s="921"/>
      <c r="G95" s="924"/>
      <c r="H95" s="924"/>
      <c r="I95" s="924"/>
      <c r="J95" s="924"/>
      <c r="K95" s="922"/>
      <c r="L95" s="924"/>
      <c r="M95" s="924"/>
      <c r="N95" s="924"/>
      <c r="O95" s="924"/>
      <c r="P95" s="925"/>
      <c r="Q95" s="924"/>
      <c r="R95" s="924"/>
      <c r="S95" s="924"/>
      <c r="T95" s="924"/>
      <c r="U95" s="926"/>
      <c r="V95" s="924"/>
      <c r="W95" s="924"/>
      <c r="X95" s="924"/>
      <c r="Y95" s="924"/>
      <c r="Z95" s="929"/>
      <c r="AA95" s="924"/>
      <c r="AB95" s="924"/>
      <c r="AC95" s="924"/>
      <c r="AD95" s="924"/>
      <c r="AE95" s="930"/>
    </row>
    <row r="96" spans="1:31" x14ac:dyDescent="0.25">
      <c r="A96" s="399">
        <v>85</v>
      </c>
      <c r="B96" s="920"/>
      <c r="C96" s="924"/>
      <c r="D96" s="924"/>
      <c r="E96" s="924"/>
      <c r="F96" s="921"/>
      <c r="G96" s="924"/>
      <c r="H96" s="924"/>
      <c r="I96" s="924"/>
      <c r="J96" s="924"/>
      <c r="K96" s="922"/>
      <c r="L96" s="924"/>
      <c r="M96" s="924"/>
      <c r="N96" s="924"/>
      <c r="O96" s="924"/>
      <c r="P96" s="925"/>
      <c r="Q96" s="924"/>
      <c r="R96" s="924"/>
      <c r="S96" s="924"/>
      <c r="T96" s="924"/>
      <c r="U96" s="926"/>
      <c r="V96" s="924"/>
      <c r="W96" s="924"/>
      <c r="X96" s="924"/>
      <c r="Y96" s="924"/>
      <c r="Z96" s="929"/>
      <c r="AA96" s="924"/>
      <c r="AB96" s="924"/>
      <c r="AC96" s="924"/>
      <c r="AD96" s="924"/>
      <c r="AE96" s="930"/>
    </row>
    <row r="97" spans="1:31" x14ac:dyDescent="0.25">
      <c r="A97" s="399">
        <v>86</v>
      </c>
      <c r="B97" s="920"/>
      <c r="C97" s="924"/>
      <c r="D97" s="924"/>
      <c r="E97" s="924"/>
      <c r="F97" s="921"/>
      <c r="G97" s="924"/>
      <c r="H97" s="924"/>
      <c r="I97" s="924"/>
      <c r="J97" s="924"/>
      <c r="K97" s="922"/>
      <c r="L97" s="924"/>
      <c r="M97" s="924"/>
      <c r="N97" s="924"/>
      <c r="O97" s="924"/>
      <c r="P97" s="925"/>
      <c r="Q97" s="924"/>
      <c r="R97" s="924"/>
      <c r="S97" s="924"/>
      <c r="T97" s="924"/>
      <c r="U97" s="926"/>
      <c r="V97" s="924"/>
      <c r="W97" s="924"/>
      <c r="X97" s="924"/>
      <c r="Y97" s="924"/>
      <c r="Z97" s="929"/>
      <c r="AA97" s="924"/>
      <c r="AB97" s="924"/>
      <c r="AC97" s="924"/>
      <c r="AD97" s="924"/>
      <c r="AE97" s="930"/>
    </row>
    <row r="98" spans="1:31" x14ac:dyDescent="0.25">
      <c r="A98" s="399">
        <v>87</v>
      </c>
      <c r="B98" s="920"/>
      <c r="C98" s="924"/>
      <c r="D98" s="924"/>
      <c r="E98" s="924"/>
      <c r="F98" s="921"/>
      <c r="G98" s="924"/>
      <c r="H98" s="924"/>
      <c r="I98" s="924"/>
      <c r="J98" s="924"/>
      <c r="K98" s="922"/>
      <c r="L98" s="924"/>
      <c r="M98" s="924"/>
      <c r="N98" s="924"/>
      <c r="O98" s="924"/>
      <c r="P98" s="925"/>
      <c r="Q98" s="924"/>
      <c r="R98" s="924"/>
      <c r="S98" s="924"/>
      <c r="T98" s="924"/>
      <c r="U98" s="926"/>
      <c r="V98" s="924"/>
      <c r="W98" s="924"/>
      <c r="X98" s="924"/>
      <c r="Y98" s="924"/>
      <c r="Z98" s="929"/>
      <c r="AA98" s="924"/>
      <c r="AB98" s="924"/>
      <c r="AC98" s="924"/>
      <c r="AD98" s="924"/>
      <c r="AE98" s="930"/>
    </row>
    <row r="99" spans="1:31" x14ac:dyDescent="0.25">
      <c r="A99" s="399">
        <v>88</v>
      </c>
      <c r="B99" s="920"/>
      <c r="C99" s="924"/>
      <c r="D99" s="924"/>
      <c r="E99" s="924"/>
      <c r="F99" s="921"/>
      <c r="G99" s="924"/>
      <c r="H99" s="924"/>
      <c r="I99" s="924"/>
      <c r="J99" s="924"/>
      <c r="K99" s="922"/>
      <c r="L99" s="924"/>
      <c r="M99" s="924"/>
      <c r="N99" s="924"/>
      <c r="O99" s="924"/>
      <c r="P99" s="925"/>
      <c r="Q99" s="924"/>
      <c r="R99" s="924"/>
      <c r="S99" s="924"/>
      <c r="T99" s="924"/>
      <c r="U99" s="926"/>
      <c r="V99" s="924"/>
      <c r="W99" s="924"/>
      <c r="X99" s="924"/>
      <c r="Y99" s="924"/>
      <c r="Z99" s="929"/>
      <c r="AA99" s="924"/>
      <c r="AB99" s="924"/>
      <c r="AC99" s="924"/>
      <c r="AD99" s="924"/>
      <c r="AE99" s="930"/>
    </row>
    <row r="100" spans="1:31" x14ac:dyDescent="0.25">
      <c r="A100" s="399">
        <v>89</v>
      </c>
      <c r="B100" s="920"/>
      <c r="C100" s="924"/>
      <c r="D100" s="924"/>
      <c r="E100" s="924"/>
      <c r="F100" s="921"/>
      <c r="G100" s="924"/>
      <c r="H100" s="924"/>
      <c r="I100" s="924"/>
      <c r="J100" s="924"/>
      <c r="K100" s="922"/>
      <c r="L100" s="924"/>
      <c r="M100" s="924"/>
      <c r="N100" s="924"/>
      <c r="O100" s="924"/>
      <c r="P100" s="925"/>
      <c r="Q100" s="924"/>
      <c r="R100" s="924"/>
      <c r="S100" s="924"/>
      <c r="T100" s="924"/>
      <c r="U100" s="926"/>
      <c r="V100" s="924"/>
      <c r="W100" s="924"/>
      <c r="X100" s="924"/>
      <c r="Y100" s="924"/>
      <c r="Z100" s="929"/>
      <c r="AA100" s="924"/>
      <c r="AB100" s="924"/>
      <c r="AC100" s="924"/>
      <c r="AD100" s="924"/>
      <c r="AE100" s="930"/>
    </row>
    <row r="101" spans="1:31" x14ac:dyDescent="0.25">
      <c r="A101" s="399">
        <v>90</v>
      </c>
      <c r="B101" s="920"/>
      <c r="C101" s="924"/>
      <c r="D101" s="924"/>
      <c r="E101" s="924"/>
      <c r="F101" s="921"/>
      <c r="G101" s="924"/>
      <c r="H101" s="924"/>
      <c r="I101" s="924"/>
      <c r="J101" s="924"/>
      <c r="K101" s="922"/>
      <c r="L101" s="924"/>
      <c r="M101" s="924"/>
      <c r="N101" s="924"/>
      <c r="O101" s="924"/>
      <c r="P101" s="925"/>
      <c r="Q101" s="924"/>
      <c r="R101" s="924"/>
      <c r="S101" s="924"/>
      <c r="T101" s="924"/>
      <c r="U101" s="926"/>
      <c r="V101" s="924"/>
      <c r="W101" s="924"/>
      <c r="X101" s="924"/>
      <c r="Y101" s="924"/>
      <c r="Z101" s="929"/>
      <c r="AA101" s="924"/>
      <c r="AB101" s="924"/>
      <c r="AC101" s="924"/>
      <c r="AD101" s="924"/>
      <c r="AE101" s="930"/>
    </row>
    <row r="102" spans="1:31" x14ac:dyDescent="0.25">
      <c r="A102" s="399">
        <v>91</v>
      </c>
      <c r="B102" s="920"/>
      <c r="C102" s="924"/>
      <c r="D102" s="924"/>
      <c r="E102" s="924"/>
      <c r="F102" s="921"/>
      <c r="G102" s="924"/>
      <c r="H102" s="924"/>
      <c r="I102" s="924"/>
      <c r="J102" s="924"/>
      <c r="K102" s="922"/>
      <c r="L102" s="924"/>
      <c r="M102" s="924"/>
      <c r="N102" s="924"/>
      <c r="O102" s="924"/>
      <c r="P102" s="925"/>
      <c r="Q102" s="924"/>
      <c r="R102" s="924"/>
      <c r="S102" s="924"/>
      <c r="T102" s="924"/>
      <c r="U102" s="926"/>
      <c r="V102" s="924"/>
      <c r="W102" s="924"/>
      <c r="X102" s="924"/>
      <c r="Y102" s="924"/>
      <c r="Z102" s="929"/>
      <c r="AA102" s="924"/>
      <c r="AB102" s="924"/>
      <c r="AC102" s="924"/>
      <c r="AD102" s="924"/>
      <c r="AE102" s="930"/>
    </row>
    <row r="103" spans="1:31" x14ac:dyDescent="0.25">
      <c r="A103" s="399">
        <v>92</v>
      </c>
      <c r="B103" s="920"/>
      <c r="C103" s="924"/>
      <c r="D103" s="924"/>
      <c r="E103" s="924"/>
      <c r="F103" s="921"/>
      <c r="G103" s="924"/>
      <c r="H103" s="924"/>
      <c r="I103" s="924"/>
      <c r="J103" s="924"/>
      <c r="K103" s="922"/>
      <c r="L103" s="924"/>
      <c r="M103" s="924"/>
      <c r="N103" s="924"/>
      <c r="O103" s="924"/>
      <c r="P103" s="925"/>
      <c r="Q103" s="924"/>
      <c r="R103" s="924"/>
      <c r="S103" s="924"/>
      <c r="T103" s="924"/>
      <c r="U103" s="926"/>
      <c r="V103" s="924"/>
      <c r="W103" s="924"/>
      <c r="X103" s="924"/>
      <c r="Y103" s="924"/>
      <c r="Z103" s="929"/>
      <c r="AA103" s="924"/>
      <c r="AB103" s="924"/>
      <c r="AC103" s="924"/>
      <c r="AD103" s="924"/>
      <c r="AE103" s="930"/>
    </row>
    <row r="104" spans="1:31" x14ac:dyDescent="0.25">
      <c r="A104" s="399">
        <v>93</v>
      </c>
      <c r="B104" s="920"/>
      <c r="C104" s="924"/>
      <c r="D104" s="924"/>
      <c r="E104" s="924"/>
      <c r="F104" s="921"/>
      <c r="G104" s="924"/>
      <c r="H104" s="924"/>
      <c r="I104" s="924"/>
      <c r="J104" s="924"/>
      <c r="K104" s="922"/>
      <c r="L104" s="924"/>
      <c r="M104" s="924"/>
      <c r="N104" s="924"/>
      <c r="O104" s="924"/>
      <c r="P104" s="925"/>
      <c r="Q104" s="924"/>
      <c r="R104" s="924"/>
      <c r="S104" s="924"/>
      <c r="T104" s="924"/>
      <c r="U104" s="926"/>
      <c r="V104" s="924"/>
      <c r="W104" s="924"/>
      <c r="X104" s="924"/>
      <c r="Y104" s="924"/>
      <c r="Z104" s="929"/>
      <c r="AA104" s="924"/>
      <c r="AB104" s="924"/>
      <c r="AC104" s="924"/>
      <c r="AD104" s="924"/>
      <c r="AE104" s="930"/>
    </row>
    <row r="105" spans="1:31" x14ac:dyDescent="0.25">
      <c r="A105" s="399">
        <v>94</v>
      </c>
      <c r="B105" s="920"/>
      <c r="C105" s="924"/>
      <c r="D105" s="924"/>
      <c r="E105" s="924"/>
      <c r="F105" s="921"/>
      <c r="G105" s="924"/>
      <c r="H105" s="924"/>
      <c r="I105" s="924"/>
      <c r="J105" s="924"/>
      <c r="K105" s="922"/>
      <c r="L105" s="924"/>
      <c r="M105" s="924"/>
      <c r="N105" s="924"/>
      <c r="O105" s="924"/>
      <c r="P105" s="925"/>
      <c r="Q105" s="924"/>
      <c r="R105" s="924"/>
      <c r="S105" s="924"/>
      <c r="T105" s="924"/>
      <c r="U105" s="926"/>
      <c r="V105" s="924"/>
      <c r="W105" s="924"/>
      <c r="X105" s="924"/>
      <c r="Y105" s="924"/>
      <c r="Z105" s="929"/>
      <c r="AA105" s="924"/>
      <c r="AB105" s="924"/>
      <c r="AC105" s="924"/>
      <c r="AD105" s="924"/>
      <c r="AE105" s="930"/>
    </row>
    <row r="106" spans="1:31" x14ac:dyDescent="0.25">
      <c r="A106" s="399">
        <v>95</v>
      </c>
      <c r="B106" s="920"/>
      <c r="C106" s="924"/>
      <c r="D106" s="924"/>
      <c r="E106" s="924"/>
      <c r="F106" s="921"/>
      <c r="G106" s="924"/>
      <c r="H106" s="924"/>
      <c r="I106" s="924"/>
      <c r="J106" s="924"/>
      <c r="K106" s="922"/>
      <c r="L106" s="924"/>
      <c r="M106" s="924"/>
      <c r="N106" s="924"/>
      <c r="O106" s="924"/>
      <c r="P106" s="925"/>
      <c r="Q106" s="924"/>
      <c r="R106" s="924"/>
      <c r="S106" s="924"/>
      <c r="T106" s="924"/>
      <c r="U106" s="926"/>
      <c r="V106" s="924"/>
      <c r="W106" s="924"/>
      <c r="X106" s="924"/>
      <c r="Y106" s="924"/>
      <c r="Z106" s="929"/>
      <c r="AA106" s="924"/>
      <c r="AB106" s="924"/>
      <c r="AC106" s="924"/>
      <c r="AD106" s="924"/>
      <c r="AE106" s="930"/>
    </row>
    <row r="107" spans="1:31" x14ac:dyDescent="0.25">
      <c r="A107" s="399">
        <v>96</v>
      </c>
      <c r="B107" s="920"/>
      <c r="C107" s="924"/>
      <c r="D107" s="924"/>
      <c r="E107" s="924"/>
      <c r="F107" s="921"/>
      <c r="G107" s="924"/>
      <c r="H107" s="924"/>
      <c r="I107" s="924"/>
      <c r="J107" s="924"/>
      <c r="K107" s="922"/>
      <c r="L107" s="924"/>
      <c r="M107" s="924"/>
      <c r="N107" s="924"/>
      <c r="O107" s="924"/>
      <c r="P107" s="925"/>
      <c r="Q107" s="924"/>
      <c r="R107" s="924"/>
      <c r="S107" s="924"/>
      <c r="T107" s="924"/>
      <c r="U107" s="926"/>
      <c r="V107" s="924"/>
      <c r="W107" s="924"/>
      <c r="X107" s="924"/>
      <c r="Y107" s="924"/>
      <c r="Z107" s="929"/>
      <c r="AA107" s="924"/>
      <c r="AB107" s="924"/>
      <c r="AC107" s="924"/>
      <c r="AD107" s="924"/>
      <c r="AE107" s="930"/>
    </row>
    <row r="108" spans="1:31" x14ac:dyDescent="0.25">
      <c r="A108" s="399">
        <v>97</v>
      </c>
      <c r="B108" s="920"/>
      <c r="C108" s="924"/>
      <c r="D108" s="924"/>
      <c r="E108" s="924"/>
      <c r="F108" s="921"/>
      <c r="G108" s="924"/>
      <c r="H108" s="924"/>
      <c r="I108" s="924"/>
      <c r="J108" s="924"/>
      <c r="K108" s="922"/>
      <c r="L108" s="924"/>
      <c r="M108" s="924"/>
      <c r="N108" s="924"/>
      <c r="O108" s="924"/>
      <c r="P108" s="925"/>
      <c r="Q108" s="924"/>
      <c r="R108" s="924"/>
      <c r="S108" s="924"/>
      <c r="T108" s="924"/>
      <c r="U108" s="926"/>
      <c r="V108" s="924"/>
      <c r="W108" s="924"/>
      <c r="X108" s="924"/>
      <c r="Y108" s="924"/>
      <c r="Z108" s="929"/>
      <c r="AA108" s="924"/>
      <c r="AB108" s="924"/>
      <c r="AC108" s="924"/>
      <c r="AD108" s="924"/>
      <c r="AE108" s="930"/>
    </row>
    <row r="109" spans="1:31" x14ac:dyDescent="0.25">
      <c r="A109" s="399">
        <v>98</v>
      </c>
      <c r="B109" s="920"/>
      <c r="C109" s="924"/>
      <c r="D109" s="924"/>
      <c r="E109" s="924"/>
      <c r="F109" s="921"/>
      <c r="G109" s="924"/>
      <c r="H109" s="924"/>
      <c r="I109" s="924"/>
      <c r="J109" s="924"/>
      <c r="K109" s="922"/>
      <c r="L109" s="924"/>
      <c r="M109" s="924"/>
      <c r="N109" s="924"/>
      <c r="O109" s="924"/>
      <c r="P109" s="925"/>
      <c r="Q109" s="924"/>
      <c r="R109" s="924"/>
      <c r="S109" s="924"/>
      <c r="T109" s="924"/>
      <c r="U109" s="926"/>
      <c r="V109" s="924"/>
      <c r="W109" s="924"/>
      <c r="X109" s="924"/>
      <c r="Y109" s="924"/>
      <c r="Z109" s="929"/>
      <c r="AA109" s="924"/>
      <c r="AB109" s="924"/>
      <c r="AC109" s="924"/>
      <c r="AD109" s="924"/>
      <c r="AE109" s="930"/>
    </row>
    <row r="110" spans="1:31" x14ac:dyDescent="0.25">
      <c r="A110" s="399">
        <v>99</v>
      </c>
      <c r="B110" s="920"/>
      <c r="C110" s="924"/>
      <c r="D110" s="924"/>
      <c r="E110" s="924"/>
      <c r="F110" s="921"/>
      <c r="G110" s="924"/>
      <c r="H110" s="924"/>
      <c r="I110" s="924"/>
      <c r="J110" s="924"/>
      <c r="K110" s="922"/>
      <c r="L110" s="924"/>
      <c r="M110" s="924"/>
      <c r="N110" s="924"/>
      <c r="O110" s="924"/>
      <c r="P110" s="925"/>
      <c r="Q110" s="924"/>
      <c r="R110" s="924"/>
      <c r="S110" s="924"/>
      <c r="T110" s="924"/>
      <c r="U110" s="926"/>
      <c r="V110" s="924"/>
      <c r="W110" s="924"/>
      <c r="X110" s="924"/>
      <c r="Y110" s="924"/>
      <c r="Z110" s="929"/>
      <c r="AA110" s="924"/>
      <c r="AB110" s="924"/>
      <c r="AC110" s="924"/>
      <c r="AD110" s="924"/>
      <c r="AE110" s="930"/>
    </row>
    <row r="111" spans="1:31" x14ac:dyDescent="0.25">
      <c r="A111" s="399">
        <v>100</v>
      </c>
      <c r="B111" s="920"/>
      <c r="C111" s="924"/>
      <c r="D111" s="924"/>
      <c r="E111" s="924"/>
      <c r="F111" s="921"/>
      <c r="G111" s="924"/>
      <c r="H111" s="924"/>
      <c r="I111" s="924"/>
      <c r="J111" s="924"/>
      <c r="K111" s="922"/>
      <c r="L111" s="924"/>
      <c r="M111" s="924"/>
      <c r="N111" s="924"/>
      <c r="O111" s="924"/>
      <c r="P111" s="925"/>
      <c r="Q111" s="924"/>
      <c r="R111" s="924"/>
      <c r="S111" s="924"/>
      <c r="T111" s="924"/>
      <c r="U111" s="926"/>
      <c r="V111" s="924"/>
      <c r="W111" s="924"/>
      <c r="X111" s="924"/>
      <c r="Y111" s="924"/>
      <c r="Z111" s="929"/>
      <c r="AA111" s="924"/>
      <c r="AB111" s="924"/>
      <c r="AC111" s="924"/>
      <c r="AD111" s="924"/>
      <c r="AE111" s="930"/>
    </row>
    <row r="112" spans="1:31" x14ac:dyDescent="0.25">
      <c r="A112" s="399">
        <v>101</v>
      </c>
      <c r="B112" s="920"/>
      <c r="C112" s="924"/>
      <c r="D112" s="924"/>
      <c r="E112" s="924"/>
      <c r="F112" s="921"/>
      <c r="G112" s="924"/>
      <c r="H112" s="924"/>
      <c r="I112" s="924"/>
      <c r="J112" s="924"/>
      <c r="K112" s="922"/>
      <c r="L112" s="924"/>
      <c r="M112" s="924"/>
      <c r="N112" s="924"/>
      <c r="O112" s="924"/>
      <c r="P112" s="925"/>
      <c r="Q112" s="924"/>
      <c r="R112" s="924"/>
      <c r="S112" s="924"/>
      <c r="T112" s="924"/>
      <c r="U112" s="926"/>
      <c r="V112" s="924"/>
      <c r="W112" s="924"/>
      <c r="X112" s="924"/>
      <c r="Y112" s="924"/>
      <c r="Z112" s="929"/>
      <c r="AA112" s="924"/>
      <c r="AB112" s="924"/>
      <c r="AC112" s="924"/>
      <c r="AD112" s="924"/>
      <c r="AE112" s="930"/>
    </row>
    <row r="113" spans="1:31" x14ac:dyDescent="0.25">
      <c r="A113" s="399">
        <v>102</v>
      </c>
      <c r="B113" s="920"/>
      <c r="C113" s="924"/>
      <c r="D113" s="924"/>
      <c r="E113" s="924"/>
      <c r="F113" s="921"/>
      <c r="G113" s="924"/>
      <c r="H113" s="924"/>
      <c r="I113" s="924"/>
      <c r="J113" s="924"/>
      <c r="K113" s="922"/>
      <c r="L113" s="924"/>
      <c r="M113" s="924"/>
      <c r="N113" s="924"/>
      <c r="O113" s="924"/>
      <c r="P113" s="925"/>
      <c r="Q113" s="924"/>
      <c r="R113" s="924"/>
      <c r="S113" s="924"/>
      <c r="T113" s="924"/>
      <c r="U113" s="926"/>
      <c r="V113" s="924"/>
      <c r="W113" s="924"/>
      <c r="X113" s="924"/>
      <c r="Y113" s="924"/>
      <c r="Z113" s="929"/>
      <c r="AA113" s="924"/>
      <c r="AB113" s="924"/>
      <c r="AC113" s="924"/>
      <c r="AD113" s="924"/>
      <c r="AE113" s="930"/>
    </row>
    <row r="114" spans="1:31" x14ac:dyDescent="0.25">
      <c r="A114" s="399">
        <v>103</v>
      </c>
      <c r="B114" s="920"/>
      <c r="C114" s="924"/>
      <c r="D114" s="924"/>
      <c r="E114" s="924"/>
      <c r="F114" s="921"/>
      <c r="G114" s="924"/>
      <c r="H114" s="924"/>
      <c r="I114" s="924"/>
      <c r="J114" s="924"/>
      <c r="K114" s="922"/>
      <c r="L114" s="924"/>
      <c r="M114" s="924"/>
      <c r="N114" s="924"/>
      <c r="O114" s="924"/>
      <c r="P114" s="925"/>
      <c r="Q114" s="924"/>
      <c r="R114" s="924"/>
      <c r="S114" s="924"/>
      <c r="T114" s="924"/>
      <c r="U114" s="926"/>
      <c r="V114" s="924"/>
      <c r="W114" s="924"/>
      <c r="X114" s="924"/>
      <c r="Y114" s="924"/>
      <c r="Z114" s="929"/>
      <c r="AA114" s="924"/>
      <c r="AB114" s="924"/>
      <c r="AC114" s="924"/>
      <c r="AD114" s="924"/>
      <c r="AE114" s="930"/>
    </row>
    <row r="115" spans="1:31" x14ac:dyDescent="0.25">
      <c r="A115" s="399">
        <v>104</v>
      </c>
      <c r="B115" s="920"/>
      <c r="C115" s="924"/>
      <c r="D115" s="924"/>
      <c r="E115" s="924"/>
      <c r="F115" s="921"/>
      <c r="G115" s="924"/>
      <c r="H115" s="924"/>
      <c r="I115" s="924"/>
      <c r="J115" s="924"/>
      <c r="K115" s="922"/>
      <c r="L115" s="924"/>
      <c r="M115" s="924"/>
      <c r="N115" s="924"/>
      <c r="O115" s="924"/>
      <c r="P115" s="925"/>
      <c r="Q115" s="924"/>
      <c r="R115" s="924"/>
      <c r="S115" s="924"/>
      <c r="T115" s="924"/>
      <c r="U115" s="926"/>
      <c r="V115" s="924"/>
      <c r="W115" s="924"/>
      <c r="X115" s="924"/>
      <c r="Y115" s="924"/>
      <c r="Z115" s="929"/>
      <c r="AA115" s="924"/>
      <c r="AB115" s="924"/>
      <c r="AC115" s="924"/>
      <c r="AD115" s="924"/>
      <c r="AE115" s="930"/>
    </row>
    <row r="116" spans="1:31" x14ac:dyDescent="0.25">
      <c r="A116" s="399">
        <v>105</v>
      </c>
      <c r="B116" s="920"/>
      <c r="C116" s="924"/>
      <c r="D116" s="924"/>
      <c r="E116" s="924"/>
      <c r="F116" s="921"/>
      <c r="G116" s="924"/>
      <c r="H116" s="924"/>
      <c r="I116" s="924"/>
      <c r="J116" s="924"/>
      <c r="K116" s="922"/>
      <c r="L116" s="924"/>
      <c r="M116" s="924"/>
      <c r="N116" s="924"/>
      <c r="O116" s="924"/>
      <c r="P116" s="925"/>
      <c r="Q116" s="924"/>
      <c r="R116" s="924"/>
      <c r="S116" s="924"/>
      <c r="T116" s="924"/>
      <c r="U116" s="926"/>
      <c r="V116" s="924"/>
      <c r="W116" s="924"/>
      <c r="X116" s="924"/>
      <c r="Y116" s="924"/>
      <c r="Z116" s="929"/>
      <c r="AA116" s="924"/>
      <c r="AB116" s="924"/>
      <c r="AC116" s="924"/>
      <c r="AD116" s="924"/>
      <c r="AE116" s="930"/>
    </row>
    <row r="117" spans="1:31" x14ac:dyDescent="0.25">
      <c r="A117" s="399">
        <v>106</v>
      </c>
      <c r="B117" s="920"/>
      <c r="C117" s="924"/>
      <c r="D117" s="924"/>
      <c r="E117" s="924"/>
      <c r="F117" s="921"/>
      <c r="G117" s="924"/>
      <c r="H117" s="924"/>
      <c r="I117" s="924"/>
      <c r="J117" s="924"/>
      <c r="K117" s="922"/>
      <c r="L117" s="924"/>
      <c r="M117" s="924"/>
      <c r="N117" s="924"/>
      <c r="O117" s="924"/>
      <c r="P117" s="925"/>
      <c r="Q117" s="924"/>
      <c r="R117" s="924"/>
      <c r="S117" s="924"/>
      <c r="T117" s="924"/>
      <c r="U117" s="926"/>
      <c r="V117" s="924"/>
      <c r="W117" s="924"/>
      <c r="X117" s="924"/>
      <c r="Y117" s="924"/>
      <c r="Z117" s="929"/>
      <c r="AA117" s="924"/>
      <c r="AB117" s="924"/>
      <c r="AC117" s="924"/>
      <c r="AD117" s="924"/>
      <c r="AE117" s="930"/>
    </row>
    <row r="118" spans="1:31" x14ac:dyDescent="0.25">
      <c r="A118" s="399">
        <v>107</v>
      </c>
      <c r="B118" s="920"/>
      <c r="C118" s="924"/>
      <c r="D118" s="924"/>
      <c r="E118" s="924"/>
      <c r="F118" s="921"/>
      <c r="G118" s="924"/>
      <c r="H118" s="924"/>
      <c r="I118" s="924"/>
      <c r="J118" s="924"/>
      <c r="K118" s="922"/>
      <c r="L118" s="924"/>
      <c r="M118" s="924"/>
      <c r="N118" s="924"/>
      <c r="O118" s="924"/>
      <c r="P118" s="925"/>
      <c r="Q118" s="924"/>
      <c r="R118" s="924"/>
      <c r="S118" s="924"/>
      <c r="T118" s="924"/>
      <c r="U118" s="926"/>
      <c r="V118" s="924"/>
      <c r="W118" s="924"/>
      <c r="X118" s="924"/>
      <c r="Y118" s="924"/>
      <c r="Z118" s="929"/>
      <c r="AA118" s="924"/>
      <c r="AB118" s="924"/>
      <c r="AC118" s="924"/>
      <c r="AD118" s="924"/>
      <c r="AE118" s="930"/>
    </row>
    <row r="119" spans="1:31" x14ac:dyDescent="0.25">
      <c r="A119" s="399">
        <v>108</v>
      </c>
      <c r="B119" s="920"/>
      <c r="C119" s="924"/>
      <c r="D119" s="924"/>
      <c r="E119" s="924"/>
      <c r="F119" s="921"/>
      <c r="G119" s="924"/>
      <c r="H119" s="924"/>
      <c r="I119" s="924"/>
      <c r="J119" s="924"/>
      <c r="K119" s="922"/>
      <c r="L119" s="924"/>
      <c r="M119" s="924"/>
      <c r="N119" s="924"/>
      <c r="O119" s="924"/>
      <c r="P119" s="925"/>
      <c r="Q119" s="924"/>
      <c r="R119" s="924"/>
      <c r="S119" s="924"/>
      <c r="T119" s="924"/>
      <c r="U119" s="926"/>
      <c r="V119" s="924"/>
      <c r="W119" s="924"/>
      <c r="X119" s="924"/>
      <c r="Y119" s="924"/>
      <c r="Z119" s="929"/>
      <c r="AA119" s="924"/>
      <c r="AB119" s="924"/>
      <c r="AC119" s="924"/>
      <c r="AD119" s="924"/>
      <c r="AE119" s="930"/>
    </row>
    <row r="120" spans="1:31" x14ac:dyDescent="0.25">
      <c r="A120" s="399">
        <v>109</v>
      </c>
      <c r="B120" s="920"/>
      <c r="C120" s="924"/>
      <c r="D120" s="924"/>
      <c r="E120" s="924"/>
      <c r="F120" s="921"/>
      <c r="G120" s="924"/>
      <c r="H120" s="924"/>
      <c r="I120" s="924"/>
      <c r="J120" s="924"/>
      <c r="K120" s="922"/>
      <c r="L120" s="924"/>
      <c r="M120" s="924"/>
      <c r="N120" s="924"/>
      <c r="O120" s="924"/>
      <c r="P120" s="925"/>
      <c r="Q120" s="924"/>
      <c r="R120" s="924"/>
      <c r="S120" s="924"/>
      <c r="T120" s="924"/>
      <c r="U120" s="926"/>
      <c r="V120" s="924"/>
      <c r="W120" s="924"/>
      <c r="X120" s="924"/>
      <c r="Y120" s="924"/>
      <c r="Z120" s="929"/>
      <c r="AA120" s="924"/>
      <c r="AB120" s="924"/>
      <c r="AC120" s="924"/>
      <c r="AD120" s="924"/>
      <c r="AE120" s="930"/>
    </row>
    <row r="121" spans="1:31" x14ac:dyDescent="0.25">
      <c r="A121" s="399">
        <v>110</v>
      </c>
      <c r="B121" s="920"/>
      <c r="C121" s="924"/>
      <c r="D121" s="924"/>
      <c r="E121" s="924"/>
      <c r="F121" s="921"/>
      <c r="G121" s="924"/>
      <c r="H121" s="924"/>
      <c r="I121" s="924"/>
      <c r="J121" s="924"/>
      <c r="K121" s="922"/>
      <c r="L121" s="924"/>
      <c r="M121" s="924"/>
      <c r="N121" s="924"/>
      <c r="O121" s="924"/>
      <c r="P121" s="925"/>
      <c r="Q121" s="924"/>
      <c r="R121" s="924"/>
      <c r="S121" s="924"/>
      <c r="T121" s="924"/>
      <c r="U121" s="926"/>
      <c r="V121" s="924"/>
      <c r="W121" s="924"/>
      <c r="X121" s="924"/>
      <c r="Y121" s="924"/>
      <c r="Z121" s="929"/>
      <c r="AA121" s="924"/>
      <c r="AB121" s="924"/>
      <c r="AC121" s="924"/>
      <c r="AD121" s="924"/>
      <c r="AE121" s="930"/>
    </row>
    <row r="122" spans="1:31" x14ac:dyDescent="0.25">
      <c r="A122" s="399">
        <v>111</v>
      </c>
      <c r="B122" s="920"/>
      <c r="C122" s="924"/>
      <c r="D122" s="924"/>
      <c r="E122" s="924"/>
      <c r="F122" s="921"/>
      <c r="G122" s="924"/>
      <c r="H122" s="924"/>
      <c r="I122" s="924"/>
      <c r="J122" s="924"/>
      <c r="K122" s="922"/>
      <c r="L122" s="924"/>
      <c r="M122" s="924"/>
      <c r="N122" s="924"/>
      <c r="O122" s="924"/>
      <c r="P122" s="925"/>
      <c r="Q122" s="924"/>
      <c r="R122" s="924"/>
      <c r="S122" s="924"/>
      <c r="T122" s="924"/>
      <c r="U122" s="926"/>
      <c r="V122" s="924"/>
      <c r="W122" s="924"/>
      <c r="X122" s="924"/>
      <c r="Y122" s="924"/>
      <c r="Z122" s="929"/>
      <c r="AA122" s="924"/>
      <c r="AB122" s="924"/>
      <c r="AC122" s="924"/>
      <c r="AD122" s="924"/>
      <c r="AE122" s="930"/>
    </row>
    <row r="123" spans="1:31" x14ac:dyDescent="0.25">
      <c r="A123" s="399">
        <v>112</v>
      </c>
      <c r="B123" s="920"/>
      <c r="C123" s="924"/>
      <c r="D123" s="924"/>
      <c r="E123" s="924"/>
      <c r="F123" s="921"/>
      <c r="G123" s="924"/>
      <c r="H123" s="924"/>
      <c r="I123" s="924"/>
      <c r="J123" s="924"/>
      <c r="K123" s="922"/>
      <c r="L123" s="924"/>
      <c r="M123" s="924"/>
      <c r="N123" s="924"/>
      <c r="O123" s="924"/>
      <c r="P123" s="925"/>
      <c r="Q123" s="924"/>
      <c r="R123" s="924"/>
      <c r="S123" s="924"/>
      <c r="T123" s="924"/>
      <c r="U123" s="926"/>
      <c r="V123" s="924"/>
      <c r="W123" s="924"/>
      <c r="X123" s="924"/>
      <c r="Y123" s="924"/>
      <c r="Z123" s="929"/>
      <c r="AA123" s="924"/>
      <c r="AB123" s="924"/>
      <c r="AC123" s="924"/>
      <c r="AD123" s="924"/>
      <c r="AE123" s="930"/>
    </row>
    <row r="124" spans="1:31" x14ac:dyDescent="0.25">
      <c r="A124" s="399">
        <v>113</v>
      </c>
      <c r="B124" s="920"/>
      <c r="C124" s="924"/>
      <c r="D124" s="924"/>
      <c r="E124" s="924"/>
      <c r="F124" s="921"/>
      <c r="G124" s="924"/>
      <c r="H124" s="924"/>
      <c r="I124" s="924"/>
      <c r="J124" s="924"/>
      <c r="K124" s="922"/>
      <c r="L124" s="924"/>
      <c r="M124" s="924"/>
      <c r="N124" s="924"/>
      <c r="O124" s="924"/>
      <c r="P124" s="925"/>
      <c r="Q124" s="924"/>
      <c r="R124" s="924"/>
      <c r="S124" s="924"/>
      <c r="T124" s="924"/>
      <c r="U124" s="926"/>
      <c r="V124" s="924"/>
      <c r="W124" s="924"/>
      <c r="X124" s="924"/>
      <c r="Y124" s="924"/>
      <c r="Z124" s="929"/>
      <c r="AA124" s="924"/>
      <c r="AB124" s="924"/>
      <c r="AC124" s="924"/>
      <c r="AD124" s="924"/>
      <c r="AE124" s="930"/>
    </row>
    <row r="125" spans="1:31" x14ac:dyDescent="0.25">
      <c r="A125" s="399">
        <v>114</v>
      </c>
      <c r="B125" s="920"/>
      <c r="C125" s="924"/>
      <c r="D125" s="924"/>
      <c r="E125" s="924"/>
      <c r="F125" s="921"/>
      <c r="G125" s="924"/>
      <c r="H125" s="924"/>
      <c r="I125" s="924"/>
      <c r="J125" s="924"/>
      <c r="K125" s="922"/>
      <c r="L125" s="924"/>
      <c r="M125" s="924"/>
      <c r="N125" s="924"/>
      <c r="O125" s="924"/>
      <c r="P125" s="925"/>
      <c r="Q125" s="924"/>
      <c r="R125" s="924"/>
      <c r="S125" s="924"/>
      <c r="T125" s="924"/>
      <c r="U125" s="926"/>
      <c r="V125" s="924"/>
      <c r="W125" s="924"/>
      <c r="X125" s="924"/>
      <c r="Y125" s="924"/>
      <c r="Z125" s="929"/>
      <c r="AA125" s="924"/>
      <c r="AB125" s="924"/>
      <c r="AC125" s="924"/>
      <c r="AD125" s="924"/>
      <c r="AE125" s="930"/>
    </row>
    <row r="126" spans="1:31" x14ac:dyDescent="0.25">
      <c r="A126" s="399">
        <v>115</v>
      </c>
      <c r="B126" s="920"/>
      <c r="C126" s="924"/>
      <c r="D126" s="924"/>
      <c r="E126" s="924"/>
      <c r="F126" s="921"/>
      <c r="G126" s="924"/>
      <c r="H126" s="924"/>
      <c r="I126" s="924"/>
      <c r="J126" s="924"/>
      <c r="K126" s="922"/>
      <c r="L126" s="924"/>
      <c r="M126" s="924"/>
      <c r="N126" s="924"/>
      <c r="O126" s="924"/>
      <c r="P126" s="925"/>
      <c r="Q126" s="924"/>
      <c r="R126" s="924"/>
      <c r="S126" s="924"/>
      <c r="T126" s="924"/>
      <c r="U126" s="926"/>
      <c r="V126" s="924"/>
      <c r="W126" s="924"/>
      <c r="X126" s="924"/>
      <c r="Y126" s="924"/>
      <c r="Z126" s="929"/>
      <c r="AA126" s="924"/>
      <c r="AB126" s="924"/>
      <c r="AC126" s="924"/>
      <c r="AD126" s="924"/>
      <c r="AE126" s="930"/>
    </row>
    <row r="127" spans="1:31" x14ac:dyDescent="0.25">
      <c r="A127" s="399">
        <v>116</v>
      </c>
      <c r="B127" s="920"/>
      <c r="C127" s="924"/>
      <c r="D127" s="924"/>
      <c r="E127" s="924"/>
      <c r="F127" s="921"/>
      <c r="G127" s="924"/>
      <c r="H127" s="924"/>
      <c r="I127" s="924"/>
      <c r="J127" s="924"/>
      <c r="K127" s="922"/>
      <c r="L127" s="924"/>
      <c r="M127" s="924"/>
      <c r="N127" s="924"/>
      <c r="O127" s="924"/>
      <c r="P127" s="925"/>
      <c r="Q127" s="924"/>
      <c r="R127" s="924"/>
      <c r="S127" s="924"/>
      <c r="T127" s="924"/>
      <c r="U127" s="926"/>
      <c r="V127" s="924"/>
      <c r="W127" s="924"/>
      <c r="X127" s="924"/>
      <c r="Y127" s="924"/>
      <c r="Z127" s="929"/>
      <c r="AA127" s="924"/>
      <c r="AB127" s="924"/>
      <c r="AC127" s="924"/>
      <c r="AD127" s="924"/>
      <c r="AE127" s="930"/>
    </row>
    <row r="128" spans="1:31" x14ac:dyDescent="0.25">
      <c r="A128" s="399">
        <v>117</v>
      </c>
      <c r="B128" s="920"/>
      <c r="C128" s="924"/>
      <c r="D128" s="924"/>
      <c r="E128" s="924"/>
      <c r="F128" s="921"/>
      <c r="G128" s="924"/>
      <c r="H128" s="924"/>
      <c r="I128" s="924"/>
      <c r="J128" s="924"/>
      <c r="K128" s="922"/>
      <c r="L128" s="924"/>
      <c r="M128" s="924"/>
      <c r="N128" s="924"/>
      <c r="O128" s="924"/>
      <c r="P128" s="925"/>
      <c r="Q128" s="924"/>
      <c r="R128" s="924"/>
      <c r="S128" s="924"/>
      <c r="T128" s="924"/>
      <c r="U128" s="926"/>
      <c r="V128" s="924"/>
      <c r="W128" s="924"/>
      <c r="X128" s="924"/>
      <c r="Y128" s="924"/>
      <c r="Z128" s="929"/>
      <c r="AA128" s="924"/>
      <c r="AB128" s="924"/>
      <c r="AC128" s="924"/>
      <c r="AD128" s="924"/>
      <c r="AE128" s="930"/>
    </row>
    <row r="129" spans="1:31" x14ac:dyDescent="0.25">
      <c r="A129" s="399">
        <v>118</v>
      </c>
      <c r="B129" s="920"/>
      <c r="C129" s="924"/>
      <c r="D129" s="924"/>
      <c r="E129" s="924"/>
      <c r="F129" s="921"/>
      <c r="G129" s="924"/>
      <c r="H129" s="924"/>
      <c r="I129" s="924"/>
      <c r="J129" s="924"/>
      <c r="K129" s="922"/>
      <c r="L129" s="924"/>
      <c r="M129" s="924"/>
      <c r="N129" s="924"/>
      <c r="O129" s="924"/>
      <c r="P129" s="925"/>
      <c r="Q129" s="924"/>
      <c r="R129" s="924"/>
      <c r="S129" s="924"/>
      <c r="T129" s="924"/>
      <c r="U129" s="926"/>
      <c r="V129" s="924"/>
      <c r="W129" s="924"/>
      <c r="X129" s="924"/>
      <c r="Y129" s="924"/>
      <c r="Z129" s="929"/>
      <c r="AA129" s="924"/>
      <c r="AB129" s="924"/>
      <c r="AC129" s="924"/>
      <c r="AD129" s="924"/>
      <c r="AE129" s="930"/>
    </row>
    <row r="130" spans="1:31" x14ac:dyDescent="0.25">
      <c r="A130" s="399">
        <v>119</v>
      </c>
      <c r="B130" s="920"/>
      <c r="C130" s="924"/>
      <c r="D130" s="924"/>
      <c r="E130" s="924"/>
      <c r="F130" s="921"/>
      <c r="G130" s="924"/>
      <c r="H130" s="924"/>
      <c r="I130" s="924"/>
      <c r="J130" s="924"/>
      <c r="K130" s="922"/>
      <c r="L130" s="924"/>
      <c r="M130" s="924"/>
      <c r="N130" s="924"/>
      <c r="O130" s="924"/>
      <c r="P130" s="925"/>
      <c r="Q130" s="924"/>
      <c r="R130" s="924"/>
      <c r="S130" s="924"/>
      <c r="T130" s="924"/>
      <c r="U130" s="926"/>
      <c r="V130" s="924"/>
      <c r="W130" s="924"/>
      <c r="X130" s="924"/>
      <c r="Y130" s="924"/>
      <c r="Z130" s="929"/>
      <c r="AA130" s="924"/>
      <c r="AB130" s="924"/>
      <c r="AC130" s="924"/>
      <c r="AD130" s="924"/>
      <c r="AE130" s="930"/>
    </row>
    <row r="131" spans="1:31" x14ac:dyDescent="0.25">
      <c r="A131" s="399">
        <v>120</v>
      </c>
      <c r="B131" s="920"/>
      <c r="C131" s="924"/>
      <c r="D131" s="924"/>
      <c r="E131" s="924"/>
      <c r="F131" s="921"/>
      <c r="G131" s="924"/>
      <c r="H131" s="924"/>
      <c r="I131" s="924"/>
      <c r="J131" s="924"/>
      <c r="K131" s="922"/>
      <c r="L131" s="924"/>
      <c r="M131" s="924"/>
      <c r="N131" s="924"/>
      <c r="O131" s="924"/>
      <c r="P131" s="925"/>
      <c r="Q131" s="924"/>
      <c r="R131" s="924"/>
      <c r="S131" s="924"/>
      <c r="T131" s="924"/>
      <c r="U131" s="926"/>
      <c r="V131" s="924"/>
      <c r="W131" s="924"/>
      <c r="X131" s="924"/>
      <c r="Y131" s="924"/>
      <c r="Z131" s="929"/>
      <c r="AA131" s="924"/>
      <c r="AB131" s="924"/>
      <c r="AC131" s="924"/>
      <c r="AD131" s="924"/>
      <c r="AE131" s="930"/>
    </row>
    <row r="132" spans="1:31" x14ac:dyDescent="0.25">
      <c r="A132" s="399">
        <v>121</v>
      </c>
      <c r="B132" s="924"/>
      <c r="C132" s="924"/>
      <c r="D132" s="924"/>
      <c r="E132" s="924"/>
      <c r="F132" s="921"/>
      <c r="G132" s="924"/>
      <c r="H132" s="924"/>
      <c r="I132" s="924"/>
      <c r="J132" s="924"/>
      <c r="K132" s="922"/>
      <c r="L132" s="924"/>
      <c r="M132" s="924"/>
      <c r="N132" s="924"/>
      <c r="O132" s="924"/>
      <c r="P132" s="925"/>
      <c r="Q132" s="924"/>
      <c r="R132" s="924"/>
      <c r="S132" s="924"/>
      <c r="T132" s="924"/>
      <c r="U132" s="926"/>
      <c r="V132" s="924"/>
      <c r="W132" s="924"/>
      <c r="X132" s="924"/>
      <c r="Y132" s="924"/>
      <c r="Z132" s="929"/>
      <c r="AA132" s="924"/>
      <c r="AB132" s="924"/>
      <c r="AC132" s="924"/>
      <c r="AD132" s="924"/>
      <c r="AE132" s="930"/>
    </row>
    <row r="133" spans="1:31" x14ac:dyDescent="0.25">
      <c r="A133" s="399">
        <v>122</v>
      </c>
      <c r="B133" s="924"/>
      <c r="C133" s="924"/>
      <c r="D133" s="924"/>
      <c r="E133" s="924"/>
      <c r="F133" s="921"/>
      <c r="G133" s="924"/>
      <c r="H133" s="924"/>
      <c r="I133" s="924"/>
      <c r="J133" s="924"/>
      <c r="K133" s="922"/>
      <c r="L133" s="924"/>
      <c r="M133" s="924"/>
      <c r="N133" s="924"/>
      <c r="O133" s="924"/>
      <c r="P133" s="925"/>
      <c r="Q133" s="924"/>
      <c r="R133" s="924"/>
      <c r="S133" s="924"/>
      <c r="T133" s="924"/>
      <c r="U133" s="926"/>
      <c r="V133" s="924"/>
      <c r="W133" s="924"/>
      <c r="X133" s="924"/>
      <c r="Y133" s="924"/>
      <c r="Z133" s="929"/>
      <c r="AA133" s="924"/>
      <c r="AB133" s="924"/>
      <c r="AC133" s="924"/>
      <c r="AD133" s="924"/>
      <c r="AE133" s="930"/>
    </row>
    <row r="134" spans="1:31" x14ac:dyDescent="0.25">
      <c r="A134" s="399">
        <v>123</v>
      </c>
      <c r="B134" s="924"/>
      <c r="C134" s="924"/>
      <c r="D134" s="924"/>
      <c r="E134" s="924"/>
      <c r="F134" s="921"/>
      <c r="G134" s="924"/>
      <c r="H134" s="924"/>
      <c r="I134" s="924"/>
      <c r="J134" s="924"/>
      <c r="K134" s="922"/>
      <c r="L134" s="924"/>
      <c r="M134" s="924"/>
      <c r="N134" s="924"/>
      <c r="O134" s="924"/>
      <c r="P134" s="925"/>
      <c r="Q134" s="924"/>
      <c r="R134" s="924"/>
      <c r="S134" s="924"/>
      <c r="T134" s="924"/>
      <c r="U134" s="926"/>
      <c r="V134" s="924"/>
      <c r="W134" s="924"/>
      <c r="X134" s="924"/>
      <c r="Y134" s="924"/>
      <c r="Z134" s="929"/>
      <c r="AA134" s="924"/>
      <c r="AB134" s="924"/>
      <c r="AC134" s="924"/>
      <c r="AD134" s="924"/>
      <c r="AE134" s="930"/>
    </row>
    <row r="135" spans="1:31" x14ac:dyDescent="0.25">
      <c r="A135" s="399">
        <v>124</v>
      </c>
      <c r="B135" s="924"/>
      <c r="C135" s="924"/>
      <c r="D135" s="924"/>
      <c r="E135" s="924"/>
      <c r="F135" s="921"/>
      <c r="G135" s="924"/>
      <c r="H135" s="924"/>
      <c r="I135" s="924"/>
      <c r="J135" s="924"/>
      <c r="K135" s="922"/>
      <c r="L135" s="924"/>
      <c r="M135" s="924"/>
      <c r="N135" s="924"/>
      <c r="O135" s="924"/>
      <c r="P135" s="925"/>
      <c r="Q135" s="924"/>
      <c r="R135" s="924"/>
      <c r="S135" s="924"/>
      <c r="T135" s="924"/>
      <c r="U135" s="926"/>
      <c r="V135" s="924"/>
      <c r="W135" s="924"/>
      <c r="X135" s="924"/>
      <c r="Y135" s="924"/>
      <c r="Z135" s="929"/>
      <c r="AA135" s="924"/>
      <c r="AB135" s="924"/>
      <c r="AC135" s="924"/>
      <c r="AD135" s="924"/>
      <c r="AE135" s="930"/>
    </row>
    <row r="136" spans="1:31" x14ac:dyDescent="0.25">
      <c r="A136" s="399">
        <v>125</v>
      </c>
      <c r="B136" s="924"/>
      <c r="C136" s="924"/>
      <c r="D136" s="924"/>
      <c r="E136" s="924"/>
      <c r="F136" s="921"/>
      <c r="G136" s="924"/>
      <c r="H136" s="924"/>
      <c r="I136" s="924"/>
      <c r="J136" s="924"/>
      <c r="K136" s="922"/>
      <c r="L136" s="924"/>
      <c r="M136" s="924"/>
      <c r="N136" s="924"/>
      <c r="O136" s="924"/>
      <c r="P136" s="925"/>
      <c r="Q136" s="924"/>
      <c r="R136" s="924"/>
      <c r="S136" s="924"/>
      <c r="T136" s="924"/>
      <c r="U136" s="926"/>
      <c r="V136" s="924"/>
      <c r="W136" s="924"/>
      <c r="X136" s="924"/>
      <c r="Y136" s="924"/>
      <c r="Z136" s="929"/>
      <c r="AA136" s="924"/>
      <c r="AB136" s="924"/>
      <c r="AC136" s="924"/>
      <c r="AD136" s="924"/>
      <c r="AE136" s="930"/>
    </row>
    <row r="137" spans="1:31" x14ac:dyDescent="0.25">
      <c r="A137" s="399">
        <v>126</v>
      </c>
      <c r="B137" s="924"/>
      <c r="C137" s="924"/>
      <c r="D137" s="924"/>
      <c r="E137" s="924"/>
      <c r="F137" s="921"/>
      <c r="G137" s="924"/>
      <c r="H137" s="924"/>
      <c r="I137" s="924"/>
      <c r="J137" s="924"/>
      <c r="K137" s="922"/>
      <c r="L137" s="924"/>
      <c r="M137" s="924"/>
      <c r="N137" s="924"/>
      <c r="O137" s="924"/>
      <c r="P137" s="925"/>
      <c r="Q137" s="924"/>
      <c r="R137" s="924"/>
      <c r="S137" s="924"/>
      <c r="T137" s="924"/>
      <c r="U137" s="926"/>
      <c r="V137" s="924"/>
      <c r="W137" s="924"/>
      <c r="X137" s="924"/>
      <c r="Y137" s="924"/>
      <c r="Z137" s="929"/>
      <c r="AA137" s="924"/>
      <c r="AB137" s="924"/>
      <c r="AC137" s="924"/>
      <c r="AD137" s="924"/>
      <c r="AE137" s="930"/>
    </row>
    <row r="138" spans="1:31" x14ac:dyDescent="0.25">
      <c r="A138" s="399">
        <v>127</v>
      </c>
      <c r="B138" s="924"/>
      <c r="C138" s="924"/>
      <c r="D138" s="924"/>
      <c r="E138" s="924"/>
      <c r="F138" s="921"/>
      <c r="G138" s="924"/>
      <c r="H138" s="924"/>
      <c r="I138" s="924"/>
      <c r="J138" s="924"/>
      <c r="K138" s="922"/>
      <c r="L138" s="924"/>
      <c r="M138" s="924"/>
      <c r="N138" s="924"/>
      <c r="O138" s="924"/>
      <c r="P138" s="925"/>
      <c r="Q138" s="924"/>
      <c r="R138" s="924"/>
      <c r="S138" s="924"/>
      <c r="T138" s="924"/>
      <c r="U138" s="926"/>
      <c r="V138" s="924"/>
      <c r="W138" s="924"/>
      <c r="X138" s="924"/>
      <c r="Y138" s="924"/>
      <c r="Z138" s="929"/>
      <c r="AA138" s="924"/>
      <c r="AB138" s="924"/>
      <c r="AC138" s="924"/>
      <c r="AD138" s="924"/>
      <c r="AE138" s="930"/>
    </row>
    <row r="139" spans="1:31" x14ac:dyDescent="0.25">
      <c r="A139" s="399">
        <v>128</v>
      </c>
      <c r="B139" s="924"/>
      <c r="C139" s="924"/>
      <c r="D139" s="924"/>
      <c r="E139" s="924"/>
      <c r="F139" s="921"/>
      <c r="G139" s="924"/>
      <c r="H139" s="924"/>
      <c r="I139" s="924"/>
      <c r="J139" s="924"/>
      <c r="K139" s="922"/>
      <c r="L139" s="924"/>
      <c r="M139" s="924"/>
      <c r="N139" s="924"/>
      <c r="O139" s="924"/>
      <c r="P139" s="925"/>
      <c r="Q139" s="924"/>
      <c r="R139" s="924"/>
      <c r="S139" s="924"/>
      <c r="T139" s="924"/>
      <c r="U139" s="926"/>
      <c r="V139" s="924"/>
      <c r="W139" s="924"/>
      <c r="X139" s="924"/>
      <c r="Y139" s="924"/>
      <c r="Z139" s="929"/>
      <c r="AA139" s="924"/>
      <c r="AB139" s="924"/>
      <c r="AC139" s="924"/>
      <c r="AD139" s="924"/>
      <c r="AE139" s="930"/>
    </row>
    <row r="140" spans="1:31" x14ac:dyDescent="0.25">
      <c r="A140" s="399">
        <v>129</v>
      </c>
      <c r="B140" s="924"/>
      <c r="C140" s="924"/>
      <c r="D140" s="924"/>
      <c r="E140" s="924"/>
      <c r="F140" s="921"/>
      <c r="G140" s="924"/>
      <c r="H140" s="924"/>
      <c r="I140" s="924"/>
      <c r="J140" s="924"/>
      <c r="K140" s="922"/>
      <c r="L140" s="924"/>
      <c r="M140" s="924"/>
      <c r="N140" s="924"/>
      <c r="O140" s="924"/>
      <c r="P140" s="925"/>
      <c r="Q140" s="924"/>
      <c r="R140" s="924"/>
      <c r="S140" s="924"/>
      <c r="T140" s="924"/>
      <c r="U140" s="926"/>
      <c r="V140" s="924"/>
      <c r="W140" s="924"/>
      <c r="X140" s="924"/>
      <c r="Y140" s="924"/>
      <c r="Z140" s="929"/>
      <c r="AA140" s="924"/>
      <c r="AB140" s="924"/>
      <c r="AC140" s="924"/>
      <c r="AD140" s="924"/>
      <c r="AE140" s="930"/>
    </row>
    <row r="141" spans="1:31" x14ac:dyDescent="0.25">
      <c r="A141" s="399">
        <v>130</v>
      </c>
      <c r="B141" s="924"/>
      <c r="C141" s="924"/>
      <c r="D141" s="924"/>
      <c r="E141" s="924"/>
      <c r="F141" s="921"/>
      <c r="G141" s="924"/>
      <c r="H141" s="924"/>
      <c r="I141" s="924"/>
      <c r="J141" s="924"/>
      <c r="K141" s="922"/>
      <c r="L141" s="924"/>
      <c r="M141" s="924"/>
      <c r="N141" s="924"/>
      <c r="O141" s="924"/>
      <c r="P141" s="925"/>
      <c r="Q141" s="924"/>
      <c r="R141" s="924"/>
      <c r="S141" s="924"/>
      <c r="T141" s="924"/>
      <c r="U141" s="926"/>
      <c r="V141" s="924"/>
      <c r="W141" s="924"/>
      <c r="X141" s="924"/>
      <c r="Y141" s="924"/>
      <c r="Z141" s="929"/>
      <c r="AA141" s="924"/>
      <c r="AB141" s="924"/>
      <c r="AC141" s="924"/>
      <c r="AD141" s="924"/>
      <c r="AE141" s="930"/>
    </row>
    <row r="142" spans="1:31" x14ac:dyDescent="0.25">
      <c r="A142" s="399">
        <v>131</v>
      </c>
      <c r="B142" s="924"/>
      <c r="C142" s="924"/>
      <c r="D142" s="924"/>
      <c r="E142" s="924"/>
      <c r="F142" s="921"/>
      <c r="G142" s="924"/>
      <c r="H142" s="924"/>
      <c r="I142" s="924"/>
      <c r="J142" s="924"/>
      <c r="K142" s="922"/>
      <c r="L142" s="924"/>
      <c r="M142" s="924"/>
      <c r="N142" s="924"/>
      <c r="O142" s="924"/>
      <c r="P142" s="925"/>
      <c r="Q142" s="924"/>
      <c r="R142" s="924"/>
      <c r="S142" s="924"/>
      <c r="T142" s="924"/>
      <c r="U142" s="926"/>
      <c r="V142" s="924"/>
      <c r="W142" s="924"/>
      <c r="X142" s="924"/>
      <c r="Y142" s="924"/>
      <c r="Z142" s="929"/>
      <c r="AA142" s="924"/>
      <c r="AB142" s="924"/>
      <c r="AC142" s="924"/>
      <c r="AD142" s="924"/>
      <c r="AE142" s="930"/>
    </row>
    <row r="143" spans="1:31" x14ac:dyDescent="0.25">
      <c r="A143" s="399">
        <v>132</v>
      </c>
      <c r="B143" s="924"/>
      <c r="C143" s="924"/>
      <c r="D143" s="924"/>
      <c r="E143" s="924"/>
      <c r="F143" s="921"/>
      <c r="G143" s="924"/>
      <c r="H143" s="924"/>
      <c r="I143" s="924"/>
      <c r="J143" s="924"/>
      <c r="K143" s="922"/>
      <c r="L143" s="924"/>
      <c r="M143" s="924"/>
      <c r="N143" s="924"/>
      <c r="O143" s="924"/>
      <c r="P143" s="925"/>
      <c r="Q143" s="924"/>
      <c r="R143" s="924"/>
      <c r="S143" s="924"/>
      <c r="T143" s="924"/>
      <c r="U143" s="926"/>
      <c r="V143" s="924"/>
      <c r="W143" s="924"/>
      <c r="X143" s="924"/>
      <c r="Y143" s="924"/>
      <c r="Z143" s="929"/>
      <c r="AA143" s="924"/>
      <c r="AB143" s="924"/>
      <c r="AC143" s="924"/>
      <c r="AD143" s="924"/>
      <c r="AE143" s="930"/>
    </row>
    <row r="144" spans="1:31" x14ac:dyDescent="0.25">
      <c r="A144" s="399">
        <v>133</v>
      </c>
      <c r="B144" s="924"/>
      <c r="C144" s="924"/>
      <c r="D144" s="924"/>
      <c r="E144" s="924"/>
      <c r="F144" s="921"/>
      <c r="G144" s="924"/>
      <c r="H144" s="924"/>
      <c r="I144" s="924"/>
      <c r="J144" s="924"/>
      <c r="K144" s="922"/>
      <c r="L144" s="924"/>
      <c r="M144" s="924"/>
      <c r="N144" s="924"/>
      <c r="O144" s="924"/>
      <c r="P144" s="925"/>
      <c r="Q144" s="924"/>
      <c r="R144" s="924"/>
      <c r="S144" s="924"/>
      <c r="T144" s="924"/>
      <c r="U144" s="926"/>
      <c r="V144" s="924"/>
      <c r="W144" s="924"/>
      <c r="X144" s="924"/>
      <c r="Y144" s="924"/>
      <c r="Z144" s="929"/>
      <c r="AA144" s="924"/>
      <c r="AB144" s="924"/>
      <c r="AC144" s="924"/>
      <c r="AD144" s="924"/>
      <c r="AE144" s="930"/>
    </row>
    <row r="145" spans="1:31" x14ac:dyDescent="0.25">
      <c r="A145" s="399">
        <v>134</v>
      </c>
      <c r="B145" s="924"/>
      <c r="C145" s="924"/>
      <c r="D145" s="924"/>
      <c r="E145" s="924"/>
      <c r="F145" s="921"/>
      <c r="G145" s="924"/>
      <c r="H145" s="924"/>
      <c r="I145" s="924"/>
      <c r="J145" s="924"/>
      <c r="K145" s="922"/>
      <c r="L145" s="924"/>
      <c r="M145" s="924"/>
      <c r="N145" s="924"/>
      <c r="O145" s="924"/>
      <c r="P145" s="925"/>
      <c r="Q145" s="924"/>
      <c r="R145" s="924"/>
      <c r="S145" s="924"/>
      <c r="T145" s="924"/>
      <c r="U145" s="926"/>
      <c r="V145" s="924"/>
      <c r="W145" s="924"/>
      <c r="X145" s="924"/>
      <c r="Y145" s="924"/>
      <c r="Z145" s="929"/>
      <c r="AA145" s="924"/>
      <c r="AB145" s="924"/>
      <c r="AC145" s="924"/>
      <c r="AD145" s="924"/>
      <c r="AE145" s="930"/>
    </row>
    <row r="146" spans="1:31" x14ac:dyDescent="0.25">
      <c r="A146" s="399">
        <v>135</v>
      </c>
      <c r="B146" s="924"/>
      <c r="C146" s="924"/>
      <c r="D146" s="924"/>
      <c r="E146" s="924"/>
      <c r="F146" s="921"/>
      <c r="G146" s="924"/>
      <c r="H146" s="924"/>
      <c r="I146" s="924"/>
      <c r="J146" s="924"/>
      <c r="K146" s="922"/>
      <c r="L146" s="924"/>
      <c r="M146" s="924"/>
      <c r="N146" s="924"/>
      <c r="O146" s="924"/>
      <c r="P146" s="925"/>
      <c r="Q146" s="924"/>
      <c r="R146" s="924"/>
      <c r="S146" s="924"/>
      <c r="T146" s="924"/>
      <c r="U146" s="926"/>
      <c r="V146" s="924"/>
      <c r="W146" s="924"/>
      <c r="X146" s="924"/>
      <c r="Y146" s="924"/>
      <c r="Z146" s="929"/>
      <c r="AA146" s="924"/>
      <c r="AB146" s="924"/>
      <c r="AC146" s="924"/>
      <c r="AD146" s="924"/>
      <c r="AE146" s="930"/>
    </row>
    <row r="147" spans="1:31" x14ac:dyDescent="0.25">
      <c r="A147" s="399">
        <v>136</v>
      </c>
      <c r="B147" s="924"/>
      <c r="C147" s="924"/>
      <c r="D147" s="924"/>
      <c r="E147" s="924"/>
      <c r="F147" s="921"/>
      <c r="G147" s="924"/>
      <c r="H147" s="924"/>
      <c r="I147" s="924"/>
      <c r="J147" s="924"/>
      <c r="K147" s="922"/>
      <c r="L147" s="924"/>
      <c r="M147" s="924"/>
      <c r="N147" s="924"/>
      <c r="O147" s="924"/>
      <c r="P147" s="925"/>
      <c r="Q147" s="924"/>
      <c r="R147" s="924"/>
      <c r="S147" s="924"/>
      <c r="T147" s="924"/>
      <c r="U147" s="926"/>
      <c r="V147" s="924"/>
      <c r="W147" s="924"/>
      <c r="X147" s="924"/>
      <c r="Y147" s="924"/>
      <c r="Z147" s="929"/>
      <c r="AA147" s="924"/>
      <c r="AB147" s="924"/>
      <c r="AC147" s="924"/>
      <c r="AD147" s="924"/>
      <c r="AE147" s="930"/>
    </row>
    <row r="148" spans="1:31" x14ac:dyDescent="0.25">
      <c r="A148" s="399">
        <v>137</v>
      </c>
      <c r="B148" s="924"/>
      <c r="C148" s="924"/>
      <c r="D148" s="924"/>
      <c r="E148" s="924"/>
      <c r="F148" s="921"/>
      <c r="G148" s="924"/>
      <c r="H148" s="924"/>
      <c r="I148" s="924"/>
      <c r="J148" s="924"/>
      <c r="K148" s="922"/>
      <c r="L148" s="924"/>
      <c r="M148" s="924"/>
      <c r="N148" s="924"/>
      <c r="O148" s="924"/>
      <c r="P148" s="925"/>
      <c r="Q148" s="924"/>
      <c r="R148" s="924"/>
      <c r="S148" s="924"/>
      <c r="T148" s="924"/>
      <c r="U148" s="926"/>
      <c r="V148" s="924"/>
      <c r="W148" s="924"/>
      <c r="X148" s="924"/>
      <c r="Y148" s="924"/>
      <c r="Z148" s="929"/>
      <c r="AA148" s="924"/>
      <c r="AB148" s="924"/>
      <c r="AC148" s="924"/>
      <c r="AD148" s="924"/>
      <c r="AE148" s="930"/>
    </row>
    <row r="149" spans="1:31" x14ac:dyDescent="0.25">
      <c r="A149" s="399">
        <v>138</v>
      </c>
      <c r="B149" s="924"/>
      <c r="C149" s="924"/>
      <c r="D149" s="924"/>
      <c r="E149" s="924"/>
      <c r="F149" s="921"/>
      <c r="G149" s="924"/>
      <c r="H149" s="924"/>
      <c r="I149" s="924"/>
      <c r="J149" s="924"/>
      <c r="K149" s="922"/>
      <c r="L149" s="924"/>
      <c r="M149" s="924"/>
      <c r="N149" s="924"/>
      <c r="O149" s="924"/>
      <c r="P149" s="925"/>
      <c r="Q149" s="924"/>
      <c r="R149" s="924"/>
      <c r="S149" s="924"/>
      <c r="T149" s="924"/>
      <c r="U149" s="926"/>
      <c r="V149" s="924"/>
      <c r="W149" s="924"/>
      <c r="X149" s="924"/>
      <c r="Y149" s="924"/>
      <c r="Z149" s="929"/>
      <c r="AA149" s="924"/>
      <c r="AB149" s="924"/>
      <c r="AC149" s="924"/>
      <c r="AD149" s="924"/>
      <c r="AE149" s="930"/>
    </row>
    <row r="150" spans="1:31" x14ac:dyDescent="0.25">
      <c r="A150" s="399">
        <v>139</v>
      </c>
      <c r="B150" s="924"/>
      <c r="C150" s="924"/>
      <c r="D150" s="924"/>
      <c r="E150" s="924"/>
      <c r="F150" s="921"/>
      <c r="G150" s="924"/>
      <c r="H150" s="924"/>
      <c r="I150" s="924"/>
      <c r="J150" s="924"/>
      <c r="K150" s="922"/>
      <c r="L150" s="924"/>
      <c r="M150" s="924"/>
      <c r="N150" s="924"/>
      <c r="O150" s="924"/>
      <c r="P150" s="925"/>
      <c r="Q150" s="924"/>
      <c r="R150" s="924"/>
      <c r="S150" s="924"/>
      <c r="T150" s="924"/>
      <c r="U150" s="926"/>
      <c r="V150" s="924"/>
      <c r="W150" s="924"/>
      <c r="X150" s="924"/>
      <c r="Y150" s="924"/>
      <c r="Z150" s="929"/>
      <c r="AA150" s="924"/>
      <c r="AB150" s="924"/>
      <c r="AC150" s="924"/>
      <c r="AD150" s="924"/>
      <c r="AE150" s="930"/>
    </row>
    <row r="151" spans="1:31" x14ac:dyDescent="0.25">
      <c r="A151" s="399">
        <v>140</v>
      </c>
      <c r="B151" s="924"/>
      <c r="C151" s="924"/>
      <c r="D151" s="924"/>
      <c r="E151" s="924"/>
      <c r="F151" s="921"/>
      <c r="G151" s="924"/>
      <c r="H151" s="924"/>
      <c r="I151" s="924"/>
      <c r="J151" s="924"/>
      <c r="K151" s="922"/>
      <c r="L151" s="924"/>
      <c r="M151" s="924"/>
      <c r="N151" s="924"/>
      <c r="O151" s="924"/>
      <c r="P151" s="925"/>
      <c r="Q151" s="924"/>
      <c r="R151" s="924"/>
      <c r="S151" s="924"/>
      <c r="T151" s="924"/>
      <c r="U151" s="926"/>
      <c r="V151" s="924"/>
      <c r="W151" s="924"/>
      <c r="X151" s="924"/>
      <c r="Y151" s="924"/>
      <c r="Z151" s="929"/>
      <c r="AA151" s="924"/>
      <c r="AB151" s="924"/>
      <c r="AC151" s="924"/>
      <c r="AD151" s="924"/>
      <c r="AE151" s="930"/>
    </row>
    <row r="152" spans="1:31" x14ac:dyDescent="0.25">
      <c r="A152" s="399">
        <v>141</v>
      </c>
      <c r="B152" s="924"/>
      <c r="C152" s="924"/>
      <c r="D152" s="924"/>
      <c r="E152" s="924"/>
      <c r="F152" s="921"/>
      <c r="G152" s="924"/>
      <c r="H152" s="924"/>
      <c r="I152" s="924"/>
      <c r="J152" s="924"/>
      <c r="K152" s="922"/>
      <c r="L152" s="924"/>
      <c r="M152" s="924"/>
      <c r="N152" s="924"/>
      <c r="O152" s="924"/>
      <c r="P152" s="925"/>
      <c r="Q152" s="924"/>
      <c r="R152" s="924"/>
      <c r="S152" s="924"/>
      <c r="T152" s="924"/>
      <c r="U152" s="926"/>
      <c r="V152" s="924"/>
      <c r="W152" s="924"/>
      <c r="X152" s="924"/>
      <c r="Y152" s="924"/>
      <c r="Z152" s="929"/>
      <c r="AA152" s="924"/>
      <c r="AB152" s="924"/>
      <c r="AC152" s="924"/>
      <c r="AD152" s="924"/>
      <c r="AE152" s="930"/>
    </row>
    <row r="153" spans="1:31" x14ac:dyDescent="0.25">
      <c r="A153" s="399">
        <v>142</v>
      </c>
      <c r="B153" s="924"/>
      <c r="C153" s="924"/>
      <c r="D153" s="924"/>
      <c r="E153" s="924"/>
      <c r="F153" s="921"/>
      <c r="G153" s="924"/>
      <c r="H153" s="924"/>
      <c r="I153" s="924"/>
      <c r="J153" s="924"/>
      <c r="K153" s="922"/>
      <c r="L153" s="924"/>
      <c r="M153" s="924"/>
      <c r="N153" s="924"/>
      <c r="O153" s="924"/>
      <c r="P153" s="925"/>
      <c r="Q153" s="924"/>
      <c r="R153" s="924"/>
      <c r="S153" s="924"/>
      <c r="T153" s="924"/>
      <c r="U153" s="926"/>
      <c r="V153" s="924"/>
      <c r="W153" s="924"/>
      <c r="X153" s="924"/>
      <c r="Y153" s="924"/>
      <c r="Z153" s="929"/>
      <c r="AA153" s="924"/>
      <c r="AB153" s="924"/>
      <c r="AC153" s="924"/>
      <c r="AD153" s="924"/>
      <c r="AE153" s="930"/>
    </row>
    <row r="154" spans="1:31" x14ac:dyDescent="0.25">
      <c r="A154" s="399">
        <v>143</v>
      </c>
      <c r="B154" s="924"/>
      <c r="C154" s="924"/>
      <c r="D154" s="924"/>
      <c r="E154" s="924"/>
      <c r="F154" s="921"/>
      <c r="G154" s="924"/>
      <c r="H154" s="924"/>
      <c r="I154" s="924"/>
      <c r="J154" s="924"/>
      <c r="K154" s="922"/>
      <c r="L154" s="924"/>
      <c r="M154" s="924"/>
      <c r="N154" s="924"/>
      <c r="O154" s="924"/>
      <c r="P154" s="925"/>
      <c r="Q154" s="924"/>
      <c r="R154" s="924"/>
      <c r="S154" s="924"/>
      <c r="T154" s="924"/>
      <c r="U154" s="926"/>
      <c r="V154" s="924"/>
      <c r="W154" s="924"/>
      <c r="X154" s="924"/>
      <c r="Y154" s="924"/>
      <c r="Z154" s="929"/>
      <c r="AA154" s="924"/>
      <c r="AB154" s="924"/>
      <c r="AC154" s="924"/>
      <c r="AD154" s="924"/>
      <c r="AE154" s="930"/>
    </row>
    <row r="155" spans="1:31" x14ac:dyDescent="0.25">
      <c r="A155" s="399">
        <v>144</v>
      </c>
      <c r="B155" s="924"/>
      <c r="C155" s="924"/>
      <c r="D155" s="924"/>
      <c r="E155" s="924"/>
      <c r="F155" s="921"/>
      <c r="G155" s="924"/>
      <c r="H155" s="924"/>
      <c r="I155" s="924"/>
      <c r="J155" s="924"/>
      <c r="K155" s="922"/>
      <c r="L155" s="924"/>
      <c r="M155" s="924"/>
      <c r="N155" s="924"/>
      <c r="O155" s="924"/>
      <c r="P155" s="925"/>
      <c r="Q155" s="924"/>
      <c r="R155" s="924"/>
      <c r="S155" s="924"/>
      <c r="T155" s="924"/>
      <c r="U155" s="926"/>
      <c r="V155" s="924"/>
      <c r="W155" s="924"/>
      <c r="X155" s="924"/>
      <c r="Y155" s="924"/>
      <c r="Z155" s="929"/>
      <c r="AA155" s="924"/>
      <c r="AB155" s="924"/>
      <c r="AC155" s="924"/>
      <c r="AD155" s="924"/>
      <c r="AE155" s="930"/>
    </row>
    <row r="156" spans="1:31" x14ac:dyDescent="0.25">
      <c r="A156" s="399">
        <v>145</v>
      </c>
      <c r="B156" s="924"/>
      <c r="C156" s="924"/>
      <c r="D156" s="924"/>
      <c r="E156" s="924"/>
      <c r="F156" s="921"/>
      <c r="G156" s="924"/>
      <c r="H156" s="924"/>
      <c r="I156" s="924"/>
      <c r="J156" s="924"/>
      <c r="K156" s="922"/>
      <c r="L156" s="924"/>
      <c r="M156" s="924"/>
      <c r="N156" s="924"/>
      <c r="O156" s="924"/>
      <c r="P156" s="925"/>
      <c r="Q156" s="924"/>
      <c r="R156" s="924"/>
      <c r="S156" s="924"/>
      <c r="T156" s="924"/>
      <c r="U156" s="926"/>
      <c r="V156" s="924"/>
      <c r="W156" s="924"/>
      <c r="X156" s="924"/>
      <c r="Y156" s="924"/>
      <c r="Z156" s="929"/>
      <c r="AA156" s="924"/>
      <c r="AB156" s="924"/>
      <c r="AC156" s="924"/>
      <c r="AD156" s="924"/>
      <c r="AE156" s="930"/>
    </row>
    <row r="157" spans="1:31" x14ac:dyDescent="0.25">
      <c r="A157" s="399">
        <v>146</v>
      </c>
      <c r="B157" s="924"/>
      <c r="C157" s="924"/>
      <c r="D157" s="924"/>
      <c r="E157" s="924"/>
      <c r="F157" s="921"/>
      <c r="G157" s="924"/>
      <c r="H157" s="924"/>
      <c r="I157" s="924"/>
      <c r="J157" s="924"/>
      <c r="K157" s="922"/>
      <c r="L157" s="924"/>
      <c r="M157" s="924"/>
      <c r="N157" s="924"/>
      <c r="O157" s="924"/>
      <c r="P157" s="925"/>
      <c r="Q157" s="924"/>
      <c r="R157" s="924"/>
      <c r="S157" s="924"/>
      <c r="T157" s="924"/>
      <c r="U157" s="926"/>
      <c r="V157" s="924"/>
      <c r="W157" s="924"/>
      <c r="X157" s="924"/>
      <c r="Y157" s="924"/>
      <c r="Z157" s="929"/>
      <c r="AA157" s="924"/>
      <c r="AB157" s="924"/>
      <c r="AC157" s="924"/>
      <c r="AD157" s="924"/>
      <c r="AE157" s="930"/>
    </row>
    <row r="158" spans="1:31" x14ac:dyDescent="0.25">
      <c r="A158" s="399">
        <v>147</v>
      </c>
      <c r="B158" s="924"/>
      <c r="C158" s="924"/>
      <c r="D158" s="924"/>
      <c r="E158" s="924"/>
      <c r="F158" s="921"/>
      <c r="G158" s="924"/>
      <c r="H158" s="924"/>
      <c r="I158" s="924"/>
      <c r="J158" s="924"/>
      <c r="K158" s="922"/>
      <c r="L158" s="924"/>
      <c r="M158" s="924"/>
      <c r="N158" s="924"/>
      <c r="O158" s="924"/>
      <c r="P158" s="925"/>
      <c r="Q158" s="924"/>
      <c r="R158" s="924"/>
      <c r="S158" s="924"/>
      <c r="T158" s="924"/>
      <c r="U158" s="926"/>
      <c r="V158" s="924"/>
      <c r="W158" s="924"/>
      <c r="X158" s="924"/>
      <c r="Y158" s="924"/>
      <c r="Z158" s="929"/>
      <c r="AA158" s="924"/>
      <c r="AB158" s="924"/>
      <c r="AC158" s="924"/>
      <c r="AD158" s="924"/>
      <c r="AE158" s="930"/>
    </row>
    <row r="159" spans="1:31" x14ac:dyDescent="0.25">
      <c r="A159" s="399">
        <v>148</v>
      </c>
      <c r="B159" s="924"/>
      <c r="C159" s="924"/>
      <c r="D159" s="924"/>
      <c r="E159" s="924"/>
      <c r="F159" s="921"/>
      <c r="G159" s="924"/>
      <c r="H159" s="924"/>
      <c r="I159" s="924"/>
      <c r="J159" s="924"/>
      <c r="K159" s="922"/>
      <c r="L159" s="924"/>
      <c r="M159" s="924"/>
      <c r="N159" s="924"/>
      <c r="O159" s="924"/>
      <c r="P159" s="925"/>
      <c r="Q159" s="924"/>
      <c r="R159" s="924"/>
      <c r="S159" s="924"/>
      <c r="T159" s="924"/>
      <c r="U159" s="926"/>
      <c r="V159" s="924"/>
      <c r="W159" s="924"/>
      <c r="X159" s="924"/>
      <c r="Y159" s="924"/>
      <c r="Z159" s="929"/>
      <c r="AA159" s="924"/>
      <c r="AB159" s="924"/>
      <c r="AC159" s="924"/>
      <c r="AD159" s="924"/>
      <c r="AE159" s="930"/>
    </row>
    <row r="160" spans="1:31" x14ac:dyDescent="0.25">
      <c r="A160" s="399">
        <v>149</v>
      </c>
      <c r="B160" s="924"/>
      <c r="C160" s="924"/>
      <c r="D160" s="924"/>
      <c r="E160" s="924"/>
      <c r="F160" s="921"/>
      <c r="G160" s="924"/>
      <c r="H160" s="924"/>
      <c r="I160" s="924"/>
      <c r="J160" s="924"/>
      <c r="K160" s="922"/>
      <c r="L160" s="924"/>
      <c r="M160" s="924"/>
      <c r="N160" s="924"/>
      <c r="O160" s="924"/>
      <c r="P160" s="925"/>
      <c r="Q160" s="924"/>
      <c r="R160" s="924"/>
      <c r="S160" s="924"/>
      <c r="T160" s="924"/>
      <c r="U160" s="926"/>
      <c r="V160" s="924"/>
      <c r="W160" s="924"/>
      <c r="X160" s="924"/>
      <c r="Y160" s="924"/>
      <c r="Z160" s="929"/>
      <c r="AA160" s="924"/>
      <c r="AB160" s="924"/>
      <c r="AC160" s="924"/>
      <c r="AD160" s="924"/>
      <c r="AE160" s="930"/>
    </row>
    <row r="161" spans="1:31" x14ac:dyDescent="0.25">
      <c r="A161" s="399">
        <v>150</v>
      </c>
      <c r="B161" s="924"/>
      <c r="C161" s="924"/>
      <c r="D161" s="924"/>
      <c r="E161" s="924"/>
      <c r="F161" s="921"/>
      <c r="G161" s="924"/>
      <c r="H161" s="924"/>
      <c r="I161" s="924"/>
      <c r="J161" s="924"/>
      <c r="K161" s="922"/>
      <c r="L161" s="924"/>
      <c r="M161" s="924"/>
      <c r="N161" s="924"/>
      <c r="O161" s="924"/>
      <c r="P161" s="925"/>
      <c r="Q161" s="924"/>
      <c r="R161" s="924"/>
      <c r="S161" s="924"/>
      <c r="T161" s="924"/>
      <c r="U161" s="926"/>
      <c r="V161" s="924"/>
      <c r="W161" s="924"/>
      <c r="X161" s="924"/>
      <c r="Y161" s="924"/>
      <c r="Z161" s="929"/>
      <c r="AA161" s="924"/>
      <c r="AB161" s="924"/>
      <c r="AC161" s="924"/>
      <c r="AD161" s="924"/>
      <c r="AE161" s="930"/>
    </row>
    <row r="162" spans="1:31" x14ac:dyDescent="0.25">
      <c r="A162" s="399">
        <v>151</v>
      </c>
      <c r="B162" s="924"/>
      <c r="C162" s="924"/>
      <c r="D162" s="924"/>
      <c r="E162" s="924"/>
      <c r="F162" s="921"/>
      <c r="G162" s="924"/>
      <c r="H162" s="924"/>
      <c r="I162" s="924"/>
      <c r="J162" s="924"/>
      <c r="K162" s="922"/>
      <c r="L162" s="924"/>
      <c r="M162" s="924"/>
      <c r="N162" s="924"/>
      <c r="O162" s="924"/>
      <c r="P162" s="925"/>
      <c r="Q162" s="924"/>
      <c r="R162" s="924"/>
      <c r="S162" s="924"/>
      <c r="T162" s="924"/>
      <c r="U162" s="926"/>
      <c r="V162" s="924"/>
      <c r="W162" s="924"/>
      <c r="X162" s="924"/>
      <c r="Y162" s="924"/>
      <c r="Z162" s="929"/>
      <c r="AA162" s="924"/>
      <c r="AB162" s="924"/>
      <c r="AC162" s="924"/>
      <c r="AD162" s="924"/>
      <c r="AE162" s="930"/>
    </row>
    <row r="163" spans="1:31" x14ac:dyDescent="0.25">
      <c r="A163" s="399">
        <v>152</v>
      </c>
      <c r="B163" s="924"/>
      <c r="C163" s="924"/>
      <c r="D163" s="924"/>
      <c r="E163" s="924"/>
      <c r="F163" s="921"/>
      <c r="G163" s="924"/>
      <c r="H163" s="924"/>
      <c r="I163" s="924"/>
      <c r="J163" s="924"/>
      <c r="K163" s="922"/>
      <c r="L163" s="924"/>
      <c r="M163" s="924"/>
      <c r="N163" s="924"/>
      <c r="O163" s="924"/>
      <c r="P163" s="925"/>
      <c r="Q163" s="924"/>
      <c r="R163" s="924"/>
      <c r="S163" s="924"/>
      <c r="T163" s="924"/>
      <c r="U163" s="926"/>
      <c r="V163" s="924"/>
      <c r="W163" s="924"/>
      <c r="X163" s="924"/>
      <c r="Y163" s="924"/>
      <c r="Z163" s="929"/>
      <c r="AA163" s="924"/>
      <c r="AB163" s="924"/>
      <c r="AC163" s="924"/>
      <c r="AD163" s="924"/>
      <c r="AE163" s="930"/>
    </row>
    <row r="164" spans="1:31" x14ac:dyDescent="0.25">
      <c r="A164" s="399">
        <v>153</v>
      </c>
      <c r="B164" s="924"/>
      <c r="C164" s="924"/>
      <c r="D164" s="924"/>
      <c r="E164" s="924"/>
      <c r="F164" s="921"/>
      <c r="G164" s="924"/>
      <c r="H164" s="924"/>
      <c r="I164" s="924"/>
      <c r="J164" s="924"/>
      <c r="K164" s="922"/>
      <c r="L164" s="924"/>
      <c r="M164" s="924"/>
      <c r="N164" s="924"/>
      <c r="O164" s="924"/>
      <c r="P164" s="925"/>
      <c r="Q164" s="924"/>
      <c r="R164" s="924"/>
      <c r="S164" s="924"/>
      <c r="T164" s="924"/>
      <c r="U164" s="926"/>
      <c r="V164" s="924"/>
      <c r="W164" s="924"/>
      <c r="X164" s="924"/>
      <c r="Y164" s="924"/>
      <c r="Z164" s="929"/>
      <c r="AA164" s="924"/>
      <c r="AB164" s="924"/>
      <c r="AC164" s="924"/>
      <c r="AD164" s="924"/>
      <c r="AE164" s="930"/>
    </row>
    <row r="165" spans="1:31" x14ac:dyDescent="0.25">
      <c r="A165" s="399">
        <v>154</v>
      </c>
      <c r="B165" s="924"/>
      <c r="C165" s="924"/>
      <c r="D165" s="924"/>
      <c r="E165" s="924"/>
      <c r="F165" s="921"/>
      <c r="G165" s="924"/>
      <c r="H165" s="924"/>
      <c r="I165" s="924"/>
      <c r="J165" s="924"/>
      <c r="K165" s="922"/>
      <c r="L165" s="924"/>
      <c r="M165" s="924"/>
      <c r="N165" s="924"/>
      <c r="O165" s="924"/>
      <c r="P165" s="925"/>
      <c r="Q165" s="924"/>
      <c r="R165" s="924"/>
      <c r="S165" s="924"/>
      <c r="T165" s="924"/>
      <c r="U165" s="926"/>
      <c r="V165" s="924"/>
      <c r="W165" s="924"/>
      <c r="X165" s="924"/>
      <c r="Y165" s="924"/>
      <c r="Z165" s="929"/>
      <c r="AA165" s="924"/>
      <c r="AB165" s="924"/>
      <c r="AC165" s="924"/>
      <c r="AD165" s="924"/>
      <c r="AE165" s="930"/>
    </row>
    <row r="166" spans="1:31" x14ac:dyDescent="0.25">
      <c r="A166" s="399">
        <v>155</v>
      </c>
      <c r="B166" s="924"/>
      <c r="C166" s="924"/>
      <c r="D166" s="924"/>
      <c r="E166" s="924"/>
      <c r="F166" s="921"/>
      <c r="G166" s="924"/>
      <c r="H166" s="924"/>
      <c r="I166" s="924"/>
      <c r="J166" s="924"/>
      <c r="K166" s="922"/>
      <c r="L166" s="924"/>
      <c r="M166" s="924"/>
      <c r="N166" s="924"/>
      <c r="O166" s="924"/>
      <c r="P166" s="925"/>
      <c r="Q166" s="924"/>
      <c r="R166" s="924"/>
      <c r="S166" s="924"/>
      <c r="T166" s="924"/>
      <c r="U166" s="926"/>
      <c r="V166" s="924"/>
      <c r="W166" s="924"/>
      <c r="X166" s="924"/>
      <c r="Y166" s="924"/>
      <c r="Z166" s="929"/>
      <c r="AA166" s="924"/>
      <c r="AB166" s="924"/>
      <c r="AC166" s="924"/>
      <c r="AD166" s="924"/>
      <c r="AE166" s="930"/>
    </row>
    <row r="167" spans="1:31" x14ac:dyDescent="0.25">
      <c r="A167" s="399">
        <v>156</v>
      </c>
      <c r="B167" s="924"/>
      <c r="C167" s="924"/>
      <c r="D167" s="924"/>
      <c r="E167" s="924"/>
      <c r="F167" s="921"/>
      <c r="G167" s="924"/>
      <c r="H167" s="924"/>
      <c r="I167" s="924"/>
      <c r="J167" s="924"/>
      <c r="K167" s="922"/>
      <c r="L167" s="924"/>
      <c r="M167" s="924"/>
      <c r="N167" s="924"/>
      <c r="O167" s="924"/>
      <c r="P167" s="925"/>
      <c r="Q167" s="924"/>
      <c r="R167" s="924"/>
      <c r="S167" s="924"/>
      <c r="T167" s="924"/>
      <c r="U167" s="926"/>
      <c r="V167" s="924"/>
      <c r="W167" s="924"/>
      <c r="X167" s="924"/>
      <c r="Y167" s="924"/>
      <c r="Z167" s="929"/>
      <c r="AA167" s="924"/>
      <c r="AB167" s="924"/>
      <c r="AC167" s="924"/>
      <c r="AD167" s="924"/>
      <c r="AE167" s="930"/>
    </row>
    <row r="168" spans="1:31" x14ac:dyDescent="0.25">
      <c r="A168" s="399">
        <v>157</v>
      </c>
      <c r="B168" s="924"/>
      <c r="C168" s="924"/>
      <c r="D168" s="924"/>
      <c r="E168" s="924"/>
      <c r="F168" s="921"/>
      <c r="G168" s="924"/>
      <c r="H168" s="924"/>
      <c r="I168" s="924"/>
      <c r="J168" s="924"/>
      <c r="K168" s="922"/>
      <c r="L168" s="924"/>
      <c r="M168" s="924"/>
      <c r="N168" s="924"/>
      <c r="O168" s="924"/>
      <c r="P168" s="925"/>
      <c r="Q168" s="924"/>
      <c r="R168" s="924"/>
      <c r="S168" s="924"/>
      <c r="T168" s="924"/>
      <c r="U168" s="926"/>
      <c r="V168" s="924"/>
      <c r="W168" s="924"/>
      <c r="X168" s="924"/>
      <c r="Y168" s="924"/>
      <c r="Z168" s="929"/>
      <c r="AA168" s="924"/>
      <c r="AB168" s="924"/>
      <c r="AC168" s="924"/>
      <c r="AD168" s="924"/>
      <c r="AE168" s="930"/>
    </row>
    <row r="169" spans="1:31" x14ac:dyDescent="0.25">
      <c r="A169" s="399">
        <v>158</v>
      </c>
      <c r="B169" s="924"/>
      <c r="C169" s="924"/>
      <c r="D169" s="924"/>
      <c r="E169" s="924"/>
      <c r="F169" s="921"/>
      <c r="G169" s="924"/>
      <c r="H169" s="924"/>
      <c r="I169" s="924"/>
      <c r="J169" s="924"/>
      <c r="K169" s="922"/>
      <c r="L169" s="924"/>
      <c r="M169" s="924"/>
      <c r="N169" s="924"/>
      <c r="O169" s="924"/>
      <c r="P169" s="925"/>
      <c r="Q169" s="924"/>
      <c r="R169" s="924"/>
      <c r="S169" s="924"/>
      <c r="T169" s="924"/>
      <c r="U169" s="926"/>
      <c r="V169" s="924"/>
      <c r="W169" s="924"/>
      <c r="X169" s="924"/>
      <c r="Y169" s="924"/>
      <c r="Z169" s="929"/>
      <c r="AA169" s="924"/>
      <c r="AB169" s="924"/>
      <c r="AC169" s="924"/>
      <c r="AD169" s="924"/>
      <c r="AE169" s="930"/>
    </row>
    <row r="170" spans="1:31" x14ac:dyDescent="0.25">
      <c r="A170" s="399">
        <v>159</v>
      </c>
      <c r="B170" s="924"/>
      <c r="C170" s="924"/>
      <c r="D170" s="924"/>
      <c r="E170" s="924"/>
      <c r="F170" s="921"/>
      <c r="G170" s="924"/>
      <c r="H170" s="924"/>
      <c r="I170" s="924"/>
      <c r="J170" s="924"/>
      <c r="K170" s="922"/>
      <c r="L170" s="924"/>
      <c r="M170" s="924"/>
      <c r="N170" s="924"/>
      <c r="O170" s="924"/>
      <c r="P170" s="925"/>
      <c r="Q170" s="924"/>
      <c r="R170" s="924"/>
      <c r="S170" s="924"/>
      <c r="T170" s="924"/>
      <c r="U170" s="926"/>
      <c r="V170" s="924"/>
      <c r="W170" s="924"/>
      <c r="X170" s="924"/>
      <c r="Y170" s="924"/>
      <c r="Z170" s="929"/>
      <c r="AA170" s="924"/>
      <c r="AB170" s="924"/>
      <c r="AC170" s="924"/>
      <c r="AD170" s="924"/>
      <c r="AE170" s="930"/>
    </row>
    <row r="171" spans="1:31" x14ac:dyDescent="0.25">
      <c r="A171" s="399">
        <v>160</v>
      </c>
      <c r="B171" s="924"/>
      <c r="C171" s="924"/>
      <c r="D171" s="924"/>
      <c r="E171" s="924"/>
      <c r="F171" s="921"/>
      <c r="G171" s="924"/>
      <c r="H171" s="924"/>
      <c r="I171" s="924"/>
      <c r="J171" s="924"/>
      <c r="K171" s="922"/>
      <c r="L171" s="924"/>
      <c r="M171" s="924"/>
      <c r="N171" s="924"/>
      <c r="O171" s="924"/>
      <c r="P171" s="925"/>
      <c r="Q171" s="924"/>
      <c r="R171" s="924"/>
      <c r="S171" s="924"/>
      <c r="T171" s="924"/>
      <c r="U171" s="926"/>
      <c r="V171" s="924"/>
      <c r="W171" s="924"/>
      <c r="X171" s="924"/>
      <c r="Y171" s="924"/>
      <c r="Z171" s="929"/>
      <c r="AA171" s="924"/>
      <c r="AB171" s="924"/>
      <c r="AC171" s="924"/>
      <c r="AD171" s="924"/>
      <c r="AE171" s="930"/>
    </row>
    <row r="172" spans="1:31" x14ac:dyDescent="0.25">
      <c r="A172" s="399">
        <v>161</v>
      </c>
      <c r="B172" s="924"/>
      <c r="C172" s="924"/>
      <c r="D172" s="924"/>
      <c r="E172" s="924"/>
      <c r="F172" s="921"/>
      <c r="G172" s="924"/>
      <c r="H172" s="924"/>
      <c r="I172" s="924"/>
      <c r="J172" s="924"/>
      <c r="K172" s="922"/>
      <c r="L172" s="924"/>
      <c r="M172" s="924"/>
      <c r="N172" s="924"/>
      <c r="O172" s="924"/>
      <c r="P172" s="925"/>
      <c r="Q172" s="924"/>
      <c r="R172" s="924"/>
      <c r="S172" s="924"/>
      <c r="T172" s="924"/>
      <c r="U172" s="926"/>
      <c r="V172" s="924"/>
      <c r="W172" s="924"/>
      <c r="X172" s="924"/>
      <c r="Y172" s="924"/>
      <c r="Z172" s="929"/>
      <c r="AA172" s="924"/>
      <c r="AB172" s="924"/>
      <c r="AC172" s="924"/>
      <c r="AD172" s="924"/>
      <c r="AE172" s="930"/>
    </row>
    <row r="173" spans="1:31" x14ac:dyDescent="0.25">
      <c r="A173" s="399">
        <v>162</v>
      </c>
      <c r="B173" s="924"/>
      <c r="C173" s="924"/>
      <c r="D173" s="924"/>
      <c r="E173" s="924"/>
      <c r="F173" s="921"/>
      <c r="G173" s="924"/>
      <c r="H173" s="924"/>
      <c r="I173" s="924"/>
      <c r="J173" s="924"/>
      <c r="K173" s="922"/>
      <c r="L173" s="924"/>
      <c r="M173" s="924"/>
      <c r="N173" s="924"/>
      <c r="O173" s="924"/>
      <c r="P173" s="925"/>
      <c r="Q173" s="924"/>
      <c r="R173" s="924"/>
      <c r="S173" s="924"/>
      <c r="T173" s="924"/>
      <c r="U173" s="926"/>
      <c r="V173" s="924"/>
      <c r="W173" s="924"/>
      <c r="X173" s="924"/>
      <c r="Y173" s="924"/>
      <c r="Z173" s="929"/>
      <c r="AA173" s="924"/>
      <c r="AB173" s="924"/>
      <c r="AC173" s="924"/>
      <c r="AD173" s="924"/>
      <c r="AE173" s="930"/>
    </row>
    <row r="174" spans="1:31" x14ac:dyDescent="0.25">
      <c r="A174" s="399">
        <v>163</v>
      </c>
      <c r="B174" s="924"/>
      <c r="C174" s="924"/>
      <c r="D174" s="924"/>
      <c r="E174" s="924"/>
      <c r="F174" s="921"/>
      <c r="G174" s="924"/>
      <c r="H174" s="924"/>
      <c r="I174" s="924"/>
      <c r="J174" s="924"/>
      <c r="K174" s="922"/>
      <c r="L174" s="924"/>
      <c r="M174" s="924"/>
      <c r="N174" s="924"/>
      <c r="O174" s="924"/>
      <c r="P174" s="925"/>
      <c r="Q174" s="924"/>
      <c r="R174" s="924"/>
      <c r="S174" s="924"/>
      <c r="T174" s="924"/>
      <c r="U174" s="926"/>
      <c r="V174" s="924"/>
      <c r="W174" s="924"/>
      <c r="X174" s="924"/>
      <c r="Y174" s="924"/>
      <c r="Z174" s="929"/>
      <c r="AA174" s="924"/>
      <c r="AB174" s="924"/>
      <c r="AC174" s="924"/>
      <c r="AD174" s="924"/>
      <c r="AE174" s="930"/>
    </row>
    <row r="175" spans="1:31" x14ac:dyDescent="0.25">
      <c r="A175" s="399">
        <v>164</v>
      </c>
      <c r="B175" s="924"/>
      <c r="C175" s="924"/>
      <c r="D175" s="924"/>
      <c r="E175" s="924"/>
      <c r="F175" s="921"/>
      <c r="G175" s="924"/>
      <c r="H175" s="924"/>
      <c r="I175" s="924"/>
      <c r="J175" s="924"/>
      <c r="K175" s="922"/>
      <c r="L175" s="924"/>
      <c r="M175" s="924"/>
      <c r="N175" s="924"/>
      <c r="O175" s="924"/>
      <c r="P175" s="925"/>
      <c r="Q175" s="924"/>
      <c r="R175" s="924"/>
      <c r="S175" s="924"/>
      <c r="T175" s="924"/>
      <c r="U175" s="926"/>
      <c r="V175" s="924"/>
      <c r="W175" s="924"/>
      <c r="X175" s="924"/>
      <c r="Y175" s="924"/>
      <c r="Z175" s="929"/>
      <c r="AA175" s="924"/>
      <c r="AB175" s="924"/>
      <c r="AC175" s="924"/>
      <c r="AD175" s="924"/>
      <c r="AE175" s="930"/>
    </row>
    <row r="176" spans="1:31" x14ac:dyDescent="0.25">
      <c r="A176" s="399">
        <v>165</v>
      </c>
      <c r="B176" s="924"/>
      <c r="C176" s="924"/>
      <c r="D176" s="924"/>
      <c r="E176" s="924"/>
      <c r="F176" s="921"/>
      <c r="G176" s="924"/>
      <c r="H176" s="924"/>
      <c r="I176" s="924"/>
      <c r="J176" s="924"/>
      <c r="K176" s="922"/>
      <c r="L176" s="924"/>
      <c r="M176" s="924"/>
      <c r="N176" s="924"/>
      <c r="O176" s="924"/>
      <c r="P176" s="925"/>
      <c r="Q176" s="924"/>
      <c r="R176" s="924"/>
      <c r="S176" s="924"/>
      <c r="T176" s="924"/>
      <c r="U176" s="926"/>
      <c r="V176" s="924"/>
      <c r="W176" s="924"/>
      <c r="X176" s="924"/>
      <c r="Y176" s="924"/>
      <c r="Z176" s="929"/>
      <c r="AA176" s="924"/>
      <c r="AB176" s="924"/>
      <c r="AC176" s="924"/>
      <c r="AD176" s="924"/>
      <c r="AE176" s="930"/>
    </row>
    <row r="177" spans="1:31" x14ac:dyDescent="0.25">
      <c r="A177" s="399">
        <v>166</v>
      </c>
      <c r="B177" s="924"/>
      <c r="C177" s="924"/>
      <c r="D177" s="924"/>
      <c r="E177" s="924"/>
      <c r="F177" s="921"/>
      <c r="G177" s="924"/>
      <c r="H177" s="924"/>
      <c r="I177" s="924"/>
      <c r="J177" s="924"/>
      <c r="K177" s="922"/>
      <c r="L177" s="924"/>
      <c r="M177" s="924"/>
      <c r="N177" s="924"/>
      <c r="O177" s="924"/>
      <c r="P177" s="925"/>
      <c r="Q177" s="924"/>
      <c r="R177" s="924"/>
      <c r="S177" s="924"/>
      <c r="T177" s="924"/>
      <c r="U177" s="926"/>
      <c r="V177" s="924"/>
      <c r="W177" s="924"/>
      <c r="X177" s="924"/>
      <c r="Y177" s="924"/>
      <c r="Z177" s="929"/>
      <c r="AA177" s="924"/>
      <c r="AB177" s="924"/>
      <c r="AC177" s="924"/>
      <c r="AD177" s="924"/>
      <c r="AE177" s="930"/>
    </row>
    <row r="178" spans="1:31" x14ac:dyDescent="0.25">
      <c r="A178" s="399">
        <v>167</v>
      </c>
      <c r="B178" s="924"/>
      <c r="C178" s="924"/>
      <c r="D178" s="924"/>
      <c r="E178" s="924"/>
      <c r="F178" s="921"/>
      <c r="G178" s="924"/>
      <c r="H178" s="924"/>
      <c r="I178" s="924"/>
      <c r="J178" s="924"/>
      <c r="K178" s="922"/>
      <c r="L178" s="924"/>
      <c r="M178" s="924"/>
      <c r="N178" s="924"/>
      <c r="O178" s="924"/>
      <c r="P178" s="925"/>
      <c r="Q178" s="924"/>
      <c r="R178" s="924"/>
      <c r="S178" s="924"/>
      <c r="T178" s="924"/>
      <c r="U178" s="926"/>
      <c r="V178" s="924"/>
      <c r="W178" s="924"/>
      <c r="X178" s="924"/>
      <c r="Y178" s="924"/>
      <c r="Z178" s="929"/>
      <c r="AA178" s="924"/>
      <c r="AB178" s="924"/>
      <c r="AC178" s="924"/>
      <c r="AD178" s="924"/>
      <c r="AE178" s="930"/>
    </row>
    <row r="179" spans="1:31" x14ac:dyDescent="0.25">
      <c r="A179" s="399">
        <v>168</v>
      </c>
      <c r="B179" s="924"/>
      <c r="C179" s="924"/>
      <c r="D179" s="924"/>
      <c r="E179" s="924"/>
      <c r="F179" s="921"/>
      <c r="G179" s="924"/>
      <c r="H179" s="924"/>
      <c r="I179" s="924"/>
      <c r="J179" s="924"/>
      <c r="K179" s="922"/>
      <c r="L179" s="924"/>
      <c r="M179" s="924"/>
      <c r="N179" s="924"/>
      <c r="O179" s="924"/>
      <c r="P179" s="925"/>
      <c r="Q179" s="924"/>
      <c r="R179" s="924"/>
      <c r="S179" s="924"/>
      <c r="T179" s="924"/>
      <c r="U179" s="926"/>
      <c r="V179" s="924"/>
      <c r="W179" s="924"/>
      <c r="X179" s="924"/>
      <c r="Y179" s="924"/>
      <c r="Z179" s="929"/>
      <c r="AA179" s="924"/>
      <c r="AB179" s="924"/>
      <c r="AC179" s="924"/>
      <c r="AD179" s="924"/>
      <c r="AE179" s="930"/>
    </row>
    <row r="180" spans="1:31" x14ac:dyDescent="0.25">
      <c r="A180" s="399">
        <v>169</v>
      </c>
      <c r="B180" s="924"/>
      <c r="C180" s="924"/>
      <c r="D180" s="924"/>
      <c r="E180" s="924"/>
      <c r="F180" s="921"/>
      <c r="G180" s="924"/>
      <c r="H180" s="924"/>
      <c r="I180" s="924"/>
      <c r="J180" s="924"/>
      <c r="K180" s="922"/>
      <c r="L180" s="924"/>
      <c r="M180" s="924"/>
      <c r="N180" s="924"/>
      <c r="O180" s="924"/>
      <c r="P180" s="925"/>
      <c r="Q180" s="924"/>
      <c r="R180" s="924"/>
      <c r="S180" s="924"/>
      <c r="T180" s="924"/>
      <c r="U180" s="926"/>
      <c r="V180" s="924"/>
      <c r="W180" s="924"/>
      <c r="X180" s="924"/>
      <c r="Y180" s="924"/>
      <c r="Z180" s="929"/>
      <c r="AA180" s="924"/>
      <c r="AB180" s="924"/>
      <c r="AC180" s="924"/>
      <c r="AD180" s="924"/>
      <c r="AE180" s="930"/>
    </row>
    <row r="181" spans="1:31" x14ac:dyDescent="0.25">
      <c r="A181" s="399">
        <v>170</v>
      </c>
      <c r="B181" s="924"/>
      <c r="C181" s="924"/>
      <c r="D181" s="924"/>
      <c r="E181" s="924"/>
      <c r="F181" s="921"/>
      <c r="G181" s="924"/>
      <c r="H181" s="924"/>
      <c r="I181" s="924"/>
      <c r="J181" s="924"/>
      <c r="K181" s="922"/>
      <c r="L181" s="924"/>
      <c r="M181" s="924"/>
      <c r="N181" s="924"/>
      <c r="O181" s="924"/>
      <c r="P181" s="925"/>
      <c r="Q181" s="924"/>
      <c r="R181" s="924"/>
      <c r="S181" s="924"/>
      <c r="T181" s="924"/>
      <c r="U181" s="926"/>
      <c r="V181" s="924"/>
      <c r="W181" s="924"/>
      <c r="X181" s="924"/>
      <c r="Y181" s="924"/>
      <c r="Z181" s="929"/>
      <c r="AA181" s="924"/>
      <c r="AB181" s="924"/>
      <c r="AC181" s="924"/>
      <c r="AD181" s="924"/>
      <c r="AE181" s="930"/>
    </row>
    <row r="182" spans="1:31" x14ac:dyDescent="0.25">
      <c r="A182" s="399">
        <v>171</v>
      </c>
      <c r="B182" s="924"/>
      <c r="C182" s="924"/>
      <c r="D182" s="924"/>
      <c r="E182" s="924"/>
      <c r="F182" s="921"/>
      <c r="G182" s="924"/>
      <c r="H182" s="924"/>
      <c r="I182" s="924"/>
      <c r="J182" s="924"/>
      <c r="K182" s="922"/>
      <c r="L182" s="924"/>
      <c r="M182" s="924"/>
      <c r="N182" s="924"/>
      <c r="O182" s="924"/>
      <c r="P182" s="925"/>
      <c r="Q182" s="924"/>
      <c r="R182" s="924"/>
      <c r="S182" s="924"/>
      <c r="T182" s="924"/>
      <c r="U182" s="926"/>
      <c r="V182" s="924"/>
      <c r="W182" s="924"/>
      <c r="X182" s="924"/>
      <c r="Y182" s="924"/>
      <c r="Z182" s="929"/>
      <c r="AA182" s="924"/>
      <c r="AB182" s="924"/>
      <c r="AC182" s="924"/>
      <c r="AD182" s="924"/>
      <c r="AE182" s="930"/>
    </row>
    <row r="183" spans="1:31" x14ac:dyDescent="0.25">
      <c r="A183" s="399">
        <v>172</v>
      </c>
      <c r="B183" s="924"/>
      <c r="C183" s="924"/>
      <c r="D183" s="924"/>
      <c r="E183" s="924"/>
      <c r="F183" s="921"/>
      <c r="G183" s="924"/>
      <c r="H183" s="924"/>
      <c r="I183" s="924"/>
      <c r="J183" s="924"/>
      <c r="K183" s="922"/>
      <c r="L183" s="924"/>
      <c r="M183" s="924"/>
      <c r="N183" s="924"/>
      <c r="O183" s="924"/>
      <c r="P183" s="925"/>
      <c r="Q183" s="924"/>
      <c r="R183" s="924"/>
      <c r="S183" s="924"/>
      <c r="T183" s="924"/>
      <c r="U183" s="926"/>
      <c r="V183" s="924"/>
      <c r="W183" s="924"/>
      <c r="X183" s="924"/>
      <c r="Y183" s="924"/>
      <c r="Z183" s="929"/>
      <c r="AA183" s="924"/>
      <c r="AB183" s="924"/>
      <c r="AC183" s="924"/>
      <c r="AD183" s="924"/>
      <c r="AE183" s="930"/>
    </row>
    <row r="184" spans="1:31" x14ac:dyDescent="0.25">
      <c r="A184" s="399">
        <v>173</v>
      </c>
      <c r="B184" s="924"/>
      <c r="C184" s="924"/>
      <c r="D184" s="924"/>
      <c r="E184" s="924"/>
      <c r="F184" s="921"/>
      <c r="G184" s="924"/>
      <c r="H184" s="924"/>
      <c r="I184" s="924"/>
      <c r="J184" s="924"/>
      <c r="K184" s="922"/>
      <c r="L184" s="924"/>
      <c r="M184" s="924"/>
      <c r="N184" s="924"/>
      <c r="O184" s="924"/>
      <c r="P184" s="925"/>
      <c r="Q184" s="924"/>
      <c r="R184" s="924"/>
      <c r="S184" s="924"/>
      <c r="T184" s="924"/>
      <c r="U184" s="926"/>
      <c r="V184" s="924"/>
      <c r="W184" s="924"/>
      <c r="X184" s="924"/>
      <c r="Y184" s="924"/>
      <c r="Z184" s="929"/>
      <c r="AA184" s="924"/>
      <c r="AB184" s="924"/>
      <c r="AC184" s="924"/>
      <c r="AD184" s="924"/>
      <c r="AE184" s="930"/>
    </row>
    <row r="185" spans="1:31" x14ac:dyDescent="0.25">
      <c r="A185" s="399">
        <v>174</v>
      </c>
      <c r="B185" s="924"/>
      <c r="C185" s="924"/>
      <c r="D185" s="924"/>
      <c r="E185" s="924"/>
      <c r="F185" s="921"/>
      <c r="G185" s="924"/>
      <c r="H185" s="924"/>
      <c r="I185" s="924"/>
      <c r="J185" s="924"/>
      <c r="K185" s="922"/>
      <c r="L185" s="924"/>
      <c r="M185" s="924"/>
      <c r="N185" s="924"/>
      <c r="O185" s="924"/>
      <c r="P185" s="925"/>
      <c r="Q185" s="924"/>
      <c r="R185" s="924"/>
      <c r="S185" s="924"/>
      <c r="T185" s="924"/>
      <c r="U185" s="926"/>
      <c r="V185" s="924"/>
      <c r="W185" s="924"/>
      <c r="X185" s="924"/>
      <c r="Y185" s="924"/>
      <c r="Z185" s="929"/>
      <c r="AA185" s="924"/>
      <c r="AB185" s="924"/>
      <c r="AC185" s="924"/>
      <c r="AD185" s="924"/>
      <c r="AE185" s="930"/>
    </row>
    <row r="186" spans="1:31" x14ac:dyDescent="0.25">
      <c r="A186" s="399">
        <v>175</v>
      </c>
      <c r="B186" s="924"/>
      <c r="C186" s="924"/>
      <c r="D186" s="924"/>
      <c r="E186" s="924"/>
      <c r="F186" s="921"/>
      <c r="G186" s="924"/>
      <c r="H186" s="924"/>
      <c r="I186" s="924"/>
      <c r="J186" s="924"/>
      <c r="K186" s="922"/>
      <c r="L186" s="924"/>
      <c r="M186" s="924"/>
      <c r="N186" s="924"/>
      <c r="O186" s="924"/>
      <c r="P186" s="925"/>
      <c r="Q186" s="924"/>
      <c r="R186" s="924"/>
      <c r="S186" s="924"/>
      <c r="T186" s="924"/>
      <c r="U186" s="926"/>
      <c r="V186" s="924"/>
      <c r="W186" s="924"/>
      <c r="X186" s="924"/>
      <c r="Y186" s="924"/>
      <c r="Z186" s="929"/>
      <c r="AA186" s="924"/>
      <c r="AB186" s="924"/>
      <c r="AC186" s="924"/>
      <c r="AD186" s="924"/>
      <c r="AE186" s="930"/>
    </row>
    <row r="187" spans="1:31" x14ac:dyDescent="0.25">
      <c r="A187" s="399">
        <v>176</v>
      </c>
      <c r="B187" s="924"/>
      <c r="C187" s="924"/>
      <c r="D187" s="924"/>
      <c r="E187" s="924"/>
      <c r="F187" s="921"/>
      <c r="G187" s="924"/>
      <c r="H187" s="924"/>
      <c r="I187" s="924"/>
      <c r="J187" s="924"/>
      <c r="K187" s="922"/>
      <c r="L187" s="924"/>
      <c r="M187" s="924"/>
      <c r="N187" s="924"/>
      <c r="O187" s="924"/>
      <c r="P187" s="925"/>
      <c r="Q187" s="924"/>
      <c r="R187" s="924"/>
      <c r="S187" s="924"/>
      <c r="T187" s="924"/>
      <c r="U187" s="926"/>
      <c r="V187" s="924"/>
      <c r="W187" s="924"/>
      <c r="X187" s="924"/>
      <c r="Y187" s="924"/>
      <c r="Z187" s="929"/>
      <c r="AA187" s="924"/>
      <c r="AB187" s="924"/>
      <c r="AC187" s="924"/>
      <c r="AD187" s="924"/>
      <c r="AE187" s="930"/>
    </row>
    <row r="188" spans="1:31" x14ac:dyDescent="0.25">
      <c r="A188" s="399">
        <v>177</v>
      </c>
      <c r="B188" s="924"/>
      <c r="C188" s="924"/>
      <c r="D188" s="924"/>
      <c r="E188" s="924"/>
      <c r="F188" s="921"/>
      <c r="G188" s="924"/>
      <c r="H188" s="924"/>
      <c r="I188" s="924"/>
      <c r="J188" s="924"/>
      <c r="K188" s="922"/>
      <c r="L188" s="924"/>
      <c r="M188" s="924"/>
      <c r="N188" s="924"/>
      <c r="O188" s="924"/>
      <c r="P188" s="925"/>
      <c r="Q188" s="924"/>
      <c r="R188" s="924"/>
      <c r="S188" s="924"/>
      <c r="T188" s="924"/>
      <c r="U188" s="926"/>
      <c r="V188" s="924"/>
      <c r="W188" s="924"/>
      <c r="X188" s="924"/>
      <c r="Y188" s="924"/>
      <c r="Z188" s="929"/>
      <c r="AA188" s="924"/>
      <c r="AB188" s="924"/>
      <c r="AC188" s="924"/>
      <c r="AD188" s="924"/>
      <c r="AE188" s="930"/>
    </row>
    <row r="189" spans="1:31" x14ac:dyDescent="0.25">
      <c r="A189" s="399">
        <v>178</v>
      </c>
      <c r="B189" s="924"/>
      <c r="C189" s="924"/>
      <c r="D189" s="924"/>
      <c r="E189" s="924"/>
      <c r="F189" s="921"/>
      <c r="G189" s="924"/>
      <c r="H189" s="924"/>
      <c r="I189" s="924"/>
      <c r="J189" s="924"/>
      <c r="K189" s="922"/>
      <c r="L189" s="924"/>
      <c r="M189" s="924"/>
      <c r="N189" s="924"/>
      <c r="O189" s="924"/>
      <c r="P189" s="925"/>
      <c r="Q189" s="924"/>
      <c r="R189" s="924"/>
      <c r="S189" s="924"/>
      <c r="T189" s="924"/>
      <c r="U189" s="926"/>
      <c r="V189" s="924"/>
      <c r="W189" s="924"/>
      <c r="X189" s="924"/>
      <c r="Y189" s="924"/>
      <c r="Z189" s="929"/>
      <c r="AA189" s="924"/>
      <c r="AB189" s="924"/>
      <c r="AC189" s="924"/>
      <c r="AD189" s="924"/>
      <c r="AE189" s="930"/>
    </row>
    <row r="190" spans="1:31" x14ac:dyDescent="0.25">
      <c r="A190" s="399">
        <v>179</v>
      </c>
      <c r="B190" s="924"/>
      <c r="C190" s="924"/>
      <c r="D190" s="924"/>
      <c r="E190" s="924"/>
      <c r="F190" s="921"/>
      <c r="G190" s="924"/>
      <c r="H190" s="924"/>
      <c r="I190" s="924"/>
      <c r="J190" s="924"/>
      <c r="K190" s="922"/>
      <c r="L190" s="924"/>
      <c r="M190" s="924"/>
      <c r="N190" s="924"/>
      <c r="O190" s="924"/>
      <c r="P190" s="925"/>
      <c r="Q190" s="924"/>
      <c r="R190" s="924"/>
      <c r="S190" s="924"/>
      <c r="T190" s="924"/>
      <c r="U190" s="926"/>
      <c r="V190" s="924"/>
      <c r="W190" s="924"/>
      <c r="X190" s="924"/>
      <c r="Y190" s="924"/>
      <c r="Z190" s="929"/>
      <c r="AA190" s="924"/>
      <c r="AB190" s="924"/>
      <c r="AC190" s="924"/>
      <c r="AD190" s="924"/>
      <c r="AE190" s="930"/>
    </row>
    <row r="191" spans="1:31" x14ac:dyDescent="0.25">
      <c r="A191" s="399">
        <v>180</v>
      </c>
      <c r="B191" s="924"/>
      <c r="C191" s="924"/>
      <c r="D191" s="924"/>
      <c r="E191" s="924"/>
      <c r="F191" s="921"/>
      <c r="G191" s="924"/>
      <c r="H191" s="924"/>
      <c r="I191" s="924"/>
      <c r="J191" s="924"/>
      <c r="K191" s="922"/>
      <c r="L191" s="924"/>
      <c r="M191" s="924"/>
      <c r="N191" s="924"/>
      <c r="O191" s="924"/>
      <c r="P191" s="925"/>
      <c r="Q191" s="924"/>
      <c r="R191" s="924"/>
      <c r="S191" s="924"/>
      <c r="T191" s="924"/>
      <c r="U191" s="926"/>
      <c r="V191" s="924"/>
      <c r="W191" s="924"/>
      <c r="X191" s="924"/>
      <c r="Y191" s="924"/>
      <c r="Z191" s="929"/>
      <c r="AA191" s="924"/>
      <c r="AB191" s="924"/>
      <c r="AC191" s="924"/>
      <c r="AD191" s="924"/>
      <c r="AE191" s="930"/>
    </row>
    <row r="192" spans="1:31" x14ac:dyDescent="0.25">
      <c r="A192" s="399">
        <v>181</v>
      </c>
      <c r="B192" s="924"/>
      <c r="C192" s="924"/>
      <c r="D192" s="924"/>
      <c r="E192" s="924"/>
      <c r="F192" s="921"/>
      <c r="G192" s="924"/>
      <c r="H192" s="924"/>
      <c r="I192" s="924"/>
      <c r="J192" s="924"/>
      <c r="K192" s="922"/>
      <c r="L192" s="924"/>
      <c r="M192" s="924"/>
      <c r="N192" s="924"/>
      <c r="O192" s="924"/>
      <c r="P192" s="925"/>
      <c r="Q192" s="924"/>
      <c r="R192" s="924"/>
      <c r="S192" s="924"/>
      <c r="T192" s="924"/>
      <c r="U192" s="926"/>
      <c r="V192" s="924"/>
      <c r="W192" s="924"/>
      <c r="X192" s="924"/>
      <c r="Y192" s="924"/>
      <c r="Z192" s="929"/>
      <c r="AA192" s="924"/>
      <c r="AB192" s="924"/>
      <c r="AC192" s="924"/>
      <c r="AD192" s="924"/>
      <c r="AE192" s="930"/>
    </row>
    <row r="193" spans="1:31" x14ac:dyDescent="0.25">
      <c r="A193" s="399">
        <v>182</v>
      </c>
      <c r="B193" s="924"/>
      <c r="C193" s="924"/>
      <c r="D193" s="924"/>
      <c r="E193" s="924"/>
      <c r="F193" s="921"/>
      <c r="G193" s="924"/>
      <c r="H193" s="924"/>
      <c r="I193" s="924"/>
      <c r="J193" s="924"/>
      <c r="K193" s="922"/>
      <c r="L193" s="924"/>
      <c r="M193" s="924"/>
      <c r="N193" s="924"/>
      <c r="O193" s="924"/>
      <c r="P193" s="925"/>
      <c r="Q193" s="924"/>
      <c r="R193" s="924"/>
      <c r="S193" s="924"/>
      <c r="T193" s="924"/>
      <c r="U193" s="926"/>
      <c r="V193" s="924"/>
      <c r="W193" s="924"/>
      <c r="X193" s="924"/>
      <c r="Y193" s="924"/>
      <c r="Z193" s="929"/>
      <c r="AA193" s="924"/>
      <c r="AB193" s="924"/>
      <c r="AC193" s="924"/>
      <c r="AD193" s="924"/>
      <c r="AE193" s="930"/>
    </row>
    <row r="194" spans="1:31" x14ac:dyDescent="0.25">
      <c r="A194" s="399">
        <v>183</v>
      </c>
      <c r="B194" s="924"/>
      <c r="C194" s="924"/>
      <c r="D194" s="924"/>
      <c r="E194" s="924"/>
      <c r="F194" s="921"/>
      <c r="G194" s="924"/>
      <c r="H194" s="924"/>
      <c r="I194" s="924"/>
      <c r="J194" s="924"/>
      <c r="K194" s="922"/>
      <c r="L194" s="924"/>
      <c r="M194" s="924"/>
      <c r="N194" s="924"/>
      <c r="O194" s="924"/>
      <c r="P194" s="925"/>
      <c r="Q194" s="924"/>
      <c r="R194" s="924"/>
      <c r="S194" s="924"/>
      <c r="T194" s="924"/>
      <c r="U194" s="926"/>
      <c r="V194" s="924"/>
      <c r="W194" s="924"/>
      <c r="X194" s="924"/>
      <c r="Y194" s="924"/>
      <c r="Z194" s="929"/>
      <c r="AA194" s="924"/>
      <c r="AB194" s="924"/>
      <c r="AC194" s="924"/>
      <c r="AD194" s="924"/>
      <c r="AE194" s="930"/>
    </row>
    <row r="195" spans="1:31" x14ac:dyDescent="0.25">
      <c r="A195" s="399">
        <v>184</v>
      </c>
      <c r="B195" s="924"/>
      <c r="C195" s="924"/>
      <c r="D195" s="924"/>
      <c r="E195" s="924"/>
      <c r="F195" s="921"/>
      <c r="G195" s="924"/>
      <c r="H195" s="924"/>
      <c r="I195" s="924"/>
      <c r="J195" s="924"/>
      <c r="K195" s="922"/>
      <c r="L195" s="924"/>
      <c r="M195" s="924"/>
      <c r="N195" s="924"/>
      <c r="O195" s="924"/>
      <c r="P195" s="925"/>
      <c r="Q195" s="924"/>
      <c r="R195" s="924"/>
      <c r="S195" s="924"/>
      <c r="T195" s="924"/>
      <c r="U195" s="926"/>
      <c r="V195" s="924"/>
      <c r="W195" s="924"/>
      <c r="X195" s="924"/>
      <c r="Y195" s="924"/>
      <c r="Z195" s="929"/>
      <c r="AA195" s="924"/>
      <c r="AB195" s="924"/>
      <c r="AC195" s="924"/>
      <c r="AD195" s="924"/>
      <c r="AE195" s="930"/>
    </row>
    <row r="196" spans="1:31" x14ac:dyDescent="0.25">
      <c r="A196" s="399">
        <v>185</v>
      </c>
      <c r="B196" s="924"/>
      <c r="C196" s="924"/>
      <c r="D196" s="924"/>
      <c r="E196" s="924"/>
      <c r="F196" s="921"/>
      <c r="G196" s="924"/>
      <c r="H196" s="924"/>
      <c r="I196" s="924"/>
      <c r="J196" s="924"/>
      <c r="K196" s="922"/>
      <c r="L196" s="924"/>
      <c r="M196" s="924"/>
      <c r="N196" s="924"/>
      <c r="O196" s="924"/>
      <c r="P196" s="925"/>
      <c r="Q196" s="924"/>
      <c r="R196" s="924"/>
      <c r="S196" s="924"/>
      <c r="T196" s="924"/>
      <c r="U196" s="926"/>
      <c r="V196" s="924"/>
      <c r="W196" s="924"/>
      <c r="X196" s="924"/>
      <c r="Y196" s="924"/>
      <c r="Z196" s="929"/>
      <c r="AA196" s="924"/>
      <c r="AB196" s="924"/>
      <c r="AC196" s="924"/>
      <c r="AD196" s="924"/>
      <c r="AE196" s="930"/>
    </row>
    <row r="197" spans="1:31" x14ac:dyDescent="0.25">
      <c r="A197" s="399">
        <v>186</v>
      </c>
      <c r="B197" s="924"/>
      <c r="C197" s="924"/>
      <c r="D197" s="924"/>
      <c r="E197" s="924"/>
      <c r="F197" s="921"/>
      <c r="G197" s="924"/>
      <c r="H197" s="924"/>
      <c r="I197" s="924"/>
      <c r="J197" s="924"/>
      <c r="K197" s="922"/>
      <c r="L197" s="924"/>
      <c r="M197" s="924"/>
      <c r="N197" s="924"/>
      <c r="O197" s="924"/>
      <c r="P197" s="925"/>
      <c r="Q197" s="924"/>
      <c r="R197" s="924"/>
      <c r="S197" s="924"/>
      <c r="T197" s="924"/>
      <c r="U197" s="926"/>
      <c r="V197" s="924"/>
      <c r="W197" s="924"/>
      <c r="X197" s="924"/>
      <c r="Y197" s="924"/>
      <c r="Z197" s="929"/>
      <c r="AA197" s="924"/>
      <c r="AB197" s="924"/>
      <c r="AC197" s="924"/>
      <c r="AD197" s="924"/>
      <c r="AE197" s="930"/>
    </row>
    <row r="198" spans="1:31" x14ac:dyDescent="0.25">
      <c r="A198" s="399">
        <v>187</v>
      </c>
      <c r="B198" s="924"/>
      <c r="C198" s="924"/>
      <c r="D198" s="924"/>
      <c r="E198" s="924"/>
      <c r="F198" s="921"/>
      <c r="G198" s="924"/>
      <c r="H198" s="924"/>
      <c r="I198" s="924"/>
      <c r="J198" s="924"/>
      <c r="K198" s="922"/>
      <c r="L198" s="924"/>
      <c r="M198" s="924"/>
      <c r="N198" s="924"/>
      <c r="O198" s="924"/>
      <c r="P198" s="925"/>
      <c r="Q198" s="924"/>
      <c r="R198" s="924"/>
      <c r="S198" s="924"/>
      <c r="T198" s="924"/>
      <c r="U198" s="926"/>
      <c r="V198" s="924"/>
      <c r="W198" s="924"/>
      <c r="X198" s="924"/>
      <c r="Y198" s="924"/>
      <c r="Z198" s="929"/>
      <c r="AA198" s="924"/>
      <c r="AB198" s="924"/>
      <c r="AC198" s="924"/>
      <c r="AD198" s="924"/>
      <c r="AE198" s="930"/>
    </row>
    <row r="199" spans="1:31" x14ac:dyDescent="0.25">
      <c r="A199" s="399">
        <v>188</v>
      </c>
      <c r="B199" s="924"/>
      <c r="C199" s="924"/>
      <c r="D199" s="924"/>
      <c r="E199" s="924"/>
      <c r="F199" s="921"/>
      <c r="G199" s="924"/>
      <c r="H199" s="924"/>
      <c r="I199" s="924"/>
      <c r="J199" s="924"/>
      <c r="K199" s="922"/>
      <c r="L199" s="924"/>
      <c r="M199" s="924"/>
      <c r="N199" s="924"/>
      <c r="O199" s="924"/>
      <c r="P199" s="925"/>
      <c r="Q199" s="924"/>
      <c r="R199" s="924"/>
      <c r="S199" s="924"/>
      <c r="T199" s="924"/>
      <c r="U199" s="926"/>
      <c r="V199" s="924"/>
      <c r="W199" s="924"/>
      <c r="X199" s="924"/>
      <c r="Y199" s="924"/>
      <c r="Z199" s="929"/>
      <c r="AA199" s="924"/>
      <c r="AB199" s="924"/>
      <c r="AC199" s="924"/>
      <c r="AD199" s="924"/>
      <c r="AE199" s="930"/>
    </row>
    <row r="200" spans="1:31" x14ac:dyDescent="0.25">
      <c r="A200" s="399">
        <v>189</v>
      </c>
      <c r="B200" s="924"/>
      <c r="C200" s="924"/>
      <c r="D200" s="924"/>
      <c r="E200" s="924"/>
      <c r="F200" s="921"/>
      <c r="G200" s="924"/>
      <c r="H200" s="924"/>
      <c r="I200" s="924"/>
      <c r="J200" s="924"/>
      <c r="K200" s="922"/>
      <c r="L200" s="924"/>
      <c r="M200" s="924"/>
      <c r="N200" s="924"/>
      <c r="O200" s="924"/>
      <c r="P200" s="925"/>
      <c r="Q200" s="924"/>
      <c r="R200" s="924"/>
      <c r="S200" s="924"/>
      <c r="T200" s="924"/>
      <c r="U200" s="926"/>
      <c r="V200" s="924"/>
      <c r="W200" s="924"/>
      <c r="X200" s="924"/>
      <c r="Y200" s="924"/>
      <c r="Z200" s="929"/>
      <c r="AA200" s="924"/>
      <c r="AB200" s="924"/>
      <c r="AC200" s="924"/>
      <c r="AD200" s="924"/>
      <c r="AE200" s="930"/>
    </row>
    <row r="201" spans="1:31" x14ac:dyDescent="0.25">
      <c r="A201" s="399">
        <v>190</v>
      </c>
      <c r="B201" s="924"/>
      <c r="C201" s="924"/>
      <c r="D201" s="924"/>
      <c r="E201" s="924"/>
      <c r="F201" s="921"/>
      <c r="G201" s="924"/>
      <c r="H201" s="924"/>
      <c r="I201" s="924"/>
      <c r="J201" s="924"/>
      <c r="K201" s="922"/>
      <c r="L201" s="924"/>
      <c r="M201" s="924"/>
      <c r="N201" s="924"/>
      <c r="O201" s="924"/>
      <c r="P201" s="925"/>
      <c r="Q201" s="924"/>
      <c r="R201" s="924"/>
      <c r="S201" s="924"/>
      <c r="T201" s="924"/>
      <c r="U201" s="926"/>
      <c r="V201" s="924"/>
      <c r="W201" s="924"/>
      <c r="X201" s="924"/>
      <c r="Y201" s="924"/>
      <c r="Z201" s="929"/>
      <c r="AA201" s="924"/>
      <c r="AB201" s="924"/>
      <c r="AC201" s="924"/>
      <c r="AD201" s="924"/>
      <c r="AE201" s="930"/>
    </row>
    <row r="202" spans="1:31" x14ac:dyDescent="0.25">
      <c r="A202" s="399">
        <v>191</v>
      </c>
      <c r="B202" s="924"/>
      <c r="C202" s="924"/>
      <c r="D202" s="924"/>
      <c r="E202" s="924"/>
      <c r="F202" s="921"/>
      <c r="G202" s="924"/>
      <c r="H202" s="924"/>
      <c r="I202" s="924"/>
      <c r="J202" s="924"/>
      <c r="K202" s="922"/>
      <c r="L202" s="924"/>
      <c r="M202" s="924"/>
      <c r="N202" s="924"/>
      <c r="O202" s="924"/>
      <c r="P202" s="925"/>
      <c r="Q202" s="924"/>
      <c r="R202" s="924"/>
      <c r="S202" s="924"/>
      <c r="T202" s="924"/>
      <c r="U202" s="926"/>
      <c r="V202" s="924"/>
      <c r="W202" s="924"/>
      <c r="X202" s="924"/>
      <c r="Y202" s="924"/>
      <c r="Z202" s="929"/>
      <c r="AA202" s="924"/>
      <c r="AB202" s="924"/>
      <c r="AC202" s="924"/>
      <c r="AD202" s="924"/>
      <c r="AE202" s="930"/>
    </row>
    <row r="203" spans="1:31" x14ac:dyDescent="0.25">
      <c r="A203" s="399">
        <v>192</v>
      </c>
      <c r="B203" s="924"/>
      <c r="C203" s="924"/>
      <c r="D203" s="924"/>
      <c r="E203" s="924"/>
      <c r="F203" s="921"/>
      <c r="G203" s="924"/>
      <c r="H203" s="924"/>
      <c r="I203" s="924"/>
      <c r="J203" s="924"/>
      <c r="K203" s="922"/>
      <c r="L203" s="924"/>
      <c r="M203" s="924"/>
      <c r="N203" s="924"/>
      <c r="O203" s="924"/>
      <c r="P203" s="925"/>
      <c r="Q203" s="924"/>
      <c r="R203" s="924"/>
      <c r="S203" s="924"/>
      <c r="T203" s="924"/>
      <c r="U203" s="926"/>
      <c r="V203" s="924"/>
      <c r="W203" s="924"/>
      <c r="X203" s="924"/>
      <c r="Y203" s="924"/>
      <c r="Z203" s="929"/>
      <c r="AA203" s="924"/>
      <c r="AB203" s="924"/>
      <c r="AC203" s="924"/>
      <c r="AD203" s="924"/>
      <c r="AE203" s="930"/>
    </row>
    <row r="204" spans="1:31" x14ac:dyDescent="0.25">
      <c r="A204" s="399">
        <v>193</v>
      </c>
      <c r="B204" s="924"/>
      <c r="C204" s="924"/>
      <c r="D204" s="924"/>
      <c r="E204" s="924"/>
      <c r="F204" s="921"/>
      <c r="G204" s="924"/>
      <c r="H204" s="924"/>
      <c r="I204" s="924"/>
      <c r="J204" s="924"/>
      <c r="K204" s="922"/>
      <c r="L204" s="924"/>
      <c r="M204" s="924"/>
      <c r="N204" s="924"/>
      <c r="O204" s="924"/>
      <c r="P204" s="925"/>
      <c r="Q204" s="924"/>
      <c r="R204" s="924"/>
      <c r="S204" s="924"/>
      <c r="T204" s="924"/>
      <c r="U204" s="926"/>
      <c r="V204" s="924"/>
      <c r="W204" s="924"/>
      <c r="X204" s="924"/>
      <c r="Y204" s="924"/>
      <c r="Z204" s="929"/>
      <c r="AA204" s="924"/>
      <c r="AB204" s="924"/>
      <c r="AC204" s="924"/>
      <c r="AD204" s="924"/>
      <c r="AE204" s="930"/>
    </row>
    <row r="205" spans="1:31" x14ac:dyDescent="0.25">
      <c r="A205" s="399">
        <v>194</v>
      </c>
      <c r="B205" s="924"/>
      <c r="C205" s="924"/>
      <c r="D205" s="924"/>
      <c r="E205" s="924"/>
      <c r="F205" s="921"/>
      <c r="G205" s="924"/>
      <c r="H205" s="924"/>
      <c r="I205" s="924"/>
      <c r="J205" s="924"/>
      <c r="K205" s="922"/>
      <c r="L205" s="924"/>
      <c r="M205" s="924"/>
      <c r="N205" s="924"/>
      <c r="O205" s="924"/>
      <c r="P205" s="925"/>
      <c r="Q205" s="924"/>
      <c r="R205" s="924"/>
      <c r="S205" s="924"/>
      <c r="T205" s="924"/>
      <c r="U205" s="926"/>
      <c r="V205" s="924"/>
      <c r="W205" s="924"/>
      <c r="X205" s="924"/>
      <c r="Y205" s="924"/>
      <c r="Z205" s="929"/>
      <c r="AA205" s="924"/>
      <c r="AB205" s="924"/>
      <c r="AC205" s="924"/>
      <c r="AD205" s="924"/>
      <c r="AE205" s="930"/>
    </row>
    <row r="206" spans="1:31" x14ac:dyDescent="0.25">
      <c r="A206" s="399">
        <v>195</v>
      </c>
      <c r="B206" s="924"/>
      <c r="C206" s="924"/>
      <c r="D206" s="924"/>
      <c r="E206" s="924"/>
      <c r="F206" s="921"/>
      <c r="G206" s="924"/>
      <c r="H206" s="924"/>
      <c r="I206" s="924"/>
      <c r="J206" s="924"/>
      <c r="K206" s="922"/>
      <c r="L206" s="924"/>
      <c r="M206" s="924"/>
      <c r="N206" s="924"/>
      <c r="O206" s="924"/>
      <c r="P206" s="925"/>
      <c r="Q206" s="924"/>
      <c r="R206" s="924"/>
      <c r="S206" s="924"/>
      <c r="T206" s="924"/>
      <c r="U206" s="926"/>
      <c r="V206" s="924"/>
      <c r="W206" s="924"/>
      <c r="X206" s="924"/>
      <c r="Y206" s="924"/>
      <c r="Z206" s="929"/>
      <c r="AA206" s="924"/>
      <c r="AB206" s="924"/>
      <c r="AC206" s="924"/>
      <c r="AD206" s="924"/>
      <c r="AE206" s="930"/>
    </row>
    <row r="207" spans="1:31" x14ac:dyDescent="0.25">
      <c r="A207" s="399">
        <v>196</v>
      </c>
      <c r="B207" s="924"/>
      <c r="C207" s="924"/>
      <c r="D207" s="924"/>
      <c r="E207" s="924"/>
      <c r="F207" s="921"/>
      <c r="G207" s="924"/>
      <c r="H207" s="924"/>
      <c r="I207" s="924"/>
      <c r="J207" s="924"/>
      <c r="K207" s="922"/>
      <c r="L207" s="924"/>
      <c r="M207" s="924"/>
      <c r="N207" s="924"/>
      <c r="O207" s="924"/>
      <c r="P207" s="925"/>
      <c r="Q207" s="924"/>
      <c r="R207" s="924"/>
      <c r="S207" s="924"/>
      <c r="T207" s="924"/>
      <c r="U207" s="926"/>
      <c r="V207" s="924"/>
      <c r="W207" s="924"/>
      <c r="X207" s="924"/>
      <c r="Y207" s="924"/>
      <c r="Z207" s="929"/>
      <c r="AA207" s="924"/>
      <c r="AB207" s="924"/>
      <c r="AC207" s="924"/>
      <c r="AD207" s="924"/>
      <c r="AE207" s="930"/>
    </row>
    <row r="208" spans="1:31" x14ac:dyDescent="0.25">
      <c r="A208" s="399">
        <v>197</v>
      </c>
      <c r="B208" s="924"/>
      <c r="C208" s="924"/>
      <c r="D208" s="924"/>
      <c r="E208" s="924"/>
      <c r="F208" s="921"/>
      <c r="G208" s="924"/>
      <c r="H208" s="924"/>
      <c r="I208" s="924"/>
      <c r="J208" s="924"/>
      <c r="K208" s="922"/>
      <c r="L208" s="924"/>
      <c r="M208" s="924"/>
      <c r="N208" s="924"/>
      <c r="O208" s="924"/>
      <c r="P208" s="925"/>
      <c r="Q208" s="924"/>
      <c r="R208" s="924"/>
      <c r="S208" s="924"/>
      <c r="T208" s="924"/>
      <c r="U208" s="926"/>
      <c r="V208" s="924"/>
      <c r="W208" s="924"/>
      <c r="X208" s="924"/>
      <c r="Y208" s="924"/>
      <c r="Z208" s="929"/>
      <c r="AA208" s="924"/>
      <c r="AB208" s="924"/>
      <c r="AC208" s="924"/>
      <c r="AD208" s="924"/>
      <c r="AE208" s="930"/>
    </row>
    <row r="209" spans="1:31" x14ac:dyDescent="0.25">
      <c r="A209" s="399">
        <v>198</v>
      </c>
      <c r="B209" s="924"/>
      <c r="C209" s="924"/>
      <c r="D209" s="924"/>
      <c r="E209" s="924"/>
      <c r="F209" s="921"/>
      <c r="G209" s="924"/>
      <c r="H209" s="924"/>
      <c r="I209" s="924"/>
      <c r="J209" s="924"/>
      <c r="K209" s="922"/>
      <c r="L209" s="924"/>
      <c r="M209" s="924"/>
      <c r="N209" s="924"/>
      <c r="O209" s="924"/>
      <c r="P209" s="925"/>
      <c r="Q209" s="924"/>
      <c r="R209" s="924"/>
      <c r="S209" s="924"/>
      <c r="T209" s="924"/>
      <c r="U209" s="926"/>
      <c r="V209" s="924"/>
      <c r="W209" s="924"/>
      <c r="X209" s="924"/>
      <c r="Y209" s="924"/>
      <c r="Z209" s="929"/>
      <c r="AA209" s="924"/>
      <c r="AB209" s="924"/>
      <c r="AC209" s="924"/>
      <c r="AD209" s="924"/>
      <c r="AE209" s="930"/>
    </row>
    <row r="210" spans="1:31" x14ac:dyDescent="0.25">
      <c r="A210" s="399">
        <v>199</v>
      </c>
      <c r="B210" s="924"/>
      <c r="C210" s="924"/>
      <c r="D210" s="924"/>
      <c r="E210" s="924"/>
      <c r="F210" s="921"/>
      <c r="G210" s="924"/>
      <c r="H210" s="924"/>
      <c r="I210" s="924"/>
      <c r="J210" s="924"/>
      <c r="K210" s="922"/>
      <c r="L210" s="924"/>
      <c r="M210" s="924"/>
      <c r="N210" s="924"/>
      <c r="O210" s="924"/>
      <c r="P210" s="925"/>
      <c r="Q210" s="924"/>
      <c r="R210" s="924"/>
      <c r="S210" s="924"/>
      <c r="T210" s="924"/>
      <c r="U210" s="926"/>
      <c r="V210" s="924"/>
      <c r="W210" s="924"/>
      <c r="X210" s="924"/>
      <c r="Y210" s="924"/>
      <c r="Z210" s="929"/>
      <c r="AA210" s="924"/>
      <c r="AB210" s="924"/>
      <c r="AC210" s="924"/>
      <c r="AD210" s="924"/>
      <c r="AE210" s="930"/>
    </row>
    <row r="211" spans="1:31" x14ac:dyDescent="0.25">
      <c r="A211" s="399">
        <v>200</v>
      </c>
      <c r="B211" s="924"/>
      <c r="C211" s="924"/>
      <c r="D211" s="924"/>
      <c r="E211" s="924"/>
      <c r="F211" s="921"/>
      <c r="G211" s="924"/>
      <c r="H211" s="924"/>
      <c r="I211" s="924"/>
      <c r="J211" s="924"/>
      <c r="K211" s="922"/>
      <c r="L211" s="924"/>
      <c r="M211" s="924"/>
      <c r="N211" s="924"/>
      <c r="O211" s="924"/>
      <c r="P211" s="925"/>
      <c r="Q211" s="924"/>
      <c r="R211" s="924"/>
      <c r="S211" s="924"/>
      <c r="T211" s="924"/>
      <c r="U211" s="926"/>
      <c r="V211" s="924"/>
      <c r="W211" s="924"/>
      <c r="X211" s="924"/>
      <c r="Y211" s="924"/>
      <c r="Z211" s="929"/>
      <c r="AA211" s="924"/>
      <c r="AB211" s="924"/>
      <c r="AC211" s="924"/>
      <c r="AD211" s="924"/>
      <c r="AE211" s="930"/>
    </row>
    <row r="212" spans="1:31" x14ac:dyDescent="0.25">
      <c r="A212" s="399">
        <v>201</v>
      </c>
      <c r="B212" s="924"/>
      <c r="C212" s="924"/>
      <c r="D212" s="924"/>
      <c r="E212" s="924"/>
      <c r="F212" s="921"/>
      <c r="G212" s="924"/>
      <c r="H212" s="924"/>
      <c r="I212" s="924"/>
      <c r="J212" s="924"/>
      <c r="K212" s="922"/>
      <c r="L212" s="924"/>
      <c r="M212" s="924"/>
      <c r="N212" s="924"/>
      <c r="O212" s="924"/>
      <c r="P212" s="925"/>
      <c r="Q212" s="924"/>
      <c r="R212" s="924"/>
      <c r="S212" s="924"/>
      <c r="T212" s="924"/>
      <c r="U212" s="926"/>
      <c r="V212" s="924"/>
      <c r="W212" s="924"/>
      <c r="X212" s="924"/>
      <c r="Y212" s="924"/>
      <c r="Z212" s="929"/>
      <c r="AA212" s="924"/>
      <c r="AB212" s="924"/>
      <c r="AC212" s="924"/>
      <c r="AD212" s="924"/>
      <c r="AE212" s="930"/>
    </row>
    <row r="213" spans="1:31" x14ac:dyDescent="0.25">
      <c r="A213" s="399">
        <v>202</v>
      </c>
      <c r="B213" s="924"/>
      <c r="C213" s="924"/>
      <c r="D213" s="924"/>
      <c r="E213" s="924"/>
      <c r="F213" s="921"/>
      <c r="G213" s="924"/>
      <c r="H213" s="924"/>
      <c r="I213" s="924"/>
      <c r="J213" s="924"/>
      <c r="K213" s="922"/>
      <c r="L213" s="924"/>
      <c r="M213" s="924"/>
      <c r="N213" s="924"/>
      <c r="O213" s="924"/>
      <c r="P213" s="925"/>
      <c r="Q213" s="924"/>
      <c r="R213" s="924"/>
      <c r="S213" s="924"/>
      <c r="T213" s="924"/>
      <c r="U213" s="926"/>
      <c r="V213" s="924"/>
      <c r="W213" s="924"/>
      <c r="X213" s="924"/>
      <c r="Y213" s="924"/>
      <c r="Z213" s="929"/>
      <c r="AA213" s="924"/>
      <c r="AB213" s="924"/>
      <c r="AC213" s="924"/>
      <c r="AD213" s="924"/>
      <c r="AE213" s="930"/>
    </row>
    <row r="214" spans="1:31" x14ac:dyDescent="0.25">
      <c r="A214" s="399">
        <v>203</v>
      </c>
      <c r="B214" s="924"/>
      <c r="C214" s="924"/>
      <c r="D214" s="924"/>
      <c r="E214" s="924"/>
      <c r="F214" s="921"/>
      <c r="G214" s="924"/>
      <c r="H214" s="924"/>
      <c r="I214" s="924"/>
      <c r="J214" s="924"/>
      <c r="K214" s="922"/>
      <c r="L214" s="924"/>
      <c r="M214" s="924"/>
      <c r="N214" s="924"/>
      <c r="O214" s="924"/>
      <c r="P214" s="925"/>
      <c r="Q214" s="924"/>
      <c r="R214" s="924"/>
      <c r="S214" s="924"/>
      <c r="T214" s="924"/>
      <c r="U214" s="926"/>
      <c r="V214" s="924"/>
      <c r="W214" s="924"/>
      <c r="X214" s="924"/>
      <c r="Y214" s="924"/>
      <c r="Z214" s="929"/>
      <c r="AA214" s="924"/>
      <c r="AB214" s="924"/>
      <c r="AC214" s="924"/>
      <c r="AD214" s="924"/>
      <c r="AE214" s="930"/>
    </row>
    <row r="215" spans="1:31" x14ac:dyDescent="0.25">
      <c r="A215" s="399">
        <v>204</v>
      </c>
      <c r="B215" s="924"/>
      <c r="C215" s="924"/>
      <c r="D215" s="924"/>
      <c r="E215" s="924"/>
      <c r="F215" s="921"/>
      <c r="G215" s="924"/>
      <c r="H215" s="924"/>
      <c r="I215" s="924"/>
      <c r="J215" s="924"/>
      <c r="K215" s="922"/>
      <c r="L215" s="924"/>
      <c r="M215" s="924"/>
      <c r="N215" s="924"/>
      <c r="O215" s="924"/>
      <c r="P215" s="925"/>
      <c r="Q215" s="924"/>
      <c r="R215" s="924"/>
      <c r="S215" s="924"/>
      <c r="T215" s="924"/>
      <c r="U215" s="926"/>
      <c r="V215" s="924"/>
      <c r="W215" s="924"/>
      <c r="X215" s="924"/>
      <c r="Y215" s="924"/>
      <c r="Z215" s="929"/>
      <c r="AA215" s="924"/>
      <c r="AB215" s="924"/>
      <c r="AC215" s="924"/>
      <c r="AD215" s="924"/>
      <c r="AE215" s="930"/>
    </row>
    <row r="216" spans="1:31" x14ac:dyDescent="0.25">
      <c r="A216" s="399">
        <v>205</v>
      </c>
      <c r="B216" s="924"/>
      <c r="C216" s="924"/>
      <c r="D216" s="924"/>
      <c r="E216" s="924"/>
      <c r="F216" s="921"/>
      <c r="G216" s="924"/>
      <c r="H216" s="924"/>
      <c r="I216" s="924"/>
      <c r="J216" s="924"/>
      <c r="K216" s="922"/>
      <c r="L216" s="924"/>
      <c r="M216" s="924"/>
      <c r="N216" s="924"/>
      <c r="O216" s="924"/>
      <c r="P216" s="925"/>
      <c r="Q216" s="924"/>
      <c r="R216" s="924"/>
      <c r="S216" s="924"/>
      <c r="T216" s="924"/>
      <c r="U216" s="926"/>
      <c r="V216" s="924"/>
      <c r="W216" s="924"/>
      <c r="X216" s="924"/>
      <c r="Y216" s="924"/>
      <c r="Z216" s="929"/>
      <c r="AA216" s="924"/>
      <c r="AB216" s="924"/>
      <c r="AC216" s="924"/>
      <c r="AD216" s="924"/>
      <c r="AE216" s="930"/>
    </row>
    <row r="217" spans="1:31" x14ac:dyDescent="0.25">
      <c r="A217" s="399">
        <v>206</v>
      </c>
      <c r="B217" s="924"/>
      <c r="C217" s="924"/>
      <c r="D217" s="924"/>
      <c r="E217" s="924"/>
      <c r="F217" s="921"/>
      <c r="G217" s="924"/>
      <c r="H217" s="924"/>
      <c r="I217" s="924"/>
      <c r="J217" s="924"/>
      <c r="K217" s="922"/>
      <c r="L217" s="924"/>
      <c r="M217" s="924"/>
      <c r="N217" s="924"/>
      <c r="O217" s="924"/>
      <c r="P217" s="925"/>
      <c r="Q217" s="924"/>
      <c r="R217" s="924"/>
      <c r="S217" s="924"/>
      <c r="T217" s="924"/>
      <c r="U217" s="926"/>
      <c r="V217" s="924"/>
      <c r="W217" s="924"/>
      <c r="X217" s="924"/>
      <c r="Y217" s="924"/>
      <c r="Z217" s="929"/>
      <c r="AA217" s="924"/>
      <c r="AB217" s="924"/>
      <c r="AC217" s="924"/>
      <c r="AD217" s="924"/>
      <c r="AE217" s="930"/>
    </row>
    <row r="218" spans="1:31" x14ac:dyDescent="0.25">
      <c r="A218" s="399">
        <v>207</v>
      </c>
      <c r="B218" s="924"/>
      <c r="C218" s="924"/>
      <c r="D218" s="924"/>
      <c r="E218" s="924"/>
      <c r="F218" s="921"/>
      <c r="G218" s="924"/>
      <c r="H218" s="924"/>
      <c r="I218" s="924"/>
      <c r="J218" s="924"/>
      <c r="K218" s="922"/>
      <c r="L218" s="924"/>
      <c r="M218" s="924"/>
      <c r="N218" s="924"/>
      <c r="O218" s="924"/>
      <c r="P218" s="925"/>
      <c r="Q218" s="924"/>
      <c r="R218" s="924"/>
      <c r="S218" s="924"/>
      <c r="T218" s="924"/>
      <c r="U218" s="926"/>
      <c r="V218" s="924"/>
      <c r="W218" s="924"/>
      <c r="X218" s="924"/>
      <c r="Y218" s="924"/>
      <c r="Z218" s="929"/>
      <c r="AA218" s="924"/>
      <c r="AB218" s="924"/>
      <c r="AC218" s="924"/>
      <c r="AD218" s="924"/>
      <c r="AE218" s="930"/>
    </row>
    <row r="219" spans="1:31" x14ac:dyDescent="0.25">
      <c r="A219" s="399">
        <v>208</v>
      </c>
      <c r="B219" s="924"/>
      <c r="C219" s="924"/>
      <c r="D219" s="924"/>
      <c r="E219" s="924"/>
      <c r="F219" s="921"/>
      <c r="G219" s="924"/>
      <c r="H219" s="924"/>
      <c r="I219" s="924"/>
      <c r="J219" s="924"/>
      <c r="K219" s="922"/>
      <c r="L219" s="924"/>
      <c r="M219" s="924"/>
      <c r="N219" s="924"/>
      <c r="O219" s="924"/>
      <c r="P219" s="925"/>
      <c r="Q219" s="924"/>
      <c r="R219" s="924"/>
      <c r="S219" s="924"/>
      <c r="T219" s="924"/>
      <c r="U219" s="926"/>
      <c r="V219" s="924"/>
      <c r="W219" s="924"/>
      <c r="X219" s="924"/>
      <c r="Y219" s="924"/>
      <c r="Z219" s="929"/>
      <c r="AA219" s="924"/>
      <c r="AB219" s="924"/>
      <c r="AC219" s="924"/>
      <c r="AD219" s="924"/>
      <c r="AE219" s="930"/>
    </row>
    <row r="220" spans="1:31" x14ac:dyDescent="0.25">
      <c r="A220" s="399">
        <v>209</v>
      </c>
      <c r="B220" s="924"/>
      <c r="C220" s="924"/>
      <c r="D220" s="924"/>
      <c r="E220" s="924"/>
      <c r="F220" s="921"/>
      <c r="G220" s="924"/>
      <c r="H220" s="924"/>
      <c r="I220" s="924"/>
      <c r="J220" s="924"/>
      <c r="K220" s="922"/>
      <c r="L220" s="924"/>
      <c r="M220" s="924"/>
      <c r="N220" s="924"/>
      <c r="O220" s="924"/>
      <c r="P220" s="925"/>
      <c r="Q220" s="924"/>
      <c r="R220" s="924"/>
      <c r="S220" s="924"/>
      <c r="T220" s="924"/>
      <c r="U220" s="926"/>
      <c r="V220" s="924"/>
      <c r="W220" s="924"/>
      <c r="X220" s="924"/>
      <c r="Y220" s="924"/>
      <c r="Z220" s="929"/>
      <c r="AA220" s="924"/>
      <c r="AB220" s="924"/>
      <c r="AC220" s="924"/>
      <c r="AD220" s="924"/>
      <c r="AE220" s="930"/>
    </row>
    <row r="221" spans="1:31" x14ac:dyDescent="0.25">
      <c r="A221" s="399">
        <v>210</v>
      </c>
      <c r="B221" s="924"/>
      <c r="C221" s="924"/>
      <c r="D221" s="924"/>
      <c r="E221" s="924"/>
      <c r="F221" s="921"/>
      <c r="G221" s="924"/>
      <c r="H221" s="924"/>
      <c r="I221" s="924"/>
      <c r="J221" s="924"/>
      <c r="K221" s="922"/>
      <c r="L221" s="924"/>
      <c r="M221" s="924"/>
      <c r="N221" s="924"/>
      <c r="O221" s="924"/>
      <c r="P221" s="925"/>
      <c r="Q221" s="924"/>
      <c r="R221" s="924"/>
      <c r="S221" s="924"/>
      <c r="T221" s="924"/>
      <c r="U221" s="926"/>
      <c r="V221" s="924"/>
      <c r="W221" s="924"/>
      <c r="X221" s="924"/>
      <c r="Y221" s="924"/>
      <c r="Z221" s="929"/>
      <c r="AA221" s="924"/>
      <c r="AB221" s="924"/>
      <c r="AC221" s="924"/>
      <c r="AD221" s="924"/>
      <c r="AE221" s="930"/>
    </row>
    <row r="222" spans="1:31" x14ac:dyDescent="0.25">
      <c r="A222" s="399">
        <v>211</v>
      </c>
      <c r="B222" s="924"/>
      <c r="C222" s="924"/>
      <c r="D222" s="924"/>
      <c r="E222" s="924"/>
      <c r="F222" s="921"/>
      <c r="G222" s="924"/>
      <c r="H222" s="924"/>
      <c r="I222" s="924"/>
      <c r="J222" s="924"/>
      <c r="K222" s="922"/>
      <c r="L222" s="924"/>
      <c r="M222" s="924"/>
      <c r="N222" s="924"/>
      <c r="O222" s="924"/>
      <c r="P222" s="925"/>
      <c r="Q222" s="924"/>
      <c r="R222" s="924"/>
      <c r="S222" s="924"/>
      <c r="T222" s="924"/>
      <c r="U222" s="926"/>
      <c r="V222" s="924"/>
      <c r="W222" s="924"/>
      <c r="X222" s="924"/>
      <c r="Y222" s="924"/>
      <c r="Z222" s="929"/>
      <c r="AA222" s="924"/>
      <c r="AB222" s="924"/>
      <c r="AC222" s="924"/>
      <c r="AD222" s="924"/>
      <c r="AE222" s="930"/>
    </row>
    <row r="223" spans="1:31" x14ac:dyDescent="0.25">
      <c r="A223" s="399">
        <v>212</v>
      </c>
      <c r="B223" s="924"/>
      <c r="C223" s="924"/>
      <c r="D223" s="924"/>
      <c r="E223" s="924"/>
      <c r="F223" s="921"/>
      <c r="G223" s="924"/>
      <c r="H223" s="924"/>
      <c r="I223" s="924"/>
      <c r="J223" s="924"/>
      <c r="K223" s="922"/>
      <c r="L223" s="924"/>
      <c r="M223" s="924"/>
      <c r="N223" s="924"/>
      <c r="O223" s="924"/>
      <c r="P223" s="925"/>
      <c r="Q223" s="924"/>
      <c r="R223" s="924"/>
      <c r="S223" s="924"/>
      <c r="T223" s="924"/>
      <c r="U223" s="926"/>
      <c r="V223" s="924"/>
      <c r="W223" s="924"/>
      <c r="X223" s="924"/>
      <c r="Y223" s="924"/>
      <c r="Z223" s="929"/>
      <c r="AA223" s="924"/>
      <c r="AB223" s="924"/>
      <c r="AC223" s="924"/>
      <c r="AD223" s="924"/>
      <c r="AE223" s="930"/>
    </row>
    <row r="224" spans="1:31" x14ac:dyDescent="0.25">
      <c r="A224" s="399">
        <v>213</v>
      </c>
      <c r="B224" s="924"/>
      <c r="C224" s="924"/>
      <c r="D224" s="924"/>
      <c r="E224" s="924"/>
      <c r="F224" s="921"/>
      <c r="G224" s="924"/>
      <c r="H224" s="924"/>
      <c r="I224" s="924"/>
      <c r="J224" s="924"/>
      <c r="K224" s="922"/>
      <c r="L224" s="924"/>
      <c r="M224" s="924"/>
      <c r="N224" s="924"/>
      <c r="O224" s="924"/>
      <c r="P224" s="925"/>
      <c r="Q224" s="924"/>
      <c r="R224" s="924"/>
      <c r="S224" s="924"/>
      <c r="T224" s="924"/>
      <c r="U224" s="926"/>
      <c r="V224" s="924"/>
      <c r="W224" s="924"/>
      <c r="X224" s="924"/>
      <c r="Y224" s="924"/>
      <c r="Z224" s="929"/>
      <c r="AA224" s="924"/>
      <c r="AB224" s="924"/>
      <c r="AC224" s="924"/>
      <c r="AD224" s="924"/>
      <c r="AE224" s="930"/>
    </row>
    <row r="225" spans="1:31" x14ac:dyDescent="0.25">
      <c r="A225" s="399">
        <v>214</v>
      </c>
      <c r="B225" s="924"/>
      <c r="C225" s="924"/>
      <c r="D225" s="924"/>
      <c r="E225" s="924"/>
      <c r="F225" s="921"/>
      <c r="G225" s="924"/>
      <c r="H225" s="924"/>
      <c r="I225" s="924"/>
      <c r="J225" s="924"/>
      <c r="K225" s="922"/>
      <c r="L225" s="924"/>
      <c r="M225" s="924"/>
      <c r="N225" s="924"/>
      <c r="O225" s="924"/>
      <c r="P225" s="925"/>
      <c r="Q225" s="924"/>
      <c r="R225" s="924"/>
      <c r="S225" s="924"/>
      <c r="T225" s="924"/>
      <c r="U225" s="926"/>
      <c r="V225" s="924"/>
      <c r="W225" s="924"/>
      <c r="X225" s="924"/>
      <c r="Y225" s="924"/>
      <c r="Z225" s="929"/>
      <c r="AA225" s="924"/>
      <c r="AB225" s="924"/>
      <c r="AC225" s="924"/>
      <c r="AD225" s="924"/>
      <c r="AE225" s="930"/>
    </row>
    <row r="226" spans="1:31" x14ac:dyDescent="0.25">
      <c r="A226" s="399">
        <v>215</v>
      </c>
      <c r="B226" s="924"/>
      <c r="C226" s="924"/>
      <c r="D226" s="924"/>
      <c r="E226" s="924"/>
      <c r="F226" s="921"/>
      <c r="G226" s="924"/>
      <c r="H226" s="924"/>
      <c r="I226" s="924"/>
      <c r="J226" s="924"/>
      <c r="K226" s="922"/>
      <c r="L226" s="924"/>
      <c r="M226" s="924"/>
      <c r="N226" s="924"/>
      <c r="O226" s="924"/>
      <c r="P226" s="925"/>
      <c r="Q226" s="924"/>
      <c r="R226" s="924"/>
      <c r="S226" s="924"/>
      <c r="T226" s="924"/>
      <c r="U226" s="926"/>
      <c r="V226" s="924"/>
      <c r="W226" s="924"/>
      <c r="X226" s="924"/>
      <c r="Y226" s="924"/>
      <c r="Z226" s="929"/>
      <c r="AA226" s="924"/>
      <c r="AB226" s="924"/>
      <c r="AC226" s="924"/>
      <c r="AD226" s="924"/>
      <c r="AE226" s="930"/>
    </row>
    <row r="227" spans="1:31" x14ac:dyDescent="0.25">
      <c r="A227" s="399">
        <v>216</v>
      </c>
      <c r="B227" s="924"/>
      <c r="C227" s="924"/>
      <c r="D227" s="924"/>
      <c r="E227" s="924"/>
      <c r="F227" s="921"/>
      <c r="G227" s="924"/>
      <c r="H227" s="924"/>
      <c r="I227" s="924"/>
      <c r="J227" s="924"/>
      <c r="K227" s="922"/>
      <c r="L227" s="924"/>
      <c r="M227" s="924"/>
      <c r="N227" s="924"/>
      <c r="O227" s="924"/>
      <c r="P227" s="925"/>
      <c r="Q227" s="924"/>
      <c r="R227" s="924"/>
      <c r="S227" s="924"/>
      <c r="T227" s="924"/>
      <c r="U227" s="926"/>
      <c r="V227" s="924"/>
      <c r="W227" s="924"/>
      <c r="X227" s="924"/>
      <c r="Y227" s="924"/>
      <c r="Z227" s="929"/>
      <c r="AA227" s="924"/>
      <c r="AB227" s="924"/>
      <c r="AC227" s="924"/>
      <c r="AD227" s="924"/>
      <c r="AE227" s="930"/>
    </row>
    <row r="228" spans="1:31" x14ac:dyDescent="0.25">
      <c r="A228" s="399">
        <v>217</v>
      </c>
      <c r="B228" s="924"/>
      <c r="C228" s="924"/>
      <c r="D228" s="924"/>
      <c r="E228" s="924"/>
      <c r="F228" s="921"/>
      <c r="G228" s="924"/>
      <c r="H228" s="924"/>
      <c r="I228" s="924"/>
      <c r="J228" s="924"/>
      <c r="K228" s="922"/>
      <c r="L228" s="924"/>
      <c r="M228" s="924"/>
      <c r="N228" s="924"/>
      <c r="O228" s="924"/>
      <c r="P228" s="925"/>
      <c r="Q228" s="924"/>
      <c r="R228" s="924"/>
      <c r="S228" s="924"/>
      <c r="T228" s="924"/>
      <c r="U228" s="926"/>
      <c r="V228" s="924"/>
      <c r="W228" s="924"/>
      <c r="X228" s="924"/>
      <c r="Y228" s="924"/>
      <c r="Z228" s="929"/>
      <c r="AA228" s="924"/>
      <c r="AB228" s="924"/>
      <c r="AC228" s="924"/>
      <c r="AD228" s="924"/>
      <c r="AE228" s="930"/>
    </row>
    <row r="229" spans="1:31" x14ac:dyDescent="0.25">
      <c r="A229" s="399">
        <v>218</v>
      </c>
      <c r="B229" s="924"/>
      <c r="C229" s="924"/>
      <c r="D229" s="924"/>
      <c r="E229" s="924"/>
      <c r="F229" s="921"/>
      <c r="G229" s="924"/>
      <c r="H229" s="924"/>
      <c r="I229" s="924"/>
      <c r="J229" s="924"/>
      <c r="K229" s="922"/>
      <c r="L229" s="924"/>
      <c r="M229" s="924"/>
      <c r="N229" s="924"/>
      <c r="O229" s="924"/>
      <c r="P229" s="925"/>
      <c r="Q229" s="924"/>
      <c r="R229" s="924"/>
      <c r="S229" s="924"/>
      <c r="T229" s="924"/>
      <c r="U229" s="926"/>
      <c r="V229" s="924"/>
      <c r="W229" s="924"/>
      <c r="X229" s="924"/>
      <c r="Y229" s="924"/>
      <c r="Z229" s="929"/>
      <c r="AA229" s="924"/>
      <c r="AB229" s="924"/>
      <c r="AC229" s="924"/>
      <c r="AD229" s="924"/>
      <c r="AE229" s="930"/>
    </row>
    <row r="230" spans="1:31" x14ac:dyDescent="0.25">
      <c r="A230" s="399">
        <v>219</v>
      </c>
      <c r="B230" s="924"/>
      <c r="C230" s="924"/>
      <c r="D230" s="924"/>
      <c r="E230" s="924"/>
      <c r="F230" s="921"/>
      <c r="G230" s="924"/>
      <c r="H230" s="924"/>
      <c r="I230" s="924"/>
      <c r="J230" s="924"/>
      <c r="K230" s="922"/>
      <c r="L230" s="924"/>
      <c r="M230" s="924"/>
      <c r="N230" s="924"/>
      <c r="O230" s="924"/>
      <c r="P230" s="925"/>
      <c r="Q230" s="924"/>
      <c r="R230" s="924"/>
      <c r="S230" s="924"/>
      <c r="T230" s="924"/>
      <c r="U230" s="926"/>
      <c r="V230" s="924"/>
      <c r="W230" s="924"/>
      <c r="X230" s="924"/>
      <c r="Y230" s="924"/>
      <c r="Z230" s="929"/>
      <c r="AA230" s="924"/>
      <c r="AB230" s="924"/>
      <c r="AC230" s="924"/>
      <c r="AD230" s="924"/>
      <c r="AE230" s="930"/>
    </row>
    <row r="231" spans="1:31" x14ac:dyDescent="0.25">
      <c r="A231" s="399">
        <v>220</v>
      </c>
      <c r="B231" s="924"/>
      <c r="C231" s="924"/>
      <c r="D231" s="924"/>
      <c r="E231" s="924"/>
      <c r="F231" s="921"/>
      <c r="G231" s="924"/>
      <c r="H231" s="924"/>
      <c r="I231" s="924"/>
      <c r="J231" s="924"/>
      <c r="K231" s="922"/>
      <c r="L231" s="924"/>
      <c r="M231" s="924"/>
      <c r="N231" s="924"/>
      <c r="O231" s="924"/>
      <c r="P231" s="925"/>
      <c r="Q231" s="924"/>
      <c r="R231" s="924"/>
      <c r="S231" s="924"/>
      <c r="T231" s="924"/>
      <c r="U231" s="926"/>
      <c r="V231" s="924"/>
      <c r="W231" s="924"/>
      <c r="X231" s="924"/>
      <c r="Y231" s="924"/>
      <c r="Z231" s="929"/>
      <c r="AA231" s="924"/>
      <c r="AB231" s="924"/>
      <c r="AC231" s="924"/>
      <c r="AD231" s="924"/>
      <c r="AE231" s="930"/>
    </row>
    <row r="232" spans="1:31" x14ac:dyDescent="0.25">
      <c r="A232" s="399">
        <v>221</v>
      </c>
      <c r="B232" s="924"/>
      <c r="C232" s="924"/>
      <c r="D232" s="924"/>
      <c r="E232" s="924"/>
      <c r="F232" s="921"/>
      <c r="G232" s="924"/>
      <c r="H232" s="924"/>
      <c r="I232" s="924"/>
      <c r="J232" s="924"/>
      <c r="K232" s="922"/>
      <c r="L232" s="924"/>
      <c r="M232" s="924"/>
      <c r="N232" s="924"/>
      <c r="O232" s="924"/>
      <c r="P232" s="925"/>
      <c r="Q232" s="924"/>
      <c r="R232" s="924"/>
      <c r="S232" s="924"/>
      <c r="T232" s="924"/>
      <c r="U232" s="926"/>
      <c r="V232" s="924"/>
      <c r="W232" s="924"/>
      <c r="X232" s="924"/>
      <c r="Y232" s="924"/>
      <c r="Z232" s="929"/>
      <c r="AA232" s="924"/>
      <c r="AB232" s="924"/>
      <c r="AC232" s="924"/>
      <c r="AD232" s="924"/>
      <c r="AE232" s="930"/>
    </row>
    <row r="233" spans="1:31" x14ac:dyDescent="0.25">
      <c r="A233" s="399">
        <v>222</v>
      </c>
      <c r="B233" s="924"/>
      <c r="C233" s="924"/>
      <c r="D233" s="924"/>
      <c r="E233" s="924"/>
      <c r="F233" s="921"/>
      <c r="G233" s="924"/>
      <c r="H233" s="924"/>
      <c r="I233" s="924"/>
      <c r="J233" s="924"/>
      <c r="K233" s="922"/>
      <c r="L233" s="924"/>
      <c r="M233" s="924"/>
      <c r="N233" s="924"/>
      <c r="O233" s="924"/>
      <c r="P233" s="925"/>
      <c r="Q233" s="924"/>
      <c r="R233" s="924"/>
      <c r="S233" s="924"/>
      <c r="T233" s="924"/>
      <c r="U233" s="926"/>
      <c r="V233" s="924"/>
      <c r="W233" s="924"/>
      <c r="X233" s="924"/>
      <c r="Y233" s="924"/>
      <c r="Z233" s="929"/>
      <c r="AA233" s="924"/>
      <c r="AB233" s="924"/>
      <c r="AC233" s="924"/>
      <c r="AD233" s="924"/>
      <c r="AE233" s="930"/>
    </row>
    <row r="234" spans="1:31" x14ac:dyDescent="0.25">
      <c r="A234" s="399">
        <v>223</v>
      </c>
      <c r="B234" s="924"/>
      <c r="C234" s="924"/>
      <c r="D234" s="924"/>
      <c r="E234" s="924"/>
      <c r="F234" s="921"/>
      <c r="G234" s="924"/>
      <c r="H234" s="924"/>
      <c r="I234" s="924"/>
      <c r="J234" s="924"/>
      <c r="K234" s="922"/>
      <c r="L234" s="924"/>
      <c r="M234" s="924"/>
      <c r="N234" s="924"/>
      <c r="O234" s="924"/>
      <c r="P234" s="925"/>
      <c r="Q234" s="924"/>
      <c r="R234" s="924"/>
      <c r="S234" s="924"/>
      <c r="T234" s="924"/>
      <c r="U234" s="926"/>
      <c r="V234" s="924"/>
      <c r="W234" s="924"/>
      <c r="X234" s="924"/>
      <c r="Y234" s="924"/>
      <c r="Z234" s="929"/>
      <c r="AA234" s="924"/>
      <c r="AB234" s="924"/>
      <c r="AC234" s="924"/>
      <c r="AD234" s="924"/>
      <c r="AE234" s="930"/>
    </row>
    <row r="235" spans="1:31" x14ac:dyDescent="0.25">
      <c r="A235" s="399">
        <v>224</v>
      </c>
      <c r="B235" s="924"/>
      <c r="C235" s="924"/>
      <c r="D235" s="924"/>
      <c r="E235" s="924"/>
      <c r="F235" s="921"/>
      <c r="G235" s="924"/>
      <c r="H235" s="924"/>
      <c r="I235" s="924"/>
      <c r="J235" s="924"/>
      <c r="K235" s="922"/>
      <c r="L235" s="924"/>
      <c r="M235" s="924"/>
      <c r="N235" s="924"/>
      <c r="O235" s="924"/>
      <c r="P235" s="925"/>
      <c r="Q235" s="924"/>
      <c r="R235" s="924"/>
      <c r="S235" s="924"/>
      <c r="T235" s="924"/>
      <c r="U235" s="926"/>
      <c r="V235" s="924"/>
      <c r="W235" s="924"/>
      <c r="X235" s="924"/>
      <c r="Y235" s="924"/>
      <c r="Z235" s="929"/>
      <c r="AA235" s="924"/>
      <c r="AB235" s="924"/>
      <c r="AC235" s="924"/>
      <c r="AD235" s="924"/>
      <c r="AE235" s="930"/>
    </row>
    <row r="236" spans="1:31" x14ac:dyDescent="0.25">
      <c r="A236" s="399">
        <v>225</v>
      </c>
      <c r="B236" s="924"/>
      <c r="C236" s="924"/>
      <c r="D236" s="924"/>
      <c r="E236" s="924"/>
      <c r="F236" s="921"/>
      <c r="G236" s="924"/>
      <c r="H236" s="924"/>
      <c r="I236" s="924"/>
      <c r="J236" s="924"/>
      <c r="K236" s="922"/>
      <c r="L236" s="924"/>
      <c r="M236" s="924"/>
      <c r="N236" s="924"/>
      <c r="O236" s="924"/>
      <c r="P236" s="925"/>
      <c r="Q236" s="924"/>
      <c r="R236" s="924"/>
      <c r="S236" s="924"/>
      <c r="T236" s="924"/>
      <c r="U236" s="926"/>
      <c r="V236" s="924"/>
      <c r="W236" s="924"/>
      <c r="X236" s="924"/>
      <c r="Y236" s="924"/>
      <c r="Z236" s="929"/>
      <c r="AA236" s="924"/>
      <c r="AB236" s="924"/>
      <c r="AC236" s="924"/>
      <c r="AD236" s="924"/>
      <c r="AE236" s="930"/>
    </row>
    <row r="237" spans="1:31" x14ac:dyDescent="0.25">
      <c r="A237" s="399">
        <v>226</v>
      </c>
      <c r="B237" s="924"/>
      <c r="C237" s="924"/>
      <c r="D237" s="924"/>
      <c r="E237" s="924"/>
      <c r="F237" s="921"/>
      <c r="G237" s="924"/>
      <c r="H237" s="924"/>
      <c r="I237" s="924"/>
      <c r="J237" s="924"/>
      <c r="K237" s="922"/>
      <c r="L237" s="924"/>
      <c r="M237" s="924"/>
      <c r="N237" s="924"/>
      <c r="O237" s="924"/>
      <c r="P237" s="925"/>
      <c r="Q237" s="924"/>
      <c r="R237" s="924"/>
      <c r="S237" s="924"/>
      <c r="T237" s="924"/>
      <c r="U237" s="926"/>
      <c r="V237" s="924"/>
      <c r="W237" s="924"/>
      <c r="X237" s="924"/>
      <c r="Y237" s="924"/>
      <c r="Z237" s="929"/>
      <c r="AA237" s="924"/>
      <c r="AB237" s="924"/>
      <c r="AC237" s="924"/>
      <c r="AD237" s="924"/>
      <c r="AE237" s="930"/>
    </row>
    <row r="238" spans="1:31" x14ac:dyDescent="0.25">
      <c r="A238" s="399">
        <v>227</v>
      </c>
      <c r="B238" s="924"/>
      <c r="C238" s="924"/>
      <c r="D238" s="924"/>
      <c r="E238" s="924"/>
      <c r="F238" s="921"/>
      <c r="G238" s="924"/>
      <c r="H238" s="924"/>
      <c r="I238" s="924"/>
      <c r="J238" s="924"/>
      <c r="K238" s="922"/>
      <c r="L238" s="924"/>
      <c r="M238" s="924"/>
      <c r="N238" s="924"/>
      <c r="O238" s="924"/>
      <c r="P238" s="925"/>
      <c r="Q238" s="924"/>
      <c r="R238" s="924"/>
      <c r="S238" s="924"/>
      <c r="T238" s="924"/>
      <c r="U238" s="926"/>
      <c r="V238" s="924"/>
      <c r="W238" s="924"/>
      <c r="X238" s="924"/>
      <c r="Y238" s="924"/>
      <c r="Z238" s="929"/>
      <c r="AA238" s="924"/>
      <c r="AB238" s="924"/>
      <c r="AC238" s="924"/>
      <c r="AD238" s="924"/>
      <c r="AE238" s="930"/>
    </row>
    <row r="239" spans="1:31" x14ac:dyDescent="0.25">
      <c r="A239" s="399">
        <v>228</v>
      </c>
      <c r="B239" s="924"/>
      <c r="C239" s="924"/>
      <c r="D239" s="924"/>
      <c r="E239" s="924"/>
      <c r="F239" s="921"/>
      <c r="G239" s="924"/>
      <c r="H239" s="924"/>
      <c r="I239" s="924"/>
      <c r="J239" s="924"/>
      <c r="K239" s="922"/>
      <c r="L239" s="924"/>
      <c r="M239" s="924"/>
      <c r="N239" s="924"/>
      <c r="O239" s="924"/>
      <c r="P239" s="925"/>
      <c r="Q239" s="924"/>
      <c r="R239" s="924"/>
      <c r="S239" s="924"/>
      <c r="T239" s="924"/>
      <c r="U239" s="926"/>
      <c r="V239" s="924"/>
      <c r="W239" s="924"/>
      <c r="X239" s="924"/>
      <c r="Y239" s="924"/>
      <c r="Z239" s="929"/>
      <c r="AA239" s="924"/>
      <c r="AB239" s="924"/>
      <c r="AC239" s="924"/>
      <c r="AD239" s="924"/>
      <c r="AE239" s="930"/>
    </row>
    <row r="240" spans="1:31" x14ac:dyDescent="0.25">
      <c r="A240" s="399">
        <v>229</v>
      </c>
      <c r="B240" s="924"/>
      <c r="C240" s="924"/>
      <c r="D240" s="924"/>
      <c r="E240" s="924"/>
      <c r="F240" s="921"/>
      <c r="G240" s="924"/>
      <c r="H240" s="924"/>
      <c r="I240" s="924"/>
      <c r="J240" s="924"/>
      <c r="K240" s="922"/>
      <c r="L240" s="924"/>
      <c r="M240" s="924"/>
      <c r="N240" s="924"/>
      <c r="O240" s="924"/>
      <c r="P240" s="925"/>
      <c r="Q240" s="924"/>
      <c r="R240" s="924"/>
      <c r="S240" s="924"/>
      <c r="T240" s="924"/>
      <c r="U240" s="926"/>
      <c r="V240" s="924"/>
      <c r="W240" s="924"/>
      <c r="X240" s="924"/>
      <c r="Y240" s="924"/>
      <c r="Z240" s="929"/>
      <c r="AA240" s="924"/>
      <c r="AB240" s="924"/>
      <c r="AC240" s="924"/>
      <c r="AD240" s="924"/>
      <c r="AE240" s="930"/>
    </row>
    <row r="241" spans="1:31" x14ac:dyDescent="0.25">
      <c r="A241" s="399">
        <v>230</v>
      </c>
      <c r="B241" s="924"/>
      <c r="C241" s="924"/>
      <c r="D241" s="924"/>
      <c r="E241" s="924"/>
      <c r="F241" s="921"/>
      <c r="G241" s="924"/>
      <c r="H241" s="924"/>
      <c r="I241" s="924"/>
      <c r="J241" s="924"/>
      <c r="K241" s="922"/>
      <c r="L241" s="924"/>
      <c r="M241" s="924"/>
      <c r="N241" s="924"/>
      <c r="O241" s="924"/>
      <c r="P241" s="925"/>
      <c r="Q241" s="924"/>
      <c r="R241" s="924"/>
      <c r="S241" s="924"/>
      <c r="T241" s="924"/>
      <c r="U241" s="926"/>
      <c r="V241" s="924"/>
      <c r="W241" s="924"/>
      <c r="X241" s="924"/>
      <c r="Y241" s="924"/>
      <c r="Z241" s="929"/>
      <c r="AA241" s="924"/>
      <c r="AB241" s="924"/>
      <c r="AC241" s="924"/>
      <c r="AD241" s="924"/>
      <c r="AE241" s="930"/>
    </row>
    <row r="242" spans="1:31" x14ac:dyDescent="0.25">
      <c r="A242" s="399">
        <v>231</v>
      </c>
      <c r="B242" s="924"/>
      <c r="C242" s="924"/>
      <c r="D242" s="924"/>
      <c r="E242" s="924"/>
      <c r="F242" s="921"/>
      <c r="G242" s="924"/>
      <c r="H242" s="924"/>
      <c r="I242" s="924"/>
      <c r="J242" s="924"/>
      <c r="K242" s="922"/>
      <c r="L242" s="924"/>
      <c r="M242" s="924"/>
      <c r="N242" s="924"/>
      <c r="O242" s="924"/>
      <c r="P242" s="925"/>
      <c r="Q242" s="924"/>
      <c r="R242" s="924"/>
      <c r="S242" s="924"/>
      <c r="T242" s="924"/>
      <c r="U242" s="926"/>
      <c r="V242" s="924"/>
      <c r="W242" s="924"/>
      <c r="X242" s="924"/>
      <c r="Y242" s="924"/>
      <c r="Z242" s="929"/>
      <c r="AA242" s="924"/>
      <c r="AB242" s="924"/>
      <c r="AC242" s="924"/>
      <c r="AD242" s="924"/>
      <c r="AE242" s="930"/>
    </row>
    <row r="243" spans="1:31" x14ac:dyDescent="0.25">
      <c r="A243" s="399">
        <v>232</v>
      </c>
      <c r="B243" s="924"/>
      <c r="C243" s="924"/>
      <c r="D243" s="924"/>
      <c r="E243" s="924"/>
      <c r="F243" s="921"/>
      <c r="G243" s="924"/>
      <c r="H243" s="924"/>
      <c r="I243" s="924"/>
      <c r="J243" s="924"/>
      <c r="K243" s="922"/>
      <c r="L243" s="924"/>
      <c r="M243" s="924"/>
      <c r="N243" s="924"/>
      <c r="O243" s="924"/>
      <c r="P243" s="925"/>
      <c r="Q243" s="924"/>
      <c r="R243" s="924"/>
      <c r="S243" s="924"/>
      <c r="T243" s="924"/>
      <c r="U243" s="926"/>
      <c r="V243" s="924"/>
      <c r="W243" s="924"/>
      <c r="X243" s="924"/>
      <c r="Y243" s="924"/>
      <c r="Z243" s="929"/>
      <c r="AA243" s="924"/>
      <c r="AB243" s="924"/>
      <c r="AC243" s="924"/>
      <c r="AD243" s="924"/>
      <c r="AE243" s="930"/>
    </row>
    <row r="244" spans="1:31" x14ac:dyDescent="0.25">
      <c r="A244" s="399">
        <v>233</v>
      </c>
      <c r="B244" s="924"/>
      <c r="C244" s="924"/>
      <c r="D244" s="924"/>
      <c r="E244" s="924"/>
      <c r="F244" s="921"/>
      <c r="G244" s="924"/>
      <c r="H244" s="924"/>
      <c r="I244" s="924"/>
      <c r="J244" s="924"/>
      <c r="K244" s="922"/>
      <c r="L244" s="924"/>
      <c r="M244" s="924"/>
      <c r="N244" s="924"/>
      <c r="O244" s="924"/>
      <c r="P244" s="925"/>
      <c r="Q244" s="924"/>
      <c r="R244" s="924"/>
      <c r="S244" s="924"/>
      <c r="T244" s="924"/>
      <c r="U244" s="926"/>
      <c r="V244" s="924"/>
      <c r="W244" s="924"/>
      <c r="X244" s="924"/>
      <c r="Y244" s="924"/>
      <c r="Z244" s="929"/>
      <c r="AA244" s="924"/>
      <c r="AB244" s="924"/>
      <c r="AC244" s="924"/>
      <c r="AD244" s="924"/>
      <c r="AE244" s="930"/>
    </row>
    <row r="245" spans="1:31" x14ac:dyDescent="0.25">
      <c r="A245" s="399">
        <v>234</v>
      </c>
      <c r="B245" s="924"/>
      <c r="C245" s="924"/>
      <c r="D245" s="924"/>
      <c r="E245" s="924"/>
      <c r="F245" s="921"/>
      <c r="G245" s="924"/>
      <c r="H245" s="924"/>
      <c r="I245" s="924"/>
      <c r="J245" s="924"/>
      <c r="K245" s="922"/>
      <c r="L245" s="924"/>
      <c r="M245" s="924"/>
      <c r="N245" s="924"/>
      <c r="O245" s="924"/>
      <c r="P245" s="925"/>
      <c r="Q245" s="924"/>
      <c r="R245" s="924"/>
      <c r="S245" s="924"/>
      <c r="T245" s="924"/>
      <c r="U245" s="926"/>
      <c r="V245" s="924"/>
      <c r="W245" s="924"/>
      <c r="X245" s="924"/>
      <c r="Y245" s="924"/>
      <c r="Z245" s="929"/>
      <c r="AA245" s="924"/>
      <c r="AB245" s="924"/>
      <c r="AC245" s="924"/>
      <c r="AD245" s="924"/>
      <c r="AE245" s="930"/>
    </row>
    <row r="246" spans="1:31" x14ac:dyDescent="0.25">
      <c r="A246" s="399">
        <v>235</v>
      </c>
      <c r="B246" s="924"/>
      <c r="C246" s="924"/>
      <c r="D246" s="924"/>
      <c r="E246" s="924"/>
      <c r="F246" s="921"/>
      <c r="G246" s="924"/>
      <c r="H246" s="924"/>
      <c r="I246" s="924"/>
      <c r="J246" s="924"/>
      <c r="K246" s="922"/>
      <c r="L246" s="924"/>
      <c r="M246" s="924"/>
      <c r="N246" s="924"/>
      <c r="O246" s="924"/>
      <c r="P246" s="925"/>
      <c r="Q246" s="924"/>
      <c r="R246" s="924"/>
      <c r="S246" s="924"/>
      <c r="T246" s="924"/>
      <c r="U246" s="926"/>
      <c r="V246" s="924"/>
      <c r="W246" s="924"/>
      <c r="X246" s="924"/>
      <c r="Y246" s="924"/>
      <c r="Z246" s="929"/>
      <c r="AA246" s="924"/>
      <c r="AB246" s="924"/>
      <c r="AC246" s="924"/>
      <c r="AD246" s="924"/>
      <c r="AE246" s="930"/>
    </row>
    <row r="247" spans="1:31" x14ac:dyDescent="0.25">
      <c r="A247" s="399">
        <v>236</v>
      </c>
      <c r="B247" s="924"/>
      <c r="C247" s="924"/>
      <c r="D247" s="924"/>
      <c r="E247" s="924"/>
      <c r="F247" s="921"/>
      <c r="G247" s="924"/>
      <c r="H247" s="924"/>
      <c r="I247" s="924"/>
      <c r="J247" s="924"/>
      <c r="K247" s="922"/>
      <c r="L247" s="924"/>
      <c r="M247" s="924"/>
      <c r="N247" s="924"/>
      <c r="O247" s="924"/>
      <c r="P247" s="925"/>
      <c r="Q247" s="924"/>
      <c r="R247" s="924"/>
      <c r="S247" s="924"/>
      <c r="T247" s="924"/>
      <c r="U247" s="926"/>
      <c r="V247" s="924"/>
      <c r="W247" s="924"/>
      <c r="X247" s="924"/>
      <c r="Y247" s="924"/>
      <c r="Z247" s="929"/>
      <c r="AA247" s="924"/>
      <c r="AB247" s="924"/>
      <c r="AC247" s="924"/>
      <c r="AD247" s="924"/>
      <c r="AE247" s="930"/>
    </row>
    <row r="248" spans="1:31" x14ac:dyDescent="0.25">
      <c r="A248" s="399">
        <v>237</v>
      </c>
      <c r="B248" s="924"/>
      <c r="C248" s="924"/>
      <c r="D248" s="924"/>
      <c r="E248" s="924"/>
      <c r="F248" s="921"/>
      <c r="G248" s="924"/>
      <c r="H248" s="924"/>
      <c r="I248" s="924"/>
      <c r="J248" s="924"/>
      <c r="K248" s="922"/>
      <c r="L248" s="924"/>
      <c r="M248" s="924"/>
      <c r="N248" s="924"/>
      <c r="O248" s="924"/>
      <c r="P248" s="925"/>
      <c r="Q248" s="924"/>
      <c r="R248" s="924"/>
      <c r="S248" s="924"/>
      <c r="T248" s="924"/>
      <c r="U248" s="926"/>
      <c r="V248" s="924"/>
      <c r="W248" s="924"/>
      <c r="X248" s="924"/>
      <c r="Y248" s="924"/>
      <c r="Z248" s="929"/>
      <c r="AA248" s="924"/>
      <c r="AB248" s="924"/>
      <c r="AC248" s="924"/>
      <c r="AD248" s="924"/>
      <c r="AE248" s="930"/>
    </row>
    <row r="249" spans="1:31" x14ac:dyDescent="0.25">
      <c r="A249" s="399">
        <v>238</v>
      </c>
      <c r="B249" s="924"/>
      <c r="C249" s="924"/>
      <c r="D249" s="924"/>
      <c r="E249" s="924"/>
      <c r="F249" s="921"/>
      <c r="G249" s="924"/>
      <c r="H249" s="924"/>
      <c r="I249" s="924"/>
      <c r="J249" s="924"/>
      <c r="K249" s="922"/>
      <c r="L249" s="924"/>
      <c r="M249" s="924"/>
      <c r="N249" s="924"/>
      <c r="O249" s="924"/>
      <c r="P249" s="925"/>
      <c r="Q249" s="924"/>
      <c r="R249" s="924"/>
      <c r="S249" s="924"/>
      <c r="T249" s="924"/>
      <c r="U249" s="926"/>
      <c r="V249" s="924"/>
      <c r="W249" s="924"/>
      <c r="X249" s="924"/>
      <c r="Y249" s="924"/>
      <c r="Z249" s="929"/>
      <c r="AA249" s="924"/>
      <c r="AB249" s="924"/>
      <c r="AC249" s="924"/>
      <c r="AD249" s="924"/>
      <c r="AE249" s="930"/>
    </row>
    <row r="250" spans="1:31" x14ac:dyDescent="0.25">
      <c r="A250" s="399">
        <v>239</v>
      </c>
      <c r="B250" s="924"/>
      <c r="C250" s="924"/>
      <c r="D250" s="924"/>
      <c r="E250" s="924"/>
      <c r="F250" s="921"/>
      <c r="G250" s="924"/>
      <c r="H250" s="924"/>
      <c r="I250" s="924"/>
      <c r="J250" s="924"/>
      <c r="K250" s="922"/>
      <c r="L250" s="924"/>
      <c r="M250" s="924"/>
      <c r="N250" s="924"/>
      <c r="O250" s="924"/>
      <c r="P250" s="925"/>
      <c r="Q250" s="924"/>
      <c r="R250" s="924"/>
      <c r="S250" s="924"/>
      <c r="T250" s="924"/>
      <c r="U250" s="926"/>
      <c r="V250" s="924"/>
      <c r="W250" s="924"/>
      <c r="X250" s="924"/>
      <c r="Y250" s="924"/>
      <c r="Z250" s="929"/>
      <c r="AA250" s="924"/>
      <c r="AB250" s="924"/>
      <c r="AC250" s="924"/>
      <c r="AD250" s="924"/>
      <c r="AE250" s="930"/>
    </row>
    <row r="251" spans="1:31" x14ac:dyDescent="0.25">
      <c r="A251" s="399">
        <v>240</v>
      </c>
      <c r="B251" s="924"/>
      <c r="C251" s="924"/>
      <c r="D251" s="924"/>
      <c r="E251" s="924"/>
      <c r="F251" s="921"/>
      <c r="G251" s="924"/>
      <c r="H251" s="924"/>
      <c r="I251" s="924"/>
      <c r="J251" s="924"/>
      <c r="K251" s="922"/>
      <c r="L251" s="924"/>
      <c r="M251" s="924"/>
      <c r="N251" s="924"/>
      <c r="O251" s="924"/>
      <c r="P251" s="925"/>
      <c r="Q251" s="924"/>
      <c r="R251" s="924"/>
      <c r="S251" s="924"/>
      <c r="T251" s="924"/>
      <c r="U251" s="926"/>
      <c r="V251" s="924"/>
      <c r="W251" s="924"/>
      <c r="X251" s="924"/>
      <c r="Y251" s="924"/>
      <c r="Z251" s="929"/>
      <c r="AA251" s="924"/>
      <c r="AB251" s="924"/>
      <c r="AC251" s="924"/>
      <c r="AD251" s="924"/>
      <c r="AE251" s="930"/>
    </row>
    <row r="252" spans="1:31" x14ac:dyDescent="0.25">
      <c r="A252" s="399">
        <v>241</v>
      </c>
      <c r="B252" s="924"/>
      <c r="C252" s="924"/>
      <c r="D252" s="924"/>
      <c r="E252" s="924"/>
      <c r="F252" s="921"/>
      <c r="G252" s="924"/>
      <c r="H252" s="924"/>
      <c r="I252" s="924"/>
      <c r="J252" s="924"/>
      <c r="K252" s="922"/>
      <c r="L252" s="924"/>
      <c r="M252" s="924"/>
      <c r="N252" s="924"/>
      <c r="O252" s="924"/>
      <c r="P252" s="925"/>
      <c r="Q252" s="924"/>
      <c r="R252" s="924"/>
      <c r="S252" s="924"/>
      <c r="T252" s="924"/>
      <c r="U252" s="926"/>
      <c r="V252" s="924"/>
      <c r="W252" s="924"/>
      <c r="X252" s="924"/>
      <c r="Y252" s="924"/>
      <c r="Z252" s="929"/>
      <c r="AA252" s="924"/>
      <c r="AB252" s="924"/>
      <c r="AC252" s="924"/>
      <c r="AD252" s="924"/>
      <c r="AE252" s="930"/>
    </row>
    <row r="253" spans="1:31" x14ac:dyDescent="0.25">
      <c r="A253" s="399">
        <v>242</v>
      </c>
      <c r="B253" s="924"/>
      <c r="C253" s="924"/>
      <c r="D253" s="924"/>
      <c r="E253" s="924"/>
      <c r="F253" s="921"/>
      <c r="G253" s="924"/>
      <c r="H253" s="924"/>
      <c r="I253" s="924"/>
      <c r="J253" s="924"/>
      <c r="K253" s="922"/>
      <c r="L253" s="924"/>
      <c r="M253" s="924"/>
      <c r="N253" s="924"/>
      <c r="O253" s="924"/>
      <c r="P253" s="925"/>
      <c r="Q253" s="924"/>
      <c r="R253" s="924"/>
      <c r="S253" s="924"/>
      <c r="T253" s="924"/>
      <c r="U253" s="926"/>
      <c r="V253" s="924"/>
      <c r="W253" s="924"/>
      <c r="X253" s="924"/>
      <c r="Y253" s="924"/>
      <c r="Z253" s="929"/>
      <c r="AA253" s="924"/>
      <c r="AB253" s="924"/>
      <c r="AC253" s="924"/>
      <c r="AD253" s="924"/>
      <c r="AE253" s="930"/>
    </row>
    <row r="254" spans="1:31" x14ac:dyDescent="0.25">
      <c r="A254" s="399">
        <v>243</v>
      </c>
      <c r="B254" s="924"/>
      <c r="C254" s="924"/>
      <c r="D254" s="924"/>
      <c r="E254" s="924"/>
      <c r="F254" s="921"/>
      <c r="G254" s="924"/>
      <c r="H254" s="924"/>
      <c r="I254" s="924"/>
      <c r="J254" s="924"/>
      <c r="K254" s="922"/>
      <c r="L254" s="924"/>
      <c r="M254" s="924"/>
      <c r="N254" s="924"/>
      <c r="O254" s="924"/>
      <c r="P254" s="925"/>
      <c r="Q254" s="924"/>
      <c r="R254" s="924"/>
      <c r="S254" s="924"/>
      <c r="T254" s="924"/>
      <c r="U254" s="926"/>
      <c r="V254" s="924"/>
      <c r="W254" s="924"/>
      <c r="X254" s="924"/>
      <c r="Y254" s="924"/>
      <c r="Z254" s="929"/>
      <c r="AA254" s="924"/>
      <c r="AB254" s="924"/>
      <c r="AC254" s="924"/>
      <c r="AD254" s="924"/>
      <c r="AE254" s="930"/>
    </row>
    <row r="255" spans="1:31" x14ac:dyDescent="0.25">
      <c r="A255" s="399">
        <v>244</v>
      </c>
      <c r="B255" s="924"/>
      <c r="C255" s="924"/>
      <c r="D255" s="924"/>
      <c r="E255" s="924"/>
      <c r="F255" s="921"/>
      <c r="G255" s="924"/>
      <c r="H255" s="924"/>
      <c r="I255" s="924"/>
      <c r="J255" s="924"/>
      <c r="K255" s="922"/>
      <c r="L255" s="924"/>
      <c r="M255" s="924"/>
      <c r="N255" s="924"/>
      <c r="O255" s="924"/>
      <c r="P255" s="925"/>
      <c r="Q255" s="924"/>
      <c r="R255" s="924"/>
      <c r="S255" s="924"/>
      <c r="T255" s="924"/>
      <c r="U255" s="926"/>
      <c r="V255" s="924"/>
      <c r="W255" s="924"/>
      <c r="X255" s="924"/>
      <c r="Y255" s="924"/>
      <c r="Z255" s="929"/>
      <c r="AA255" s="924"/>
      <c r="AB255" s="924"/>
      <c r="AC255" s="924"/>
      <c r="AD255" s="924"/>
      <c r="AE255" s="930"/>
    </row>
    <row r="256" spans="1:31" x14ac:dyDescent="0.25">
      <c r="A256" s="399">
        <v>245</v>
      </c>
      <c r="B256" s="924"/>
      <c r="C256" s="924"/>
      <c r="D256" s="924"/>
      <c r="E256" s="924"/>
      <c r="F256" s="921"/>
      <c r="G256" s="924"/>
      <c r="H256" s="924"/>
      <c r="I256" s="924"/>
      <c r="J256" s="924"/>
      <c r="K256" s="922"/>
      <c r="L256" s="924"/>
      <c r="M256" s="924"/>
      <c r="N256" s="924"/>
      <c r="O256" s="924"/>
      <c r="P256" s="925"/>
      <c r="Q256" s="924"/>
      <c r="R256" s="924"/>
      <c r="S256" s="924"/>
      <c r="T256" s="924"/>
      <c r="U256" s="926"/>
      <c r="V256" s="924"/>
      <c r="W256" s="924"/>
      <c r="X256" s="924"/>
      <c r="Y256" s="924"/>
      <c r="Z256" s="929"/>
      <c r="AA256" s="924"/>
      <c r="AB256" s="924"/>
      <c r="AC256" s="924"/>
      <c r="AD256" s="924"/>
      <c r="AE256" s="930"/>
    </row>
    <row r="257" spans="1:31" x14ac:dyDescent="0.25">
      <c r="A257" s="399">
        <v>246</v>
      </c>
      <c r="B257" s="924"/>
      <c r="C257" s="924"/>
      <c r="D257" s="924"/>
      <c r="E257" s="924"/>
      <c r="F257" s="921"/>
      <c r="G257" s="924"/>
      <c r="H257" s="924"/>
      <c r="I257" s="924"/>
      <c r="J257" s="924"/>
      <c r="K257" s="922"/>
      <c r="L257" s="924"/>
      <c r="M257" s="924"/>
      <c r="N257" s="924"/>
      <c r="O257" s="924"/>
      <c r="P257" s="925"/>
      <c r="Q257" s="924"/>
      <c r="R257" s="924"/>
      <c r="S257" s="924"/>
      <c r="T257" s="924"/>
      <c r="U257" s="926"/>
      <c r="V257" s="924"/>
      <c r="W257" s="924"/>
      <c r="X257" s="924"/>
      <c r="Y257" s="924"/>
      <c r="Z257" s="929"/>
      <c r="AA257" s="924"/>
      <c r="AB257" s="924"/>
      <c r="AC257" s="924"/>
      <c r="AD257" s="924"/>
      <c r="AE257" s="930"/>
    </row>
    <row r="258" spans="1:31" x14ac:dyDescent="0.25">
      <c r="A258" s="399">
        <v>247</v>
      </c>
      <c r="B258" s="924"/>
      <c r="C258" s="924"/>
      <c r="D258" s="924"/>
      <c r="E258" s="924"/>
      <c r="F258" s="921"/>
      <c r="G258" s="924"/>
      <c r="H258" s="924"/>
      <c r="I258" s="924"/>
      <c r="J258" s="924"/>
      <c r="K258" s="922"/>
      <c r="L258" s="924"/>
      <c r="M258" s="924"/>
      <c r="N258" s="924"/>
      <c r="O258" s="924"/>
      <c r="P258" s="925"/>
      <c r="Q258" s="924"/>
      <c r="R258" s="924"/>
      <c r="S258" s="924"/>
      <c r="T258" s="924"/>
      <c r="U258" s="926"/>
      <c r="V258" s="924"/>
      <c r="W258" s="924"/>
      <c r="X258" s="924"/>
      <c r="Y258" s="924"/>
      <c r="Z258" s="929"/>
      <c r="AA258" s="924"/>
      <c r="AB258" s="924"/>
      <c r="AC258" s="924"/>
      <c r="AD258" s="924"/>
      <c r="AE258" s="930"/>
    </row>
    <row r="259" spans="1:31" x14ac:dyDescent="0.25">
      <c r="A259" s="399">
        <v>248</v>
      </c>
      <c r="B259" s="924"/>
      <c r="C259" s="924"/>
      <c r="D259" s="924"/>
      <c r="E259" s="924"/>
      <c r="F259" s="921"/>
      <c r="G259" s="924"/>
      <c r="H259" s="924"/>
      <c r="I259" s="924"/>
      <c r="J259" s="924"/>
      <c r="K259" s="922"/>
      <c r="L259" s="924"/>
      <c r="M259" s="924"/>
      <c r="N259" s="924"/>
      <c r="O259" s="924"/>
      <c r="P259" s="925"/>
      <c r="Q259" s="924"/>
      <c r="R259" s="924"/>
      <c r="S259" s="924"/>
      <c r="T259" s="924"/>
      <c r="U259" s="926"/>
      <c r="V259" s="924"/>
      <c r="W259" s="924"/>
      <c r="X259" s="924"/>
      <c r="Y259" s="924"/>
      <c r="Z259" s="929"/>
      <c r="AA259" s="924"/>
      <c r="AB259" s="924"/>
      <c r="AC259" s="924"/>
      <c r="AD259" s="924"/>
      <c r="AE259" s="930"/>
    </row>
    <row r="260" spans="1:31" x14ac:dyDescent="0.25">
      <c r="A260" s="399">
        <v>249</v>
      </c>
      <c r="B260" s="924"/>
      <c r="C260" s="924"/>
      <c r="D260" s="924"/>
      <c r="E260" s="924"/>
      <c r="F260" s="921"/>
      <c r="G260" s="924"/>
      <c r="H260" s="924"/>
      <c r="I260" s="924"/>
      <c r="J260" s="924"/>
      <c r="K260" s="922"/>
      <c r="L260" s="924"/>
      <c r="M260" s="924"/>
      <c r="N260" s="924"/>
      <c r="O260" s="924"/>
      <c r="P260" s="925"/>
      <c r="Q260" s="924"/>
      <c r="R260" s="924"/>
      <c r="S260" s="924"/>
      <c r="T260" s="924"/>
      <c r="U260" s="926"/>
      <c r="V260" s="924"/>
      <c r="W260" s="924"/>
      <c r="X260" s="924"/>
      <c r="Y260" s="924"/>
      <c r="Z260" s="929"/>
      <c r="AA260" s="924"/>
      <c r="AB260" s="924"/>
      <c r="AC260" s="924"/>
      <c r="AD260" s="924"/>
      <c r="AE260" s="930"/>
    </row>
    <row r="261" spans="1:31" x14ac:dyDescent="0.25">
      <c r="A261" s="399">
        <v>250</v>
      </c>
      <c r="B261" s="924"/>
      <c r="C261" s="924"/>
      <c r="D261" s="924"/>
      <c r="E261" s="924"/>
      <c r="F261" s="921"/>
      <c r="G261" s="924"/>
      <c r="H261" s="924"/>
      <c r="I261" s="924"/>
      <c r="J261" s="924"/>
      <c r="K261" s="922"/>
      <c r="L261" s="924"/>
      <c r="M261" s="924"/>
      <c r="N261" s="924"/>
      <c r="O261" s="924"/>
      <c r="P261" s="925"/>
      <c r="Q261" s="924"/>
      <c r="R261" s="924"/>
      <c r="S261" s="924"/>
      <c r="T261" s="924"/>
      <c r="U261" s="926"/>
      <c r="V261" s="924"/>
      <c r="W261" s="924"/>
      <c r="X261" s="924"/>
      <c r="Y261" s="924"/>
      <c r="Z261" s="929"/>
      <c r="AA261" s="924"/>
      <c r="AB261" s="924"/>
      <c r="AC261" s="924"/>
      <c r="AD261" s="924"/>
      <c r="AE261" s="930"/>
    </row>
    <row r="262" spans="1:31" ht="15.75" thickBot="1" x14ac:dyDescent="0.3">
      <c r="A262" s="411"/>
      <c r="B262" s="510"/>
      <c r="C262" s="510"/>
      <c r="D262" s="510"/>
      <c r="E262" s="510"/>
      <c r="F262" s="510"/>
      <c r="G262" s="510"/>
      <c r="H262" s="510"/>
      <c r="I262" s="510"/>
      <c r="J262" s="510"/>
      <c r="K262" s="510"/>
      <c r="L262" s="510"/>
      <c r="M262" s="510"/>
      <c r="N262" s="510"/>
      <c r="O262" s="510"/>
      <c r="P262" s="510"/>
      <c r="Q262" s="510"/>
      <c r="R262" s="510"/>
      <c r="S262" s="510"/>
      <c r="T262" s="510"/>
      <c r="U262" s="510"/>
      <c r="V262" s="510"/>
      <c r="W262" s="510"/>
      <c r="X262" s="510"/>
      <c r="Y262" s="510"/>
      <c r="Z262" s="510"/>
      <c r="AA262" s="510"/>
      <c r="AB262" s="510"/>
      <c r="AC262" s="510"/>
      <c r="AD262" s="510"/>
      <c r="AE262" s="510"/>
    </row>
  </sheetData>
  <sheetProtection sheet="1" objects="1" scenarios="1"/>
  <mergeCells count="6">
    <mergeCell ref="AA1:AD1"/>
    <mergeCell ref="B1:E1"/>
    <mergeCell ref="G1:J1"/>
    <mergeCell ref="L1:O1"/>
    <mergeCell ref="Q1:T1"/>
    <mergeCell ref="V1:Y1"/>
  </mergeCells>
  <conditionalFormatting sqref="B11:I11">
    <cfRule type="expression" dxfId="10" priority="264" stopIfTrue="1">
      <formula>NOT(ISBLANK($B$2))</formula>
    </cfRule>
  </conditionalFormatting>
  <conditionalFormatting sqref="J11">
    <cfRule type="expression" dxfId="9" priority="261" stopIfTrue="1">
      <formula>NOT(ISBLANK(J$2))</formula>
    </cfRule>
  </conditionalFormatting>
  <conditionalFormatting sqref="L11:M11">
    <cfRule type="expression" dxfId="8" priority="260" stopIfTrue="1">
      <formula>NOT(ISBLANK(L$2))</formula>
    </cfRule>
  </conditionalFormatting>
  <conditionalFormatting sqref="R18">
    <cfRule type="expression" dxfId="7" priority="79" stopIfTrue="1">
      <formula>ISBLANK(R$2)</formula>
    </cfRule>
    <cfRule type="cellIs" dxfId="6" priority="80" stopIfTrue="1" operator="lessThan">
      <formula>0.95</formula>
    </cfRule>
  </conditionalFormatting>
  <conditionalFormatting sqref="F7">
    <cfRule type="expression" dxfId="5" priority="6">
      <formula>ISERR(F7)</formula>
    </cfRule>
  </conditionalFormatting>
  <conditionalFormatting sqref="K7">
    <cfRule type="expression" dxfId="4" priority="5">
      <formula>ISERR(K7)</formula>
    </cfRule>
  </conditionalFormatting>
  <conditionalFormatting sqref="P7">
    <cfRule type="expression" dxfId="3" priority="4">
      <formula>ISERR(P7)</formula>
    </cfRule>
  </conditionalFormatting>
  <conditionalFormatting sqref="U7">
    <cfRule type="expression" dxfId="2" priority="3">
      <formula>ISERR(U7)</formula>
    </cfRule>
  </conditionalFormatting>
  <conditionalFormatting sqref="Z7">
    <cfRule type="expression" dxfId="1" priority="2">
      <formula>ISERR(Z7)</formula>
    </cfRule>
  </conditionalFormatting>
  <conditionalFormatting sqref="AE7">
    <cfRule type="expression" dxfId="0" priority="1">
      <formula>ISERR(AE7)</formula>
    </cfRule>
  </conditionalFormatting>
  <pageMargins left="0.7" right="0.7" top="0.75" bottom="0.75" header="0.3" footer="0.3"/>
  <pageSetup scale="44" fitToHeight="5" orientation="landscape" verticalDpi="0"/>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pageSetUpPr fitToPage="1"/>
  </sheetPr>
  <dimension ref="A1:C102"/>
  <sheetViews>
    <sheetView showGridLines="0" topLeftCell="B1" workbookViewId="0">
      <selection activeCell="B10" sqref="B10"/>
    </sheetView>
  </sheetViews>
  <sheetFormatPr defaultColWidth="8.85546875" defaultRowHeight="15" x14ac:dyDescent="0.25"/>
  <cols>
    <col min="1" max="1" width="10.7109375" style="7" customWidth="1"/>
    <col min="2" max="2" width="143.42578125" style="7" customWidth="1"/>
    <col min="3" max="3" width="9.42578125" style="7" customWidth="1"/>
    <col min="4" max="16384" width="8.85546875" style="7"/>
  </cols>
  <sheetData>
    <row r="1" spans="1:3" ht="22.5" customHeight="1" x14ac:dyDescent="0.25">
      <c r="A1" s="4" t="s">
        <v>144</v>
      </c>
      <c r="B1" s="1440" t="s">
        <v>147</v>
      </c>
      <c r="C1" s="6"/>
    </row>
    <row r="2" spans="1:3" ht="20.25" x14ac:dyDescent="0.3">
      <c r="A2" s="1018" t="b">
        <v>1</v>
      </c>
      <c r="B2" s="9" t="s">
        <v>148</v>
      </c>
      <c r="C2" s="6"/>
    </row>
    <row r="3" spans="1:3" ht="15" customHeight="1" x14ac:dyDescent="0.3">
      <c r="A3" s="8"/>
      <c r="B3" s="9"/>
      <c r="C3" s="6"/>
    </row>
    <row r="4" spans="1:3" ht="15" customHeight="1" x14ac:dyDescent="0.25">
      <c r="A4" s="8"/>
      <c r="B4" s="10" t="s">
        <v>145</v>
      </c>
      <c r="C4" s="6"/>
    </row>
    <row r="5" spans="1:3" ht="15" customHeight="1" x14ac:dyDescent="0.25">
      <c r="A5" s="8"/>
      <c r="B5" s="11" t="s">
        <v>143</v>
      </c>
      <c r="C5" s="6"/>
    </row>
    <row r="6" spans="1:3" ht="15" customHeight="1" x14ac:dyDescent="0.25">
      <c r="A6" s="8"/>
      <c r="B6" s="11" t="s">
        <v>146</v>
      </c>
      <c r="C6" s="6"/>
    </row>
    <row r="7" spans="1:3" ht="15" customHeight="1" x14ac:dyDescent="0.3">
      <c r="A7" s="8"/>
      <c r="B7" s="9"/>
      <c r="C7" s="6"/>
    </row>
    <row r="8" spans="1:3" ht="15" customHeight="1" x14ac:dyDescent="0.25">
      <c r="A8" s="8"/>
      <c r="B8" s="10" t="s">
        <v>123</v>
      </c>
      <c r="C8" s="6"/>
    </row>
    <row r="9" spans="1:3" ht="15" customHeight="1" x14ac:dyDescent="0.25">
      <c r="A9" s="8"/>
      <c r="B9" s="11" t="s">
        <v>127</v>
      </c>
      <c r="C9" s="6"/>
    </row>
    <row r="10" spans="1:3" ht="15" customHeight="1" x14ac:dyDescent="0.25">
      <c r="A10" s="8"/>
      <c r="B10" s="11" t="s">
        <v>124</v>
      </c>
      <c r="C10" s="6"/>
    </row>
    <row r="11" spans="1:3" ht="15" customHeight="1" x14ac:dyDescent="0.25">
      <c r="A11" s="8"/>
      <c r="B11" s="11" t="s">
        <v>125</v>
      </c>
      <c r="C11" s="6"/>
    </row>
    <row r="12" spans="1:3" ht="15" customHeight="1" x14ac:dyDescent="0.25">
      <c r="A12" s="8"/>
      <c r="B12" s="11" t="s">
        <v>126</v>
      </c>
      <c r="C12" s="6"/>
    </row>
    <row r="13" spans="1:3" ht="15" customHeight="1" x14ac:dyDescent="0.25">
      <c r="A13" s="8"/>
      <c r="B13" s="11" t="s">
        <v>128</v>
      </c>
      <c r="C13" s="6"/>
    </row>
    <row r="14" spans="1:3" ht="15" customHeight="1" x14ac:dyDescent="0.25">
      <c r="A14" s="8"/>
      <c r="B14" s="11" t="s">
        <v>131</v>
      </c>
      <c r="C14" s="6"/>
    </row>
    <row r="15" spans="1:3" ht="15" customHeight="1" x14ac:dyDescent="0.25">
      <c r="A15" s="8"/>
      <c r="B15" s="11" t="s">
        <v>129</v>
      </c>
      <c r="C15" s="6"/>
    </row>
    <row r="16" spans="1:3" ht="15" customHeight="1" x14ac:dyDescent="0.25">
      <c r="A16" s="8"/>
      <c r="B16" s="11" t="s">
        <v>130</v>
      </c>
      <c r="C16" s="6"/>
    </row>
    <row r="17" spans="1:3" ht="15" customHeight="1" x14ac:dyDescent="0.25">
      <c r="A17" s="8"/>
      <c r="B17" s="11" t="s">
        <v>132</v>
      </c>
      <c r="C17" s="6"/>
    </row>
    <row r="18" spans="1:3" ht="15" customHeight="1" x14ac:dyDescent="0.3">
      <c r="A18" s="8"/>
      <c r="B18" s="9"/>
      <c r="C18" s="6"/>
    </row>
    <row r="19" spans="1:3" ht="15" customHeight="1" x14ac:dyDescent="0.25">
      <c r="A19" s="8"/>
      <c r="B19" s="10" t="s">
        <v>99</v>
      </c>
      <c r="C19" s="6"/>
    </row>
    <row r="20" spans="1:3" ht="15" customHeight="1" x14ac:dyDescent="0.25">
      <c r="A20" s="8"/>
      <c r="B20" s="11" t="s">
        <v>100</v>
      </c>
      <c r="C20" s="6"/>
    </row>
    <row r="21" spans="1:3" ht="15" customHeight="1" x14ac:dyDescent="0.25">
      <c r="A21" s="8"/>
      <c r="B21" s="11"/>
      <c r="C21" s="6"/>
    </row>
    <row r="22" spans="1:3" ht="15" customHeight="1" x14ac:dyDescent="0.25">
      <c r="A22" s="8"/>
      <c r="B22" s="10" t="s">
        <v>97</v>
      </c>
      <c r="C22" s="6"/>
    </row>
    <row r="23" spans="1:3" x14ac:dyDescent="0.25">
      <c r="A23" s="8"/>
      <c r="B23" s="11" t="s">
        <v>98</v>
      </c>
      <c r="C23" s="6"/>
    </row>
    <row r="24" spans="1:3" ht="20.25" x14ac:dyDescent="0.3">
      <c r="A24" s="8"/>
      <c r="B24" s="9"/>
      <c r="C24" s="6"/>
    </row>
    <row r="25" spans="1:3" x14ac:dyDescent="0.25">
      <c r="A25" s="8"/>
      <c r="B25" s="10" t="s">
        <v>91</v>
      </c>
      <c r="C25" s="6"/>
    </row>
    <row r="26" spans="1:3" x14ac:dyDescent="0.25">
      <c r="A26" s="8"/>
      <c r="B26" s="11" t="s">
        <v>92</v>
      </c>
      <c r="C26" s="6"/>
    </row>
    <row r="27" spans="1:3" ht="15" customHeight="1" x14ac:dyDescent="0.25">
      <c r="A27" s="8"/>
      <c r="B27" s="11" t="s">
        <v>96</v>
      </c>
      <c r="C27" s="6"/>
    </row>
    <row r="28" spans="1:3" x14ac:dyDescent="0.25">
      <c r="A28" s="8"/>
      <c r="B28" s="11" t="s">
        <v>95</v>
      </c>
      <c r="C28" s="6"/>
    </row>
    <row r="29" spans="1:3" ht="20.25" x14ac:dyDescent="0.3">
      <c r="A29" s="8"/>
      <c r="B29" s="9"/>
      <c r="C29" s="6"/>
    </row>
    <row r="30" spans="1:3" x14ac:dyDescent="0.25">
      <c r="A30" s="8"/>
      <c r="B30" s="10" t="s">
        <v>89</v>
      </c>
      <c r="C30" s="6"/>
    </row>
    <row r="31" spans="1:3" x14ac:dyDescent="0.25">
      <c r="A31" s="8"/>
      <c r="B31" s="11" t="s">
        <v>90</v>
      </c>
      <c r="C31" s="6"/>
    </row>
    <row r="32" spans="1:3" x14ac:dyDescent="0.25">
      <c r="A32" s="8"/>
      <c r="B32" s="5"/>
      <c r="C32" s="6"/>
    </row>
    <row r="33" spans="1:3" x14ac:dyDescent="0.25">
      <c r="A33" s="8"/>
      <c r="B33" s="10" t="s">
        <v>88</v>
      </c>
      <c r="C33" s="6"/>
    </row>
    <row r="34" spans="1:3" x14ac:dyDescent="0.25">
      <c r="A34" s="8"/>
      <c r="B34" s="11" t="s">
        <v>86</v>
      </c>
      <c r="C34" s="6"/>
    </row>
    <row r="35" spans="1:3" x14ac:dyDescent="0.25">
      <c r="A35" s="8"/>
      <c r="B35" s="11" t="s">
        <v>87</v>
      </c>
      <c r="C35" s="6"/>
    </row>
    <row r="36" spans="1:3" x14ac:dyDescent="0.25">
      <c r="A36" s="8"/>
      <c r="B36" s="5"/>
      <c r="C36" s="6"/>
    </row>
    <row r="37" spans="1:3" x14ac:dyDescent="0.25">
      <c r="A37" s="8"/>
      <c r="B37" s="10" t="s">
        <v>83</v>
      </c>
      <c r="C37" s="6"/>
    </row>
    <row r="38" spans="1:3" x14ac:dyDescent="0.25">
      <c r="A38" s="8"/>
      <c r="B38" s="11" t="s">
        <v>84</v>
      </c>
      <c r="C38" s="6"/>
    </row>
    <row r="39" spans="1:3" x14ac:dyDescent="0.25">
      <c r="A39" s="8"/>
      <c r="B39" s="5"/>
      <c r="C39" s="6"/>
    </row>
    <row r="40" spans="1:3" x14ac:dyDescent="0.25">
      <c r="A40" s="8"/>
      <c r="B40" s="10" t="s">
        <v>82</v>
      </c>
      <c r="C40" s="6"/>
    </row>
    <row r="41" spans="1:3" x14ac:dyDescent="0.25">
      <c r="A41" s="8"/>
      <c r="B41" s="11" t="s">
        <v>78</v>
      </c>
      <c r="C41" s="6"/>
    </row>
    <row r="42" spans="1:3" x14ac:dyDescent="0.25">
      <c r="A42" s="8"/>
      <c r="B42" s="11" t="s">
        <v>79</v>
      </c>
      <c r="C42" s="6"/>
    </row>
    <row r="43" spans="1:3" x14ac:dyDescent="0.25">
      <c r="A43" s="8"/>
      <c r="B43" s="11" t="s">
        <v>80</v>
      </c>
      <c r="C43" s="6"/>
    </row>
    <row r="44" spans="1:3" x14ac:dyDescent="0.25">
      <c r="A44" s="8"/>
      <c r="B44" s="11" t="s">
        <v>81</v>
      </c>
      <c r="C44" s="6"/>
    </row>
    <row r="45" spans="1:3" x14ac:dyDescent="0.25">
      <c r="A45" s="8"/>
      <c r="B45" s="11"/>
      <c r="C45" s="6"/>
    </row>
    <row r="46" spans="1:3" x14ac:dyDescent="0.25">
      <c r="A46" s="8"/>
      <c r="B46" s="10" t="s">
        <v>71</v>
      </c>
      <c r="C46" s="6"/>
    </row>
    <row r="47" spans="1:3" x14ac:dyDescent="0.25">
      <c r="A47" s="8"/>
      <c r="B47" s="11" t="s">
        <v>72</v>
      </c>
      <c r="C47" s="6"/>
    </row>
    <row r="48" spans="1:3" x14ac:dyDescent="0.25">
      <c r="A48" s="8"/>
      <c r="B48" s="11" t="s">
        <v>73</v>
      </c>
      <c r="C48" s="6"/>
    </row>
    <row r="49" spans="1:3" x14ac:dyDescent="0.25">
      <c r="A49" s="8"/>
      <c r="B49" s="11" t="s">
        <v>74</v>
      </c>
      <c r="C49" s="6"/>
    </row>
    <row r="50" spans="1:3" x14ac:dyDescent="0.25">
      <c r="A50" s="8"/>
      <c r="B50" s="11" t="s">
        <v>75</v>
      </c>
      <c r="C50" s="6"/>
    </row>
    <row r="51" spans="1:3" x14ac:dyDescent="0.25">
      <c r="A51" s="8"/>
      <c r="B51" s="5"/>
      <c r="C51" s="6"/>
    </row>
    <row r="52" spans="1:3" x14ac:dyDescent="0.25">
      <c r="A52" s="8"/>
      <c r="B52" s="10" t="s">
        <v>61</v>
      </c>
      <c r="C52" s="6"/>
    </row>
    <row r="53" spans="1:3" x14ac:dyDescent="0.25">
      <c r="A53" s="8"/>
      <c r="B53" s="11" t="s">
        <v>63</v>
      </c>
      <c r="C53" s="6"/>
    </row>
    <row r="54" spans="1:3" x14ac:dyDescent="0.25">
      <c r="A54" s="8"/>
      <c r="B54" s="11" t="s">
        <v>64</v>
      </c>
      <c r="C54" s="6"/>
    </row>
    <row r="55" spans="1:3" x14ac:dyDescent="0.25">
      <c r="A55" s="8"/>
      <c r="B55" s="11" t="s">
        <v>62</v>
      </c>
      <c r="C55" s="6"/>
    </row>
    <row r="56" spans="1:3" x14ac:dyDescent="0.25">
      <c r="A56" s="8"/>
      <c r="B56" s="11"/>
      <c r="C56" s="6"/>
    </row>
    <row r="57" spans="1:3" x14ac:dyDescent="0.25">
      <c r="A57" s="8"/>
      <c r="B57" s="10" t="s">
        <v>53</v>
      </c>
      <c r="C57" s="6"/>
    </row>
    <row r="58" spans="1:3" x14ac:dyDescent="0.25">
      <c r="A58" s="8"/>
      <c r="B58" s="11" t="s">
        <v>54</v>
      </c>
      <c r="C58" s="6"/>
    </row>
    <row r="59" spans="1:3" x14ac:dyDescent="0.25">
      <c r="A59" s="8"/>
      <c r="B59" s="11"/>
      <c r="C59" s="6"/>
    </row>
    <row r="60" spans="1:3" x14ac:dyDescent="0.25">
      <c r="A60" s="8"/>
      <c r="B60" s="10" t="s">
        <v>51</v>
      </c>
      <c r="C60" s="6"/>
    </row>
    <row r="61" spans="1:3" x14ac:dyDescent="0.25">
      <c r="A61" s="8"/>
      <c r="B61" s="11" t="s">
        <v>45</v>
      </c>
      <c r="C61" s="6"/>
    </row>
    <row r="62" spans="1:3" x14ac:dyDescent="0.25">
      <c r="A62" s="8"/>
      <c r="B62" s="11" t="s">
        <v>44</v>
      </c>
      <c r="C62" s="6"/>
    </row>
    <row r="63" spans="1:3" x14ac:dyDescent="0.25">
      <c r="A63" s="8"/>
      <c r="B63" s="11" t="s">
        <v>46</v>
      </c>
      <c r="C63" s="6"/>
    </row>
    <row r="64" spans="1:3" x14ac:dyDescent="0.25">
      <c r="A64" s="8"/>
      <c r="B64" s="11" t="s">
        <v>47</v>
      </c>
      <c r="C64" s="6"/>
    </row>
    <row r="65" spans="1:3" x14ac:dyDescent="0.25">
      <c r="A65" s="8"/>
      <c r="B65" s="11" t="s">
        <v>48</v>
      </c>
      <c r="C65" s="6"/>
    </row>
    <row r="66" spans="1:3" x14ac:dyDescent="0.25">
      <c r="A66" s="8"/>
      <c r="B66" s="11" t="s">
        <v>49</v>
      </c>
      <c r="C66" s="6"/>
    </row>
    <row r="67" spans="1:3" x14ac:dyDescent="0.25">
      <c r="A67" s="8"/>
      <c r="B67" s="11" t="s">
        <v>52</v>
      </c>
      <c r="C67" s="6"/>
    </row>
    <row r="68" spans="1:3" x14ac:dyDescent="0.25">
      <c r="A68" s="8"/>
      <c r="B68" s="11"/>
      <c r="C68" s="6"/>
    </row>
    <row r="69" spans="1:3" x14ac:dyDescent="0.25">
      <c r="A69" s="8"/>
      <c r="B69" s="10" t="s">
        <v>35</v>
      </c>
      <c r="C69" s="6"/>
    </row>
    <row r="70" spans="1:3" x14ac:dyDescent="0.25">
      <c r="A70" s="8"/>
      <c r="B70" s="11" t="s">
        <v>36</v>
      </c>
      <c r="C70" s="6"/>
    </row>
    <row r="71" spans="1:3" x14ac:dyDescent="0.25">
      <c r="A71" s="8"/>
      <c r="B71" s="11" t="s">
        <v>37</v>
      </c>
      <c r="C71" s="6"/>
    </row>
    <row r="72" spans="1:3" x14ac:dyDescent="0.25">
      <c r="A72" s="8"/>
      <c r="B72" s="11" t="s">
        <v>42</v>
      </c>
      <c r="C72" s="6"/>
    </row>
    <row r="73" spans="1:3" x14ac:dyDescent="0.25">
      <c r="A73" s="8"/>
      <c r="B73" s="11"/>
      <c r="C73" s="6"/>
    </row>
    <row r="74" spans="1:3" x14ac:dyDescent="0.25">
      <c r="A74" s="8"/>
      <c r="B74" s="10" t="s">
        <v>31</v>
      </c>
      <c r="C74" s="6"/>
    </row>
    <row r="75" spans="1:3" x14ac:dyDescent="0.25">
      <c r="A75" s="8"/>
      <c r="B75" s="11" t="s">
        <v>34</v>
      </c>
      <c r="C75" s="6"/>
    </row>
    <row r="76" spans="1:3" x14ac:dyDescent="0.25">
      <c r="A76" s="8"/>
      <c r="B76" s="11" t="s">
        <v>30</v>
      </c>
      <c r="C76" s="6"/>
    </row>
    <row r="77" spans="1:3" x14ac:dyDescent="0.25">
      <c r="A77" s="8"/>
      <c r="B77" s="11" t="s">
        <v>33</v>
      </c>
      <c r="C77" s="6"/>
    </row>
    <row r="78" spans="1:3" x14ac:dyDescent="0.25">
      <c r="A78" s="8"/>
      <c r="B78" s="11"/>
      <c r="C78" s="6"/>
    </row>
    <row r="79" spans="1:3" x14ac:dyDescent="0.25">
      <c r="A79" s="8"/>
      <c r="B79" s="10" t="s">
        <v>32</v>
      </c>
      <c r="C79" s="6"/>
    </row>
    <row r="80" spans="1:3" x14ac:dyDescent="0.25">
      <c r="A80" s="8"/>
      <c r="B80" s="11" t="s">
        <v>28</v>
      </c>
      <c r="C80" s="6"/>
    </row>
    <row r="81" spans="1:3" x14ac:dyDescent="0.25">
      <c r="A81" s="8"/>
      <c r="B81" s="11"/>
      <c r="C81" s="6"/>
    </row>
    <row r="82" spans="1:3" x14ac:dyDescent="0.25">
      <c r="A82" s="8"/>
      <c r="B82" s="10" t="s">
        <v>21</v>
      </c>
      <c r="C82" s="6"/>
    </row>
    <row r="83" spans="1:3" x14ac:dyDescent="0.25">
      <c r="A83" s="8"/>
      <c r="B83" s="11" t="s">
        <v>22</v>
      </c>
      <c r="C83" s="6"/>
    </row>
    <row r="84" spans="1:3" x14ac:dyDescent="0.25">
      <c r="A84" s="8"/>
      <c r="B84" s="11" t="s">
        <v>23</v>
      </c>
      <c r="C84" s="6"/>
    </row>
    <row r="85" spans="1:3" x14ac:dyDescent="0.25">
      <c r="A85" s="8"/>
      <c r="B85" s="11"/>
      <c r="C85" s="6"/>
    </row>
    <row r="86" spans="1:3" x14ac:dyDescent="0.25">
      <c r="A86" s="8"/>
      <c r="B86" s="10" t="s">
        <v>16</v>
      </c>
      <c r="C86" s="6"/>
    </row>
    <row r="87" spans="1:3" x14ac:dyDescent="0.25">
      <c r="A87" s="8"/>
      <c r="B87" s="11" t="s">
        <v>17</v>
      </c>
      <c r="C87" s="6"/>
    </row>
    <row r="88" spans="1:3" x14ac:dyDescent="0.25">
      <c r="A88" s="8"/>
      <c r="B88" s="5"/>
      <c r="C88" s="6"/>
    </row>
    <row r="89" spans="1:3" x14ac:dyDescent="0.25">
      <c r="A89" s="8"/>
      <c r="B89" s="10" t="s">
        <v>14</v>
      </c>
      <c r="C89" s="6"/>
    </row>
    <row r="90" spans="1:3" x14ac:dyDescent="0.25">
      <c r="A90" s="8"/>
      <c r="B90" s="11" t="s">
        <v>13</v>
      </c>
      <c r="C90" s="6"/>
    </row>
    <row r="91" spans="1:3" x14ac:dyDescent="0.25">
      <c r="A91" s="8"/>
      <c r="B91" s="11" t="s">
        <v>12</v>
      </c>
      <c r="C91" s="6"/>
    </row>
    <row r="92" spans="1:3" x14ac:dyDescent="0.25">
      <c r="A92" s="8"/>
      <c r="B92" s="11" t="s">
        <v>15</v>
      </c>
      <c r="C92" s="6"/>
    </row>
    <row r="93" spans="1:3" x14ac:dyDescent="0.25">
      <c r="A93" s="8"/>
      <c r="B93" s="5"/>
      <c r="C93" s="6"/>
    </row>
    <row r="94" spans="1:3" x14ac:dyDescent="0.25">
      <c r="A94" s="8"/>
      <c r="B94" s="11"/>
      <c r="C94" s="6"/>
    </row>
    <row r="95" spans="1:3" x14ac:dyDescent="0.25">
      <c r="A95" s="8"/>
      <c r="B95" s="5"/>
      <c r="C95" s="6"/>
    </row>
    <row r="96" spans="1:3" x14ac:dyDescent="0.25">
      <c r="A96" s="8"/>
      <c r="B96" s="11"/>
      <c r="C96" s="6"/>
    </row>
    <row r="97" spans="1:3" x14ac:dyDescent="0.25">
      <c r="A97" s="8"/>
      <c r="B97" s="10"/>
      <c r="C97" s="6"/>
    </row>
    <row r="98" spans="1:3" x14ac:dyDescent="0.25">
      <c r="A98" s="8"/>
      <c r="B98" s="11"/>
      <c r="C98" s="6"/>
    </row>
    <row r="99" spans="1:3" x14ac:dyDescent="0.25">
      <c r="A99" s="8"/>
      <c r="B99" s="11"/>
      <c r="C99" s="6"/>
    </row>
    <row r="100" spans="1:3" x14ac:dyDescent="0.25">
      <c r="A100" s="8"/>
      <c r="B100" s="11"/>
      <c r="C100" s="6"/>
    </row>
    <row r="101" spans="1:3" x14ac:dyDescent="0.25">
      <c r="A101" s="8"/>
      <c r="B101" s="11"/>
      <c r="C101" s="6"/>
    </row>
    <row r="102" spans="1:3" x14ac:dyDescent="0.25">
      <c r="A102" s="8"/>
      <c r="B102" s="11"/>
      <c r="C102" s="6"/>
    </row>
  </sheetData>
  <sheetProtection sheet="1" objects="1" scenarios="1"/>
  <pageMargins left="0.7" right="0.7" top="0.75" bottom="0.75" header="0.3" footer="0.3"/>
  <pageSetup scale="76" orientation="landscape" verticalDpi="1200" r:id="rId1"/>
</worksheet>
</file>

<file path=customUI/customUI.xml><?xml version="1.0" encoding="utf-8"?>
<customUI xmlns="http://schemas.microsoft.com/office/2006/01/customui" onLoad="RibbonOnLoad">
  <ribbon>
    <tabs>
      <tab id="CustomTab" label="Pine Shear+" keytip="Y">
        <group id="Group1" label="Data" tag="PineData">
          <button id="Button1" label="Load Data File" size="large" onAction="Ribbon_GetFile" imageMso="FileOpen" tag="DataButton1" getEnabled="GetEnabledMacro"/>
          <button id="Button2" label="Clear Specimen" size="large" onAction="Ribbon_ClearSpecimen" imageMso="TableEraser" tag="DataButton2" getEnabled="GetEnabledMacro"/>
        </group>
        <group id="Group2" label="Utilities" tag="PineUtil">
          <button id="Button3" label="Summary Report" size="large" onAction="Ribbon_SummaryReport" imageMso="CreateReport" tag="UtilButton1" getEnabled="GetEnabledMacro"/>
          <button id="Button4" label="TFI Limits" size="large" onAction="Ribbon_TFI" imageMso="ChartTrendline" tag="UtilButton2" getEnabled="GetEnabledMacro"/>
          <button id="Button5" label="About" size="large" onAction="Ribbon_About" imageMso="Help" tag="UtilButton3" getEnabled="GetEnabledMacro"/>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11</vt:i4>
      </vt:variant>
      <vt:variant>
        <vt:lpstr>Charts</vt:lpstr>
      </vt:variant>
      <vt:variant>
        <vt:i4>23</vt:i4>
      </vt:variant>
      <vt:variant>
        <vt:lpstr>Named Ranges</vt:lpstr>
      </vt:variant>
      <vt:variant>
        <vt:i4>4</vt:i4>
      </vt:variant>
    </vt:vector>
  </HeadingPairs>
  <TitlesOfParts>
    <vt:vector size="38" baseType="lpstr">
      <vt:lpstr>Height</vt:lpstr>
      <vt:lpstr>Angle</vt:lpstr>
      <vt:lpstr>Pressure</vt:lpstr>
      <vt:lpstr>Moment (N-m)</vt:lpstr>
      <vt:lpstr>Summary</vt:lpstr>
      <vt:lpstr>%Gmm</vt:lpstr>
      <vt:lpstr>Resistive Effort (w)</vt:lpstr>
      <vt:lpstr>Sg(kPa)</vt:lpstr>
      <vt:lpstr>Normalized Sg</vt:lpstr>
      <vt:lpstr>Sg(kPa) Fit</vt:lpstr>
      <vt:lpstr>Revisions</vt:lpstr>
      <vt:lpstr>%Gmm Chart</vt:lpstr>
      <vt:lpstr>CDI Bar</vt:lpstr>
      <vt:lpstr>Locking Point</vt:lpstr>
      <vt:lpstr>WEI Bar</vt:lpstr>
      <vt:lpstr>CEI Bar</vt:lpstr>
      <vt:lpstr>w Chart</vt:lpstr>
      <vt:lpstr>w(N1-N2) Bar</vt:lpstr>
      <vt:lpstr>CFI Bar</vt:lpstr>
      <vt:lpstr>TFI Bar</vt:lpstr>
      <vt:lpstr>Sg Chart</vt:lpstr>
      <vt:lpstr>Sg Chart (%Gmm)</vt:lpstr>
      <vt:lpstr>NSI Bar</vt:lpstr>
      <vt:lpstr>Norm Sg Chart</vt:lpstr>
      <vt:lpstr>Norm Sg Chart (%Gmm)</vt:lpstr>
      <vt:lpstr>Norm Sg Chart - Group 1</vt:lpstr>
      <vt:lpstr>Norm Sg Chart - Group 2</vt:lpstr>
      <vt:lpstr>Norm Sg Chart - Group 3</vt:lpstr>
      <vt:lpstr>Norm Sg Chart - Group 4</vt:lpstr>
      <vt:lpstr>Norm Sg Chart - Group 5</vt:lpstr>
      <vt:lpstr>Norm Sg Chart - Group 6</vt:lpstr>
      <vt:lpstr>N@ %Norm Sg Bar</vt:lpstr>
      <vt:lpstr>N@ Sg(kPa) fit Bar</vt:lpstr>
      <vt:lpstr>Sg(kPa) Fit Chart</vt:lpstr>
      <vt:lpstr>_protect</vt:lpstr>
      <vt:lpstr>Height!Print_Area</vt:lpstr>
      <vt:lpstr>Summary!Print_Area</vt:lpstr>
      <vt:lpstr>Summary!Print_Titles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Pine Shear+ Workbook</dc:title>
  <dc:subject>Gyratory Shear</dc:subject>
  <dc:creator>EJK</dc:creator>
  <cp:keywords>Shear, Resistive Effort</cp:keywords>
  <cp:lastModifiedBy>Mary Fleck</cp:lastModifiedBy>
  <cp:lastPrinted>2013-07-12T12:42:47Z</cp:lastPrinted>
  <dcterms:created xsi:type="dcterms:W3CDTF">2010-12-10T16:34:59Z</dcterms:created>
  <dcterms:modified xsi:type="dcterms:W3CDTF">2014-04-30T12:25:14Z</dcterms:modified>
</cp:coreProperties>
</file>